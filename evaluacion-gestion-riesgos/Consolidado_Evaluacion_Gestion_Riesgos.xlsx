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xmlns:r="http://schemas.openxmlformats.org/officeDocument/2006/relationships" name="Base Oficial" sheetId="1" state="visible" r:id="rId1"/>
    <sheet xmlns:r="http://schemas.openxmlformats.org/officeDocument/2006/relationships" name="Base Exámenes" sheetId="2" state="visible" r:id="rId2"/>
    <sheet xmlns:r="http://schemas.openxmlformats.org/officeDocument/2006/relationships" name="Detalle individual" sheetId="3" state="visible" r:id="rId3"/>
    <sheet xmlns:r="http://schemas.openxmlformats.org/officeDocument/2006/relationships" name="Consolidado por área" sheetId="4" state="visible" r:id="rId4"/>
    <sheet xmlns:r="http://schemas.openxmlformats.org/officeDocument/2006/relationships" name="Consolidado por Gerencia" sheetId="5" state="visible" r:id="rId5"/>
    <sheet xmlns:r="http://schemas.openxmlformats.org/officeDocument/2006/relationships" name="Dashboard Gerencial" sheetId="6" state="visible" r:id="rId6"/>
    <sheet xmlns:r="http://schemas.openxmlformats.org/officeDocument/2006/relationships" name="Dashboard Gráfico" sheetId="7" state="visible" r:id="rId7"/>
    <sheet xmlns:r="http://schemas.openxmlformats.org/officeDocument/2006/relationships" name="Dashboard Departamentos" sheetId="8" state="visible" r:id="rId8"/>
    <sheet xmlns:r="http://schemas.openxmlformats.org/officeDocument/2006/relationships" name="Estado por Colaborador" sheetId="9" state="visible" r:id="rId9"/>
    <sheet xmlns:r="http://schemas.openxmlformats.org/officeDocument/2006/relationships" name="Top 3 Departamentos" sheetId="10" state="visible" r:id="rId10"/>
    <sheet xmlns:r="http://schemas.openxmlformats.org/officeDocument/2006/relationships" name="Top 3 inicio" sheetId="11" state="visible" r:id="rId11"/>
    <sheet xmlns:r="http://schemas.openxmlformats.org/officeDocument/2006/relationships" name="Top 3 finalización" sheetId="12" state="visible" r:id="rId12"/>
    <sheet xmlns:r="http://schemas.openxmlformats.org/officeDocument/2006/relationships" name="Top 3 calificación" sheetId="13" state="visible" r:id="rId13"/>
    <sheet xmlns:r="http://schemas.openxmlformats.org/officeDocument/2006/relationships" name="Listado de Pendientes" sheetId="14" state="visible" r:id="rId14"/>
    <sheet xmlns:r="http://schemas.openxmlformats.org/officeDocument/2006/relationships" name="Historial de Intentos" sheetId="15" state="visible" r:id="rId15"/>
    <sheet xmlns:r="http://schemas.openxmlformats.org/officeDocument/2006/relationships" name="Cálculos" sheetId="16" state="hidden" r:id="rId16"/>
  </sheets>
  <definedNames>
    <definedName name="_xlnm._FilterDatabase" localSheetId="2" hidden="1">'Detalle individual'!$A$4:$K$297</definedName>
    <definedName name="_xlnm._FilterDatabase" localSheetId="13" hidden="1">'Listado de Pendientes'!$A$4:$E$67</definedName>
    <definedName name="_xlnm._FilterDatabase" localSheetId="14" hidden="1">'Historial de Intentos'!$A$4:$J$16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 hh:mm:ss"/>
    <numFmt numFmtId="166" formatCode="0.0"/>
    <numFmt numFmtId="167" formatCode="dd/mm/yyyy hh:mm"/>
  </numFmts>
  <fonts count="27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595959"/>
      <sz val="10"/>
    </font>
    <font>
      <name val="Calibri"/>
      <b val="1"/>
      <color rgb="001F4E78"/>
      <sz val="18"/>
    </font>
    <font>
      <name val="Calibri"/>
      <b val="1"/>
      <color rgb="00FFFFFF"/>
      <sz val="18"/>
    </font>
    <font>
      <name val="Calibri"/>
      <i val="1"/>
      <color rgb="00DDEBF7"/>
      <sz val="10"/>
    </font>
    <font>
      <name val="Calibri"/>
      <b val="1"/>
      <color rgb="007F7F7F"/>
      <sz val="9"/>
    </font>
    <font>
      <name val="Calibri"/>
      <b val="1"/>
      <color rgb="001F4E78"/>
      <sz val="9"/>
    </font>
    <font>
      <name val="Calibri"/>
      <b val="1"/>
      <color rgb="001F4E78"/>
      <sz val="26"/>
    </font>
    <font>
      <name val="Calibri"/>
      <i val="1"/>
      <color rgb="007F7F7F"/>
      <sz val="9"/>
    </font>
    <font>
      <name val="Calibri"/>
      <b val="1"/>
      <color rgb="002E7D32"/>
      <sz val="26"/>
    </font>
    <font>
      <name val="Calibri"/>
      <b val="1"/>
      <color rgb="00C55A11"/>
      <sz val="26"/>
    </font>
    <font>
      <name val="Calibri"/>
      <b val="1"/>
      <color rgb="00000000"/>
      <sz val="12"/>
    </font>
    <font>
      <name val="Calibri"/>
      <b val="1"/>
      <color rgb="002E75B6"/>
      <sz val="10"/>
      <u val="single"/>
    </font>
    <font>
      <name val="Calibri"/>
      <b val="1"/>
      <color rgb="001F4E78"/>
      <sz val="11"/>
    </font>
    <font>
      <name val="Calibri"/>
      <b val="1"/>
      <color rgb="00FFFFFF"/>
      <sz val="10"/>
    </font>
    <font>
      <name val="Calibri"/>
      <color rgb="00404040"/>
      <sz val="10"/>
    </font>
    <font>
      <name val="Calibri"/>
      <b val="1"/>
      <color rgb="001F4E78"/>
      <sz val="10"/>
    </font>
    <font>
      <name val="Calibri"/>
      <b val="1"/>
      <color rgb="00000000"/>
      <sz val="11"/>
    </font>
    <font>
      <name val="Calibri"/>
      <b val="1"/>
      <color rgb="007F7F7F"/>
      <sz val="10"/>
    </font>
    <font>
      <name val="Calibri"/>
      <b val="1"/>
      <color rgb="001F4E78"/>
      <sz val="14"/>
    </font>
    <font>
      <name val="Calibri"/>
      <b val="1"/>
      <color rgb="002E7D32"/>
      <sz val="14"/>
    </font>
    <font>
      <name val="Calibri"/>
      <b val="1"/>
      <color rgb="00C55A11"/>
      <sz val="14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3F6FA"/>
      </patternFill>
    </fill>
  </fills>
  <borders count="6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top style="thick">
        <color rgb="001F4E78"/>
      </top>
    </border>
    <border>
      <top style="thick">
        <color rgb="001F4E78"/>
      </top>
    </border>
    <border>
      <right style="thin">
        <color rgb="00D9D9D9"/>
      </right>
      <top style="thick">
        <color rgb="001F4E78"/>
      </top>
    </border>
    <border>
      <left style="thin">
        <color rgb="00D9D9D9"/>
      </left>
    </border>
    <border/>
    <border>
      <right style="thin">
        <color rgb="00D9D9D9"/>
      </right>
    </border>
    <border>
      <left style="thin">
        <color rgb="00D9D9D9"/>
      </left>
      <bottom style="thin">
        <color rgb="00D9D9D9"/>
      </bottom>
    </border>
    <border>
      <bottom style="thin">
        <color rgb="00D9D9D9"/>
      </bottom>
    </border>
    <border>
      <right style="thin">
        <color rgb="00D9D9D9"/>
      </right>
      <bottom style="thin">
        <color rgb="00D9D9D9"/>
      </bottom>
    </border>
    <border>
      <left style="thin">
        <color rgb="00D9D9D9"/>
      </left>
      <right style="thin">
        <color rgb="00D9D9D9"/>
      </right>
      <top style="thick">
        <color rgb="001F4E78"/>
      </top>
    </border>
    <border>
      <left/>
      <right/>
      <top style="thick">
        <color rgb="001F4E78"/>
      </top>
      <bottom/>
      <diagonal/>
    </border>
    <border>
      <left/>
      <right style="thin">
        <color rgb="00D9D9D9"/>
      </right>
      <top style="thick">
        <color rgb="001F4E78"/>
      </top>
      <bottom/>
      <diagonal/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 style="thin">
        <color rgb="00D9D9D9"/>
      </bottom>
      <diagonal/>
    </border>
    <border>
      <left style="thin">
        <color rgb="00D9D9D9"/>
      </left>
      <top style="thick">
        <color rgb="002E7D32"/>
      </top>
    </border>
    <border>
      <top style="thick">
        <color rgb="002E7D32"/>
      </top>
    </border>
    <border>
      <right style="thin">
        <color rgb="00D9D9D9"/>
      </right>
      <top style="thick">
        <color rgb="002E7D32"/>
      </top>
    </border>
    <border>
      <left style="thin">
        <color rgb="00D9D9D9"/>
      </left>
      <right style="thin">
        <color rgb="00D9D9D9"/>
      </right>
      <top style="thick">
        <color rgb="002E7D32"/>
      </top>
    </border>
    <border>
      <left/>
      <right/>
      <top style="thick">
        <color rgb="002E7D32"/>
      </top>
      <bottom/>
      <diagonal/>
    </border>
    <border>
      <left/>
      <right style="thin">
        <color rgb="00D9D9D9"/>
      </right>
      <top style="thick">
        <color rgb="002E7D32"/>
      </top>
      <bottom/>
      <diagonal/>
    </border>
    <border>
      <left style="thin">
        <color rgb="00D9D9D9"/>
      </left>
      <top style="thick">
        <color rgb="00C55A11"/>
      </top>
    </border>
    <border>
      <top style="thick">
        <color rgb="00C55A11"/>
      </top>
    </border>
    <border>
      <right style="thin">
        <color rgb="00D9D9D9"/>
      </right>
      <top style="thick">
        <color rgb="00C55A11"/>
      </top>
    </border>
    <border>
      <left style="thin">
        <color rgb="00D9D9D9"/>
      </left>
      <right style="thin">
        <color rgb="00D9D9D9"/>
      </right>
      <top style="thick">
        <color rgb="00C55A11"/>
      </top>
    </border>
    <border>
      <left/>
      <right/>
      <top style="thick">
        <color rgb="00C55A11"/>
      </top>
      <bottom/>
      <diagonal/>
    </border>
    <border>
      <left/>
      <right style="thin">
        <color rgb="00D9D9D9"/>
      </right>
      <top style="thick">
        <color rgb="00C55A11"/>
      </top>
      <bottom/>
      <diagonal/>
    </border>
    <border>
      <left style="medium">
        <color rgb="00BF9000"/>
      </left>
      <top style="medium">
        <color rgb="00BF9000"/>
      </top>
      <bottom style="medium">
        <color rgb="00BF9000"/>
      </bottom>
    </border>
    <border>
      <top style="medium">
        <color rgb="00BF9000"/>
      </top>
      <bottom style="medium">
        <color rgb="00BF9000"/>
      </bottom>
    </border>
    <border>
      <right style="medium">
        <color rgb="00BF9000"/>
      </right>
      <top style="medium">
        <color rgb="00BF9000"/>
      </top>
      <bottom style="medium">
        <color rgb="00BF9000"/>
      </bottom>
    </border>
    <border>
      <bottom style="medium">
        <color rgb="001F4E78"/>
      </bottom>
    </border>
    <border>
      <left style="thin">
        <color rgb="00D9D9D9"/>
      </left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9000"/>
      </left>
      <top style="thin">
        <color rgb="00BF9000"/>
      </top>
      <bottom style="thin">
        <color rgb="00BF9000"/>
      </bottom>
    </border>
    <border>
      <right style="thin">
        <color rgb="00BF9000"/>
      </right>
      <top style="thin">
        <color rgb="00BF9000"/>
      </top>
      <bottom style="thin">
        <color rgb="00BF9000"/>
      </bottom>
    </border>
    <border>
      <left style="thick">
        <color rgb="001F4E78"/>
      </left>
    </border>
    <border>
      <left style="thick">
        <color rgb="002E7D32"/>
      </left>
    </border>
    <border>
      <left style="thick">
        <color rgb="00C55A11"/>
      </left>
    </border>
    <border>
      <left style="thin">
        <color rgb="00D9D9D9"/>
      </left>
      <right style="thin">
        <color rgb="00D9D9D9"/>
      </right>
      <top style="thick">
        <color rgb="001F4E78"/>
      </top>
      <bottom/>
    </border>
    <border>
      <left style="thin">
        <color rgb="00D9D9D9"/>
      </left>
      <right style="thin">
        <color rgb="00D9D9D9"/>
      </right>
      <top style="thick">
        <color rgb="002E7D32"/>
      </top>
      <bottom/>
    </border>
    <border>
      <left/>
      <right/>
      <top/>
      <bottom style="medium">
        <color rgb="001F4E78"/>
      </bottom>
      <diagonal/>
    </border>
    <border>
      <left style="medium">
        <color rgb="00BF9000"/>
      </left>
      <right style="medium">
        <color rgb="00BF9000"/>
      </right>
      <top style="medium">
        <color rgb="00BF9000"/>
      </top>
      <bottom style="medium">
        <color rgb="00BF9000"/>
      </bottom>
    </border>
    <border>
      <left/>
      <right/>
      <top style="medium">
        <color rgb="00BF9000"/>
      </top>
      <bottom/>
      <diagonal/>
    </border>
    <border>
      <left/>
      <right style="medium">
        <color rgb="00BF9000"/>
      </right>
      <top style="medium">
        <color rgb="00BF9000"/>
      </top>
      <bottom/>
      <diagonal/>
    </border>
    <border>
      <left/>
      <right/>
      <top style="medium">
        <color rgb="00BF9000"/>
      </top>
      <bottom style="medium">
        <color rgb="00BF9000"/>
      </bottom>
      <diagonal/>
    </border>
    <border>
      <left/>
      <right style="medium">
        <color rgb="00BF9000"/>
      </right>
      <top style="medium">
        <color rgb="00BF9000"/>
      </top>
      <bottom style="medium">
        <color rgb="00BF9000"/>
      </bottom>
      <diagonal/>
    </border>
    <border>
      <left style="thin">
        <color rgb="00D9D9D9"/>
      </left>
      <right style="thin">
        <color rgb="00D9D9D9"/>
      </right>
      <bottom/>
    </border>
    <border>
      <left style="thin">
        <color rgb="00D9D9D9"/>
      </left>
      <right style="thin">
        <color rgb="00D9D9D9"/>
      </right>
      <top style="thick">
        <color rgb="00C55A11"/>
      </top>
      <bottom/>
    </border>
    <border>
      <left style="thin">
        <color rgb="00BF9000"/>
      </left>
      <right style="thin">
        <color rgb="00BF9000"/>
      </right>
      <top style="thin">
        <color rgb="00BF9000"/>
      </top>
      <bottom style="thin">
        <color rgb="00BF9000"/>
      </bottom>
    </border>
    <border>
      <left/>
      <right/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 style="thin">
        <color rgb="00BF9000"/>
      </bottom>
      <diagonal/>
    </border>
    <border>
      <right/>
      <bottom style="medium">
        <color rgb="001F4E78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4" borderId="1" pivotButton="0" quotePrefix="0" xfId="0"/>
    <xf numFmtId="0" fontId="6" fillId="0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165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5" borderId="0" applyAlignment="1" pivotButton="0" quotePrefix="0" xfId="0">
      <alignment vertical="bottom" indent="1"/>
    </xf>
    <xf numFmtId="0" fontId="0" fillId="5" borderId="0" pivotButton="0" quotePrefix="0" xfId="0"/>
    <xf numFmtId="0" fontId="9" fillId="5" borderId="0" applyAlignment="1" pivotButton="0" quotePrefix="0" xfId="0">
      <alignment vertical="top" indent="1"/>
    </xf>
    <xf numFmtId="0" fontId="10" fillId="0" borderId="0" pivotButton="0" quotePrefix="0" xfId="0"/>
    <xf numFmtId="0" fontId="16" fillId="7" borderId="36" applyAlignment="1" pivotButton="0" quotePrefix="0" xfId="0">
      <alignment vertical="center" indent="1"/>
    </xf>
    <xf numFmtId="0" fontId="0" fillId="7" borderId="37" pivotButton="0" quotePrefix="0" xfId="0"/>
    <xf numFmtId="0" fontId="0" fillId="7" borderId="38" pivotButton="0" quotePrefix="0" xfId="0"/>
    <xf numFmtId="0" fontId="17" fillId="0" borderId="0" applyAlignment="1" pivotButton="0" quotePrefix="0" xfId="0">
      <alignment horizontal="right" vertical="center"/>
    </xf>
    <xf numFmtId="0" fontId="10" fillId="6" borderId="18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10" fillId="6" borderId="27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10" fillId="6" borderId="33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10" fillId="6" borderId="9" applyAlignment="1" pivotButton="0" quotePrefix="0" xfId="0">
      <alignment horizontal="center" vertical="center"/>
    </xf>
    <xf numFmtId="0" fontId="0" fillId="6" borderId="11" pivotButton="0" quotePrefix="0" xfId="0"/>
    <xf numFmtId="3" fontId="12" fillId="6" borderId="21" applyAlignment="1" pivotButton="0" quotePrefix="0" xfId="0">
      <alignment horizontal="center" vertical="center"/>
    </xf>
    <xf numFmtId="0" fontId="0" fillId="0" borderId="5" pivotButton="0" quotePrefix="0" xfId="0"/>
    <xf numFmtId="3" fontId="14" fillId="6" borderId="21" applyAlignment="1" pivotButton="0" quotePrefix="0" xfId="0">
      <alignment horizontal="center" vertical="center"/>
    </xf>
    <xf numFmtId="3" fontId="15" fillId="6" borderId="21" applyAlignment="1" pivotButton="0" quotePrefix="0" xfId="0">
      <alignment horizontal="center" vertical="center"/>
    </xf>
    <xf numFmtId="164" fontId="12" fillId="6" borderId="21" applyAlignment="1" pivotButton="0" quotePrefix="0" xfId="0">
      <alignment horizontal="center" vertical="center"/>
    </xf>
    <xf numFmtId="166" fontId="12" fillId="6" borderId="12" applyAlignment="1" pivotButton="0" quotePrefix="0" xfId="0">
      <alignment horizontal="center" vertical="center"/>
    </xf>
    <xf numFmtId="0" fontId="0" fillId="6" borderId="14" pivotButton="0" quotePrefix="0" xfId="0"/>
    <xf numFmtId="0" fontId="0" fillId="0" borderId="3" pivotButton="0" quotePrefix="0" xfId="0"/>
    <xf numFmtId="0" fontId="0" fillId="6" borderId="12" pivotButton="0" quotePrefix="0" xfId="0"/>
    <xf numFmtId="0" fontId="0" fillId="6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6" borderId="15" pivotButton="0" quotePrefix="0" xfId="0"/>
    <xf numFmtId="0" fontId="0" fillId="6" borderId="17" pivotButton="0" quotePrefix="0" xfId="0"/>
    <xf numFmtId="0" fontId="18" fillId="0" borderId="39" pivotButton="0" quotePrefix="0" xfId="0"/>
    <xf numFmtId="0" fontId="0" fillId="0" borderId="39" pivotButton="0" quotePrefix="0" xfId="0"/>
    <xf numFmtId="0" fontId="19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9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left"/>
    </xf>
    <xf numFmtId="166" fontId="12" fillId="6" borderId="21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0" fontId="22" fillId="7" borderId="42" applyAlignment="1" pivotButton="0" quotePrefix="0" xfId="0">
      <alignment vertical="center" indent="1"/>
    </xf>
    <xf numFmtId="0" fontId="0" fillId="7" borderId="43" pivotButton="0" quotePrefix="0" xfId="0"/>
    <xf numFmtId="0" fontId="23" fillId="0" borderId="0" applyAlignment="1" pivotButton="0" quotePrefix="0" xfId="0">
      <alignment horizontal="right" vertical="center" indent="1"/>
    </xf>
    <xf numFmtId="0" fontId="24" fillId="8" borderId="44" applyAlignment="1" pivotButton="0" quotePrefix="0" xfId="0">
      <alignment horizontal="center" vertical="center"/>
    </xf>
    <xf numFmtId="0" fontId="25" fillId="8" borderId="45" applyAlignment="1" pivotButton="0" quotePrefix="0" xfId="0">
      <alignment horizontal="center" vertical="center"/>
    </xf>
    <xf numFmtId="0" fontId="26" fillId="8" borderId="46" applyAlignment="1" pivotButton="0" quotePrefix="0" xfId="0">
      <alignment horizontal="center" vertical="center"/>
    </xf>
    <xf numFmtId="167" fontId="20" fillId="0" borderId="0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6" fillId="7" borderId="50" applyAlignment="1" pivotButton="0" quotePrefix="0" xfId="0">
      <alignment vertical="center" indent="1"/>
    </xf>
    <xf numFmtId="0" fontId="0" fillId="0" borderId="53" pivotButton="0" quotePrefix="0" xfId="0"/>
    <xf numFmtId="0" fontId="0" fillId="0" borderId="54" pivotButton="0" quotePrefix="0" xfId="0"/>
    <xf numFmtId="0" fontId="10" fillId="6" borderId="47" applyAlignment="1" pivotButton="0" quotePrefix="0" xfId="0">
      <alignment horizontal="center" vertical="center"/>
    </xf>
    <xf numFmtId="0" fontId="10" fillId="6" borderId="48" applyAlignment="1" pivotButton="0" quotePrefix="0" xfId="0">
      <alignment horizontal="center" vertical="center"/>
    </xf>
    <xf numFmtId="0" fontId="10" fillId="6" borderId="56" applyAlignment="1" pivotButton="0" quotePrefix="0" xfId="0">
      <alignment horizontal="center" vertical="center"/>
    </xf>
    <xf numFmtId="3" fontId="12" fillId="6" borderId="55" applyAlignment="1" pivotButton="0" quotePrefix="0" xfId="0">
      <alignment horizontal="center" vertical="center"/>
    </xf>
    <xf numFmtId="3" fontId="14" fillId="6" borderId="55" applyAlignment="1" pivotButton="0" quotePrefix="0" xfId="0">
      <alignment horizontal="center" vertical="center"/>
    </xf>
    <xf numFmtId="3" fontId="15" fillId="6" borderId="55" applyAlignment="1" pivotButton="0" quotePrefix="0" xfId="0">
      <alignment horizontal="center" vertical="center"/>
    </xf>
    <xf numFmtId="164" fontId="12" fillId="6" borderId="55" applyAlignment="1" pivotButton="0" quotePrefix="0" xfId="0">
      <alignment horizontal="center" vertical="center"/>
    </xf>
    <xf numFmtId="0" fontId="0" fillId="6" borderId="22" pivotButton="0" quotePrefix="0" xfId="0"/>
    <xf numFmtId="0" fontId="0" fillId="0" borderId="49" pivotButton="0" quotePrefix="0" xfId="0"/>
    <xf numFmtId="166" fontId="12" fillId="6" borderId="55" applyAlignment="1" pivotButton="0" quotePrefix="0" xfId="0">
      <alignment horizontal="center" vertical="center"/>
    </xf>
    <xf numFmtId="0" fontId="22" fillId="7" borderId="57" applyAlignment="1" pivotButton="0" quotePrefix="0" xfId="0">
      <alignment vertical="center" indent="1"/>
    </xf>
    <xf numFmtId="0" fontId="0" fillId="0" borderId="60" pivotButton="0" quotePrefix="0" xfId="0"/>
    <xf numFmtId="0" fontId="18" fillId="0" borderId="61" pivotButton="0" quotePrefix="0" xfId="0"/>
    <xf numFmtId="1" fontId="0" fillId="0" borderId="1" pivotButton="0" quotePrefix="0" xfId="0"/>
    <xf numFmtId="167" fontId="4" fillId="0" borderId="1" pivotButton="0" quotePrefix="0" xfId="0"/>
    <xf numFmtId="166" fontId="4" fillId="0" borderId="1" pivotButton="0" quotePrefix="0" xfId="0"/>
  </cellXfs>
  <cellStyles count="1">
    <cellStyle name="Normal" xfId="0" builtinId="0" hidden="0"/>
  </cellStyles>
  <dxfs count="5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F3F6FA"/>
        </patternFill>
      </fill>
    </dxf>
    <dxf>
      <border>
        <bottom style="thin">
          <color rgb="00D9D9D9"/>
        </bottom>
      </border>
    </dxf>
    <dxf>
      <font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global</a:t>
            </a:r>
          </a:p>
        </rich>
      </tx>
      <overlay val="0"/>
    </title>
    <plotArea>
      <doughnutChart>
        <varyColors val="1"/>
        <ser>
          <idx val="0"/>
          <order val="0"/>
          <tx>
            <v>Colaboradores</v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9D9D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numFmt formatCode="0%"/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Calibri"/>
                  </a:defRPr>
                </a:pPr>
                <a:endParaRPr sz="1100" b="1">
                  <a:solidFill>
                    <a:srgbClr val="FFFFFF"/>
                  </a:solidFill>
                  <a:latin typeface="Calibr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strRef>
              <f>'Cálculos'!$A$66:$A$67</f>
              <strCache>
                <ptCount val="2"/>
                <pt idx="0">
                  <v>Completados</v>
                </pt>
                <pt idx="1">
                  <v>Pendientes</v>
                </pt>
              </strCache>
            </strRef>
          </cat>
          <val>
            <numRef>
              <f>'Cálculos'!$B$66:$B$67</f>
              <numCache>
                <formatCode>General</formatCode>
                <ptCount val="2"/>
                <pt idx="0">
                  <v>230</v>
                </pt>
                <pt idx="1">
                  <v>63</v>
                </pt>
              </numCache>
            </numRef>
          </val>
        </ser>
        <firstSliceAng val="0"/>
        <holeSize val="62"/>
      </doughnutChart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Cumplimiento por gerencia (ordenado de mayor a menor)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'Cálculos'!L4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'Cálculos'!$K$5:$K$14</f>
              <strCache>
                <ptCount val="10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Consejo de Administración   100%</v>
                </pt>
                <pt idx="4">
                  <v>Gerencia General   92%</v>
                </pt>
                <pt idx="5">
                  <v>Gerencia Administrativa   91%</v>
                </pt>
                <pt idx="6">
                  <v>Gerencia de Sistemas   87%</v>
                </pt>
                <pt idx="7">
                  <v>Gerencia de Operaciones   81%</v>
                </pt>
                <pt idx="8">
                  <v>Gerencia de Finanzas y Planificación   78%</v>
                </pt>
                <pt idx="9">
                  <v>Gerencia de Negocios   69%</v>
                </pt>
              </strCache>
            </strRef>
          </cat>
          <val>
            <numRef>
              <f>'Cálculos'!$L$5:$L$14</f>
              <numCache>
                <formatCode>General</formatCode>
                <ptCount val="10"/>
                <pt idx="0">
                  <v>9</v>
                </pt>
                <pt idx="1">
                  <v>7</v>
                </pt>
                <pt idx="2">
                  <v>7</v>
                </pt>
                <pt idx="3">
                  <v>1</v>
                </pt>
                <pt idx="4">
                  <v>12</v>
                </pt>
                <pt idx="5">
                  <v>32</v>
                </pt>
                <pt idx="6">
                  <v>20</v>
                </pt>
                <pt idx="7">
                  <v>21</v>
                </pt>
                <pt idx="8">
                  <v>14</v>
                </pt>
                <pt idx="9">
                  <v>107</v>
                </pt>
              </numCache>
            </numRef>
          </val>
        </ser>
        <ser>
          <idx val="1"/>
          <order val="1"/>
          <tx>
            <strRef>
              <f>'Cálculos'!M4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'Cálculos'!$K$5:$K$14</f>
              <strCache>
                <ptCount val="10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Consejo de Administración   100%</v>
                </pt>
                <pt idx="4">
                  <v>Gerencia General   92%</v>
                </pt>
                <pt idx="5">
                  <v>Gerencia Administrativa   91%</v>
                </pt>
                <pt idx="6">
                  <v>Gerencia de Sistemas   87%</v>
                </pt>
                <pt idx="7">
                  <v>Gerencia de Operaciones   81%</v>
                </pt>
                <pt idx="8">
                  <v>Gerencia de Finanzas y Planificación   78%</v>
                </pt>
                <pt idx="9">
                  <v>Gerencia de Negocios   69%</v>
                </pt>
              </strCache>
            </strRef>
          </cat>
          <val>
            <numRef>
              <f>'Cálculos'!$M$5:$M$14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3</v>
                </pt>
                <pt idx="6">
                  <v>3</v>
                </pt>
                <pt idx="7">
                  <v>5</v>
                </pt>
                <pt idx="8">
                  <v>4</v>
                </pt>
                <pt idx="9">
                  <v>47</v>
                </pt>
              </numCache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Colaboradores pendientes por gerencia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'Cálculos'!R4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'Cálculos'!$Q$5:$Q$14</f>
              <strCache>
                <ptCount val="10"/>
                <pt idx="0">
                  <v>Gerencia de Negocios</v>
                </pt>
                <pt idx="1">
                  <v>Gerencia de Operaciones</v>
                </pt>
                <pt idx="2">
                  <v>Gerencia de Finanzas y Planificación</v>
                </pt>
                <pt idx="3">
                  <v>Gerencia Administrativa</v>
                </pt>
                <pt idx="4">
                  <v>Gerencia de Sistemas</v>
                </pt>
                <pt idx="5">
                  <v>Gerencia General</v>
                </pt>
                <pt idx="6">
                  <v>Auditoría Interna</v>
                </pt>
                <pt idx="7">
                  <v>Gerencia Legal y Cumplimiento Normativo</v>
                </pt>
                <pt idx="8">
                  <v>Gerencia de Oficialía de Cumplimiento</v>
                </pt>
                <pt idx="9">
                  <v>Consejo de Administración</v>
                </pt>
              </strCache>
            </strRef>
          </cat>
          <val>
            <numRef>
              <f>'Cálculos'!$R$5:$R$14</f>
              <numCache>
                <formatCode>General</formatCode>
                <ptCount val="10"/>
                <pt idx="0">
                  <v>47</v>
                </pt>
                <pt idx="1">
                  <v>5</v>
                </pt>
                <pt idx="2">
                  <v>4</v>
                </pt>
                <pt idx="3">
                  <v>3</v>
                </pt>
                <pt idx="4">
                  <v>3</v>
                </pt>
                <pt idx="5">
                  <v>1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'Cálculos'!M19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'Cálculos'!$L$20:$L$63</f>
              <strCache>
                <ptCount val="44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GERENCIA LEGAL Y DE CUMPLIMIENTO NORMATIVO   100%</v>
                </pt>
                <pt idx="17">
                  <v>CONSEJO DE ADMINISTRACION   100%</v>
                </pt>
                <pt idx="18">
                  <v>AGENCIA MERLIOT   92%</v>
                </pt>
                <pt idx="19">
                  <v>DEPARTAMENTO DE ANALISIS Y PROGRAMACIÓN   91%</v>
                </pt>
                <pt idx="20">
                  <v>DEPARTAMENTO DE SEGUROS   91%</v>
                </pt>
                <pt idx="21">
                  <v>DEPARTAMENTO DE SOLUCIONES FINANCIERAS   90%</v>
                </pt>
                <pt idx="22">
                  <v>AGENCIA PLAZA MUNDO   88%</v>
                </pt>
                <pt idx="23">
                  <v>AGENCIA SAN MIGUEL   88%</v>
                </pt>
                <pt idx="24">
                  <v>DEPARTAMENTO COMERCIAL DE TARJETA DE CREDITO Y DEBITO   88%</v>
                </pt>
                <pt idx="25">
                  <v>DEPARTAMENTO DE ATENCION A ASOCIADO Y CLIENTE   86%</v>
                </pt>
                <pt idx="26">
                  <v>DEPARTAMENTO DE OPERACIONES Y SOPORTE TECNICO   86%</v>
                </pt>
                <pt idx="27">
                  <v>AGENCIA COLEGIO MEDICO   83%</v>
                </pt>
                <pt idx="28">
                  <v>ADMINISTRACIÓN DE CARTERAS   80%</v>
                </pt>
                <pt idx="29">
                  <v>DEPARTAMENTO DE CONTABILIDAD   77%</v>
                </pt>
                <pt idx="30">
                  <v>GERENCIA DE NEGOCIOS   75%</v>
                </pt>
                <pt idx="31">
                  <v>GERENCIA DE SISTEMAS   75%</v>
                </pt>
                <pt idx="32">
                  <v>DEPARTAMENTO DE TARJETA DE CREDITO Y DEBITO   67%</v>
                </pt>
                <pt idx="33">
                  <v>DEPARTAMENTO DE PLANIFICACIÓN Y ANALISIS   67%</v>
                </pt>
                <pt idx="34">
                  <v>DEPARTAMENTO DE TALENTO HUMANO   67%</v>
                </pt>
                <pt idx="35">
                  <v>AGENCIA SANTA ANA   50%</v>
                </pt>
                <pt idx="36">
                  <v>GERENCIA GENERAL   50%</v>
                </pt>
                <pt idx="37">
                  <v>AGENCIA CENTRAL   44%</v>
                </pt>
                <pt idx="38">
                  <v>AGENCIA COLONIA MEDICA   44%</v>
                </pt>
                <pt idx="39">
                  <v>SUB GERENCIA DE CANALES   43%</v>
                </pt>
                <pt idx="40">
                  <v>DEPARTAMENTO DE EDUCACION Y RESPONSABILIDAD SOCIAL   33%</v>
                </pt>
                <pt idx="41">
                  <v>DEPARTAMENTO DE MERCADEO   29%</v>
                </pt>
                <pt idx="42">
                  <v>AGENCIA SONSONATE   14%</v>
                </pt>
                <pt idx="43">
                  <v>GERENCIA DE OPERACIONES   0%</v>
                </pt>
              </strCache>
            </strRef>
          </cat>
          <val>
            <numRef>
              <f>'Cálculos'!$M$20:$M$63</f>
              <numCache>
                <formatCode>General</formatCode>
                <ptCount val="44"/>
                <pt idx="0">
                  <v>17</v>
                </pt>
                <pt idx="1">
                  <v>13</v>
                </pt>
                <pt idx="2">
                  <v>8</v>
                </pt>
                <pt idx="3">
                  <v>7</v>
                </pt>
                <pt idx="4">
                  <v>7</v>
                </pt>
                <pt idx="5">
                  <v>7</v>
                </pt>
                <pt idx="6">
                  <v>6</v>
                </pt>
                <pt idx="7">
                  <v>4</v>
                </pt>
                <pt idx="8">
                  <v>4</v>
                </pt>
                <pt idx="9">
                  <v>4</v>
                </pt>
                <pt idx="10">
                  <v>3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12</v>
                </pt>
                <pt idx="19">
                  <v>10</v>
                </pt>
                <pt idx="20">
                  <v>10</v>
                </pt>
                <pt idx="21">
                  <v>9</v>
                </pt>
                <pt idx="22">
                  <v>7</v>
                </pt>
                <pt idx="23">
                  <v>7</v>
                </pt>
                <pt idx="24">
                  <v>7</v>
                </pt>
                <pt idx="25">
                  <v>6</v>
                </pt>
                <pt idx="26">
                  <v>6</v>
                </pt>
                <pt idx="27">
                  <v>10</v>
                </pt>
                <pt idx="28">
                  <v>4</v>
                </pt>
                <pt idx="29">
                  <v>10</v>
                </pt>
                <pt idx="30">
                  <v>3</v>
                </pt>
                <pt idx="31">
                  <v>3</v>
                </pt>
                <pt idx="32">
                  <v>4</v>
                </pt>
                <pt idx="33">
                  <v>2</v>
                </pt>
                <pt idx="34">
                  <v>2</v>
                </pt>
                <pt idx="35">
                  <v>4</v>
                </pt>
                <pt idx="36">
                  <v>1</v>
                </pt>
                <pt idx="37">
                  <v>8</v>
                </pt>
                <pt idx="38">
                  <v>7</v>
                </pt>
                <pt idx="39">
                  <v>3</v>
                </pt>
                <pt idx="40">
                  <v>1</v>
                </pt>
                <pt idx="41">
                  <v>2</v>
                </pt>
                <pt idx="42">
                  <v>1</v>
                </pt>
                <pt idx="43">
                  <v>0</v>
                </pt>
              </numCache>
            </numRef>
          </val>
        </ser>
        <ser>
          <idx val="1"/>
          <order val="1"/>
          <tx>
            <strRef>
              <f>'Cálculos'!N19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'Cálculos'!$L$20:$L$63</f>
              <strCache>
                <ptCount val="44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GERENCIA LEGAL Y DE CUMPLIMIENTO NORMATIVO   100%</v>
                </pt>
                <pt idx="17">
                  <v>CONSEJO DE ADMINISTRACION   100%</v>
                </pt>
                <pt idx="18">
                  <v>AGENCIA MERLIOT   92%</v>
                </pt>
                <pt idx="19">
                  <v>DEPARTAMENTO DE ANALISIS Y PROGRAMACIÓN   91%</v>
                </pt>
                <pt idx="20">
                  <v>DEPARTAMENTO DE SEGUROS   91%</v>
                </pt>
                <pt idx="21">
                  <v>DEPARTAMENTO DE SOLUCIONES FINANCIERAS   90%</v>
                </pt>
                <pt idx="22">
                  <v>AGENCIA PLAZA MUNDO   88%</v>
                </pt>
                <pt idx="23">
                  <v>AGENCIA SAN MIGUEL   88%</v>
                </pt>
                <pt idx="24">
                  <v>DEPARTAMENTO COMERCIAL DE TARJETA DE CREDITO Y DEBITO   88%</v>
                </pt>
                <pt idx="25">
                  <v>DEPARTAMENTO DE ATENCION A ASOCIADO Y CLIENTE   86%</v>
                </pt>
                <pt idx="26">
                  <v>DEPARTAMENTO DE OPERACIONES Y SOPORTE TECNICO   86%</v>
                </pt>
                <pt idx="27">
                  <v>AGENCIA COLEGIO MEDICO   83%</v>
                </pt>
                <pt idx="28">
                  <v>ADMINISTRACIÓN DE CARTERAS   80%</v>
                </pt>
                <pt idx="29">
                  <v>DEPARTAMENTO DE CONTABILIDAD   77%</v>
                </pt>
                <pt idx="30">
                  <v>GERENCIA DE NEGOCIOS   75%</v>
                </pt>
                <pt idx="31">
                  <v>GERENCIA DE SISTEMAS   75%</v>
                </pt>
                <pt idx="32">
                  <v>DEPARTAMENTO DE TARJETA DE CREDITO Y DEBITO   67%</v>
                </pt>
                <pt idx="33">
                  <v>DEPARTAMENTO DE PLANIFICACIÓN Y ANALISIS   67%</v>
                </pt>
                <pt idx="34">
                  <v>DEPARTAMENTO DE TALENTO HUMANO   67%</v>
                </pt>
                <pt idx="35">
                  <v>AGENCIA SANTA ANA   50%</v>
                </pt>
                <pt idx="36">
                  <v>GERENCIA GENERAL   50%</v>
                </pt>
                <pt idx="37">
                  <v>AGENCIA CENTRAL   44%</v>
                </pt>
                <pt idx="38">
                  <v>AGENCIA COLONIA MEDICA   44%</v>
                </pt>
                <pt idx="39">
                  <v>SUB GERENCIA DE CANALES   43%</v>
                </pt>
                <pt idx="40">
                  <v>DEPARTAMENTO DE EDUCACION Y RESPONSABILIDAD SOCIAL   33%</v>
                </pt>
                <pt idx="41">
                  <v>DEPARTAMENTO DE MERCADEO   29%</v>
                </pt>
                <pt idx="42">
                  <v>AGENCIA SONSONATE   14%</v>
                </pt>
                <pt idx="43">
                  <v>GERENCIA DE OPERACIONES   0%</v>
                </pt>
              </strCache>
            </strRef>
          </cat>
          <val>
            <numRef>
              <f>'Cálculos'!$N$20:$N$63</f>
              <numCache>
                <formatCode>General</formatCode>
                <ptCount val="4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2</v>
                </pt>
                <pt idx="28">
                  <v>1</v>
                </pt>
                <pt idx="29">
                  <v>3</v>
                </pt>
                <pt idx="30">
                  <v>1</v>
                </pt>
                <pt idx="31">
                  <v>1</v>
                </pt>
                <pt idx="32">
                  <v>2</v>
                </pt>
                <pt idx="33">
                  <v>1</v>
                </pt>
                <pt idx="34">
                  <v>1</v>
                </pt>
                <pt idx="35">
                  <v>4</v>
                </pt>
                <pt idx="36">
                  <v>1</v>
                </pt>
                <pt idx="37">
                  <v>10</v>
                </pt>
                <pt idx="38">
                  <v>9</v>
                </pt>
                <pt idx="39">
                  <v>4</v>
                </pt>
                <pt idx="40">
                  <v>2</v>
                </pt>
                <pt idx="41">
                  <v>5</v>
                </pt>
                <pt idx="42">
                  <v>6</v>
                </pt>
                <pt idx="43">
                  <v>1</v>
                </pt>
              </numCache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9</row>
      <rowOff>0</rowOff>
    </from>
    <ext cx="6696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</row>
      <rowOff>0</rowOff>
    </from>
    <ext cx="10224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49" customWidth="1" min="2" max="2"/>
    <col width="17" customWidth="1" min="3" max="3"/>
    <col width="64" customWidth="1" min="4" max="4"/>
    <col width="13" customWidth="1" min="5" max="5"/>
    <col width="57" customWidth="1" min="6" max="6"/>
    <col width="43" customWidth="1" min="7" max="7"/>
  </cols>
  <sheetData>
    <row r="1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</row>
    <row r="5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</row>
    <row r="6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</row>
    <row r="7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</row>
    <row r="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</row>
    <row r="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</row>
    <row r="10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</row>
    <row r="11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</row>
    <row r="12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</row>
    <row r="13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</row>
    <row r="14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</row>
    <row r="15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</row>
    <row r="16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</row>
    <row r="17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</row>
    <row r="1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</row>
    <row r="1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</row>
    <row r="20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</row>
    <row r="21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</row>
    <row r="22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</row>
    <row r="23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</row>
    <row r="24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</row>
    <row r="25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</row>
    <row r="26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</row>
    <row r="27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</row>
    <row r="2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</row>
    <row r="2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</row>
    <row r="30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</row>
    <row r="31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</row>
    <row r="32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</row>
    <row r="33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</row>
    <row r="34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</row>
    <row r="35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</row>
    <row r="36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</row>
    <row r="37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</row>
    <row r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</row>
    <row r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</row>
    <row r="40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</row>
    <row r="41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</row>
    <row r="42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</row>
    <row r="43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</row>
    <row r="44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</row>
    <row r="45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</row>
    <row r="46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</row>
    <row r="47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</row>
    <row r="4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</row>
    <row r="4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</row>
    <row r="50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</row>
    <row r="51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</row>
    <row r="52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</row>
    <row r="53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</row>
    <row r="54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</row>
    <row r="55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</row>
    <row r="56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Administrativa</t>
        </is>
      </c>
    </row>
    <row r="57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Administrativa</t>
        </is>
      </c>
    </row>
    <row r="5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Administrativa</t>
        </is>
      </c>
    </row>
    <row r="5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Operaciones</t>
        </is>
      </c>
    </row>
    <row r="60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Operaciones</t>
        </is>
      </c>
    </row>
    <row r="61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Operaciones</t>
        </is>
      </c>
    </row>
    <row r="62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Operaciones</t>
        </is>
      </c>
    </row>
    <row r="63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Operaciones</t>
        </is>
      </c>
    </row>
    <row r="64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Operaciones</t>
        </is>
      </c>
    </row>
    <row r="65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Operaciones</t>
        </is>
      </c>
    </row>
    <row r="66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Operaciones</t>
        </is>
      </c>
    </row>
    <row r="67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Operaciones</t>
        </is>
      </c>
    </row>
    <row r="6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Operaciones</t>
        </is>
      </c>
    </row>
    <row r="6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</row>
    <row r="70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</row>
    <row r="71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</row>
    <row r="72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</row>
    <row r="73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</row>
    <row r="74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</row>
    <row r="75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</row>
    <row r="76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</row>
    <row r="77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</row>
    <row r="7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</row>
    <row r="7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</row>
    <row r="80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</row>
    <row r="81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</row>
    <row r="82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</row>
    <row r="83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</row>
    <row r="84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</row>
    <row r="85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</row>
    <row r="86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</row>
    <row r="87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</row>
    <row r="8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</row>
    <row r="8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</row>
    <row r="90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</row>
    <row r="91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</row>
    <row r="92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</row>
    <row r="93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</row>
    <row r="94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</row>
    <row r="95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</row>
    <row r="96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</row>
    <row r="97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</row>
    <row r="9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</row>
    <row r="9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</row>
    <row r="100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</row>
    <row r="101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</row>
    <row r="102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</row>
    <row r="103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</row>
    <row r="104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</row>
    <row r="105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</row>
    <row r="106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</row>
    <row r="107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</row>
    <row r="10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</row>
    <row r="10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</row>
    <row r="110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</row>
    <row r="111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</row>
    <row r="112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</row>
    <row r="113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</row>
    <row r="114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</row>
    <row r="115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</row>
    <row r="116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</row>
    <row r="117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</row>
    <row r="11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</row>
    <row r="11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</row>
    <row r="120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</row>
    <row r="121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</row>
    <row r="122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</row>
    <row r="123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</row>
    <row r="124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</row>
    <row r="125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</row>
    <row r="126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</row>
    <row r="127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</row>
    <row r="12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</row>
    <row r="12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</row>
    <row r="130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</row>
    <row r="131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</row>
    <row r="132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</row>
    <row r="133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</row>
    <row r="134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</row>
    <row r="135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</row>
    <row r="136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</row>
    <row r="137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</row>
    <row r="1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</row>
    <row r="1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</row>
    <row r="140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</row>
    <row r="141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</row>
    <row r="142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</row>
    <row r="143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</row>
    <row r="144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</row>
    <row r="145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</row>
    <row r="146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</row>
    <row r="147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</row>
    <row r="14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</row>
    <row r="14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</row>
    <row r="150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</row>
    <row r="151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</row>
    <row r="152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</row>
    <row r="153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</row>
    <row r="154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</row>
    <row r="155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</row>
    <row r="156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</row>
    <row r="157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</row>
    <row r="15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</row>
    <row r="15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</row>
    <row r="160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</row>
    <row r="161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</row>
    <row r="162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</row>
    <row r="163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</row>
    <row r="164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</row>
    <row r="165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</row>
    <row r="166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</row>
    <row r="167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</row>
    <row r="16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</row>
    <row r="16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</row>
    <row r="170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</row>
    <row r="171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</row>
    <row r="172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</row>
    <row r="173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</row>
    <row r="174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</row>
    <row r="175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</row>
    <row r="176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</row>
    <row r="177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</row>
    <row r="17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</row>
    <row r="17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</row>
    <row r="180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</row>
    <row r="181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</row>
    <row r="182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</row>
    <row r="183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</row>
    <row r="184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</row>
    <row r="185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</row>
    <row r="186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</row>
    <row r="187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</row>
    <row r="18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</row>
    <row r="18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</row>
    <row r="190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</row>
    <row r="191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</row>
    <row r="192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</row>
    <row r="193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</row>
    <row r="194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</row>
    <row r="195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</row>
    <row r="196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</row>
    <row r="197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</row>
    <row r="19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</row>
    <row r="19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</row>
    <row r="200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</row>
    <row r="202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</row>
    <row r="203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</row>
    <row r="204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</row>
    <row r="205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</row>
    <row r="206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</row>
    <row r="207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</row>
    <row r="20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</row>
    <row r="20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</row>
    <row r="210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</row>
    <row r="211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</row>
    <row r="212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</row>
    <row r="213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</row>
    <row r="214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</row>
    <row r="215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</row>
    <row r="216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</row>
    <row r="217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</row>
    <row r="21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</row>
    <row r="220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</row>
    <row r="221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</row>
    <row r="222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</row>
    <row r="223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</row>
    <row r="224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</row>
    <row r="225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</row>
    <row r="226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</row>
    <row r="227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</row>
    <row r="22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</row>
    <row r="22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</row>
    <row r="230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</row>
    <row r="231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</row>
    <row r="232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</row>
    <row r="233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</row>
    <row r="234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</row>
    <row r="235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</row>
    <row r="236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</row>
    <row r="237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</row>
    <row r="2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</row>
    <row r="2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</row>
    <row r="240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</row>
    <row r="241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</row>
    <row r="242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</row>
    <row r="243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</row>
    <row r="244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</row>
    <row r="245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</row>
    <row r="246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</row>
    <row r="247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</row>
    <row r="24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</row>
    <row r="24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</row>
    <row r="250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</row>
    <row r="251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</row>
    <row r="252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</row>
    <row r="253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</row>
    <row r="254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</row>
    <row r="255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</row>
    <row r="256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</row>
    <row r="257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</row>
    <row r="25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</row>
    <row r="25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</row>
    <row r="260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</row>
    <row r="261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</row>
    <row r="262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</row>
    <row r="263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</row>
    <row r="264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</row>
    <row r="265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</row>
    <row r="266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</row>
    <row r="267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</row>
    <row r="26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</row>
    <row r="26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</row>
    <row r="270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</row>
    <row r="271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</row>
    <row r="272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</row>
    <row r="273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</row>
    <row r="274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</row>
    <row r="275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</row>
    <row r="276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</row>
    <row r="277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</row>
    <row r="27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</row>
    <row r="27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</row>
    <row r="280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</row>
    <row r="281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</row>
    <row r="282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</row>
    <row r="283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</row>
    <row r="284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</row>
    <row r="285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</row>
    <row r="286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</row>
    <row r="287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</row>
    <row r="28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</row>
    <row r="28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</row>
    <row r="290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</row>
    <row r="291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</row>
    <row r="292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</row>
    <row r="293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</row>
    <row r="294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</row>
    <row r="295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</row>
    <row r="296">
      <c r="A296" s="4" t="inlineStr">
        <is>
          <t>53</t>
        </is>
      </c>
      <c r="B296" s="5" t="inlineStr">
        <is>
          <t>CLAUDIA MARIA GIMENEZ PEREZ</t>
        </is>
      </c>
      <c r="C296" s="4" t="n"/>
      <c r="D296" s="5" t="inlineStr">
        <is>
          <t>ASISTENTE DEL CONSEJO DE ADMINISTRACION</t>
        </is>
      </c>
      <c r="E296" s="5" t="n"/>
      <c r="F296" s="5" t="inlineStr">
        <is>
          <t>CONSEJO DE ADMINISTRACION</t>
        </is>
      </c>
      <c r="G296" s="5" t="inlineStr">
        <is>
          <t>Consejo de Administración</t>
        </is>
      </c>
    </row>
    <row r="297">
      <c r="A297" s="4" t="inlineStr">
        <is>
          <t>986</t>
        </is>
      </c>
      <c r="B297" s="5" t="inlineStr">
        <is>
          <t>JENNIFER ROXANA AYALA AYALA</t>
        </is>
      </c>
      <c r="C297" s="4" t="n"/>
      <c r="D297" s="5" t="inlineStr">
        <is>
          <t>(CARGO POR CONFIRMAR)</t>
        </is>
      </c>
      <c r="E297" s="5" t="n"/>
      <c r="F297" s="5" t="inlineStr">
        <is>
          <t>DEPARTAMENTO DE ATENCION A ASOCIADO Y CLIENTE</t>
        </is>
      </c>
      <c r="G297" s="5" t="inlineStr">
        <is>
          <t>Gerencia de Negocios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1" tabSelected="0" workbookViewId="0">
      <selection activeCell="A1" sqref="A1"/>
    </sheetView>
  </sheetViews>
  <sheetFormatPr baseColWidth="8" defaultRowHeight="15"/>
  <cols>
    <col width="52" customWidth="1" min="1" max="1"/>
    <col width="62" customWidth="1" min="2" max="2"/>
    <col width="22" customWidth="1" min="3" max="3"/>
    <col width="23" customWidth="1" min="4" max="4"/>
    <col width="24" customWidth="1" min="5" max="5"/>
    <col width="21" customWidth="1" min="6" max="6"/>
    <col width="12" customWidth="1" min="7" max="7"/>
    <col width="13" customWidth="1" min="8" max="8"/>
    <col hidden="1" width="13" customWidth="1" min="9" max="9"/>
  </cols>
  <sheetData>
    <row r="1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  <c r="I4" s="3" t="inlineStr">
        <is>
          <t>Clave auxiliar (no editar)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4" t="inlineStr">
        <is>
          <t>524</t>
        </is>
      </c>
      <c r="D5" s="25" t="n">
        <v>46296.42706018518</v>
      </c>
      <c r="E5" s="25" t="n">
        <v>46296.42956018518</v>
      </c>
      <c r="F5" s="7">
        <f>(E5-D5)*1440</f>
        <v>3.6</v>
      </c>
      <c r="G5" s="6" t="n">
        <v>100</v>
      </c>
      <c r="H5" s="6" t="inlineStr">
        <is>
          <t>anonymous</t>
        </is>
      </c>
      <c r="I5" t="str">
        <f>IF(C5="","",C5&amp;"|"&amp;G5)</f>
        <v>524|100</v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4" t="inlineStr">
        <is>
          <t>894</t>
        </is>
      </c>
      <c r="D6" s="25" t="n">
        <v>46296.42641203704</v>
      </c>
      <c r="E6" s="25" t="n">
        <v>46296.431875</v>
      </c>
      <c r="F6" s="7">
        <f>(E6-D6)*1440</f>
        <v>7.86666666666667</v>
      </c>
      <c r="G6" s="6" t="n">
        <v>100</v>
      </c>
      <c r="H6" s="6" t="inlineStr">
        <is>
          <t>anonymous</t>
        </is>
      </c>
      <c r="I6" t="str">
        <f>IF(C6="","",C6&amp;"|"&amp;G6)</f>
        <v>894|100</v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4" t="inlineStr">
        <is>
          <t>408</t>
        </is>
      </c>
      <c r="D7" s="25" t="n">
        <v>46296.43667824074</v>
      </c>
      <c r="E7" s="25" t="n">
        <v>46296.43879629629</v>
      </c>
      <c r="F7" s="7">
        <f>(E7-D7)*1440</f>
        <v>3.05</v>
      </c>
      <c r="G7" s="6" t="n">
        <v>100</v>
      </c>
      <c r="H7" s="6" t="inlineStr">
        <is>
          <t>anonymous</t>
        </is>
      </c>
      <c r="I7" t="str">
        <f>IF(C7="","",C7&amp;"|"&amp;G7)</f>
        <v>408|100</v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4" t="inlineStr">
        <is>
          <t>197</t>
        </is>
      </c>
      <c r="D8" s="25" t="n">
        <v>46296.43491898148</v>
      </c>
      <c r="E8" s="25" t="n">
        <v>46296.44064814815</v>
      </c>
      <c r="F8" s="7">
        <f>(E8-D8)*1440</f>
        <v>8.25</v>
      </c>
      <c r="G8" s="6" t="n">
        <v>100</v>
      </c>
      <c r="H8" s="6" t="inlineStr">
        <is>
          <t>anonymous</t>
        </is>
      </c>
      <c r="I8" t="str">
        <f>IF(C8="","",C8&amp;"|"&amp;G8)</f>
        <v>197|100</v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4" t="inlineStr">
        <is>
          <t>817</t>
        </is>
      </c>
      <c r="D9" s="25" t="n">
        <v>46296.43665509259</v>
      </c>
      <c r="E9" s="25" t="n">
        <v>46296.44137731481</v>
      </c>
      <c r="F9" s="7">
        <f>(E9-D9)*1440</f>
        <v>6.8</v>
      </c>
      <c r="G9" s="6" t="n">
        <v>100</v>
      </c>
      <c r="H9" s="6" t="inlineStr">
        <is>
          <t>anonymous</t>
        </is>
      </c>
      <c r="I9" t="str">
        <f>IF(C9="","",C9&amp;"|"&amp;G9)</f>
        <v>817|100</v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4" t="inlineStr">
        <is>
          <t>932</t>
        </is>
      </c>
      <c r="D10" s="25" t="n">
        <v>46296.4371875</v>
      </c>
      <c r="E10" s="25" t="n">
        <v>46296.44143518519</v>
      </c>
      <c r="F10" s="7">
        <f>(E10-D10)*1440</f>
        <v>6.11666666666667</v>
      </c>
      <c r="G10" s="6" t="n">
        <v>100</v>
      </c>
      <c r="H10" s="6" t="inlineStr">
        <is>
          <t>anonymous</t>
        </is>
      </c>
      <c r="I10" t="str">
        <f>IF(C10="","",C10&amp;"|"&amp;G10)</f>
        <v>932|100</v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4" t="inlineStr">
        <is>
          <t>318</t>
        </is>
      </c>
      <c r="D11" s="25" t="n">
        <v>46296.43657407408</v>
      </c>
      <c r="E11" s="25" t="n">
        <v>46296.44149305556</v>
      </c>
      <c r="F11" s="7">
        <f>(E11-D11)*1440</f>
        <v>7.08333333333333</v>
      </c>
      <c r="G11" s="6" t="n">
        <v>100</v>
      </c>
      <c r="H11" s="6" t="inlineStr">
        <is>
          <t>anonymous</t>
        </is>
      </c>
      <c r="I11" t="str">
        <f>IF(C11="","",C11&amp;"|"&amp;G11)</f>
        <v>318|100</v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4" t="inlineStr">
        <is>
          <t>776</t>
        </is>
      </c>
      <c r="D12" s="25" t="n">
        <v>46296.44304398148</v>
      </c>
      <c r="E12" s="25" t="n">
        <v>46296.44540509259</v>
      </c>
      <c r="F12" s="7">
        <f>(E12-D12)*1440</f>
        <v>3.4</v>
      </c>
      <c r="G12" s="6" t="n">
        <v>100</v>
      </c>
      <c r="H12" s="6" t="inlineStr">
        <is>
          <t>anonymous</t>
        </is>
      </c>
      <c r="I12" t="str">
        <f>IF(C12="","",C12&amp;"|"&amp;G12)</f>
        <v>776|100</v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4" t="inlineStr">
        <is>
          <t>390</t>
        </is>
      </c>
      <c r="D13" s="25" t="n">
        <v>46296.44636574074</v>
      </c>
      <c r="E13" s="25" t="n">
        <v>46296.44844907407</v>
      </c>
      <c r="F13" s="7">
        <f>(E13-D13)*1440</f>
        <v>3</v>
      </c>
      <c r="G13" s="6" t="n">
        <v>100</v>
      </c>
      <c r="H13" s="6" t="inlineStr">
        <is>
          <t>anonymous</t>
        </is>
      </c>
      <c r="I13" t="str">
        <f>IF(C13="","",C13&amp;"|"&amp;G13)</f>
        <v>390|100</v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4" t="inlineStr">
        <is>
          <t>907</t>
        </is>
      </c>
      <c r="D14" s="25" t="n">
        <v>46296.44221064815</v>
      </c>
      <c r="E14" s="25" t="n">
        <v>46296.44850694444</v>
      </c>
      <c r="F14" s="7">
        <f>(E14-D14)*1440</f>
        <v>9.06666666666667</v>
      </c>
      <c r="G14" s="6" t="n">
        <v>85</v>
      </c>
      <c r="H14" s="6" t="inlineStr">
        <is>
          <t>anonymous</t>
        </is>
      </c>
      <c r="I14" t="str">
        <f>IF(C14="","",C14&amp;"|"&amp;G14)</f>
        <v>907|85</v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4" t="inlineStr">
        <is>
          <t>918</t>
        </is>
      </c>
      <c r="D15" s="25" t="n">
        <v>46296.4418287037</v>
      </c>
      <c r="E15" s="25" t="n">
        <v>46296.44851851852</v>
      </c>
      <c r="F15" s="7">
        <f>(E15-D15)*1440</f>
        <v>9.63333333333333</v>
      </c>
      <c r="G15" s="6" t="n">
        <v>100</v>
      </c>
      <c r="H15" s="6" t="inlineStr">
        <is>
          <t>anonymous</t>
        </is>
      </c>
      <c r="I15" t="str">
        <f>IF(C15="","",C15&amp;"|"&amp;G15)</f>
        <v>918|100</v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4" t="inlineStr">
        <is>
          <t>710</t>
        </is>
      </c>
      <c r="D16" s="25" t="n">
        <v>46296.44082175926</v>
      </c>
      <c r="E16" s="25" t="n">
        <v>46296.4489699074</v>
      </c>
      <c r="F16" s="7">
        <f>(E16-D16)*1440</f>
        <v>11.7333333333333</v>
      </c>
      <c r="G16" s="6" t="n">
        <v>100</v>
      </c>
      <c r="H16" s="6" t="inlineStr">
        <is>
          <t>anonymous</t>
        </is>
      </c>
      <c r="I16" t="str">
        <f>IF(C16="","",C16&amp;"|"&amp;G16)</f>
        <v>710|100</v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4" t="inlineStr">
        <is>
          <t>950</t>
        </is>
      </c>
      <c r="D17" s="25" t="n">
        <v>46296.44081018519</v>
      </c>
      <c r="E17" s="25" t="n">
        <v>46296.44909722222</v>
      </c>
      <c r="F17" s="7">
        <f>(E17-D17)*1440</f>
        <v>11.9333333333333</v>
      </c>
      <c r="G17" s="6" t="n">
        <v>100</v>
      </c>
      <c r="H17" s="6" t="inlineStr">
        <is>
          <t>anonymous</t>
        </is>
      </c>
      <c r="I17" t="str">
        <f>IF(C17="","",C17&amp;"|"&amp;G17)</f>
        <v>950|100</v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4" t="inlineStr">
        <is>
          <t>807</t>
        </is>
      </c>
      <c r="D18" s="25" t="n">
        <v>46296.44934027778</v>
      </c>
      <c r="E18" s="25" t="n">
        <v>46296.45224537037</v>
      </c>
      <c r="F18" s="7">
        <f>(E18-D18)*1440</f>
        <v>4.18333333333333</v>
      </c>
      <c r="G18" s="6" t="n">
        <v>100</v>
      </c>
      <c r="H18" s="6" t="inlineStr">
        <is>
          <t>anonymous</t>
        </is>
      </c>
      <c r="I18" t="str">
        <f>IF(C18="","",C18&amp;"|"&amp;G18)</f>
        <v>807|100</v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4" t="inlineStr">
        <is>
          <t>633</t>
        </is>
      </c>
      <c r="D19" s="25" t="n">
        <v>46296.45108796296</v>
      </c>
      <c r="E19" s="25" t="n">
        <v>46296.45368055555</v>
      </c>
      <c r="F19" s="7">
        <f>(E19-D19)*1440</f>
        <v>3.73333333333333</v>
      </c>
      <c r="G19" s="6" t="n">
        <v>100</v>
      </c>
      <c r="H19" s="6" t="inlineStr">
        <is>
          <t>anonymous</t>
        </is>
      </c>
      <c r="I19" t="str">
        <f>IF(C19="","",C19&amp;"|"&amp;G19)</f>
        <v>633|100</v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4" t="inlineStr">
        <is>
          <t>545</t>
        </is>
      </c>
      <c r="D20" s="25" t="n">
        <v>46296.44934027778</v>
      </c>
      <c r="E20" s="25" t="n">
        <v>46296.45449074074</v>
      </c>
      <c r="F20" s="7">
        <f>(E20-D20)*1440</f>
        <v>7.41666666666667</v>
      </c>
      <c r="G20" s="6" t="n">
        <v>100</v>
      </c>
      <c r="H20" s="6" t="inlineStr">
        <is>
          <t>anonymous</t>
        </is>
      </c>
      <c r="I20" t="str">
        <f>IF(C20="","",C20&amp;"|"&amp;G20)</f>
        <v>545|100</v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4" t="inlineStr">
        <is>
          <t>901</t>
        </is>
      </c>
      <c r="D21" s="25" t="n">
        <v>46296.45403935185</v>
      </c>
      <c r="E21" s="25" t="n">
        <v>46296.45633101852</v>
      </c>
      <c r="F21" s="7">
        <f>(E21-D21)*1440</f>
        <v>3.3</v>
      </c>
      <c r="G21" s="6" t="n">
        <v>100</v>
      </c>
      <c r="H21" s="6" t="inlineStr">
        <is>
          <t>anonymous</t>
        </is>
      </c>
      <c r="I21" t="str">
        <f>IF(C21="","",C21&amp;"|"&amp;G21)</f>
        <v>901|100</v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4" t="inlineStr">
        <is>
          <t>777</t>
        </is>
      </c>
      <c r="D22" s="25" t="n">
        <v>46296.45601851852</v>
      </c>
      <c r="E22" s="25" t="n">
        <v>46296.45806712963</v>
      </c>
      <c r="F22" s="7">
        <f>(E22-D22)*1440</f>
        <v>2.95</v>
      </c>
      <c r="G22" s="6" t="n">
        <v>100</v>
      </c>
      <c r="H22" s="6" t="inlineStr">
        <is>
          <t>anonymous</t>
        </is>
      </c>
      <c r="I22" t="str">
        <f>IF(C22="","",C22&amp;"|"&amp;G22)</f>
        <v>777|100</v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4" t="inlineStr">
        <is>
          <t>452</t>
        </is>
      </c>
      <c r="D23" s="25" t="n">
        <v>46296.45732638889</v>
      </c>
      <c r="E23" s="25" t="n">
        <v>46296.46072916667</v>
      </c>
      <c r="F23" s="7">
        <f>(E23-D23)*1440</f>
        <v>4.9</v>
      </c>
      <c r="G23" s="6" t="n">
        <v>90</v>
      </c>
      <c r="H23" s="6" t="inlineStr">
        <is>
          <t>anonymous</t>
        </is>
      </c>
      <c r="I23" t="str">
        <f>IF(C23="","",C23&amp;"|"&amp;G23)</f>
        <v>452|90</v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4" t="inlineStr">
        <is>
          <t>689</t>
        </is>
      </c>
      <c r="D24" s="25" t="n">
        <v>46296.45379629629</v>
      </c>
      <c r="E24" s="25" t="n">
        <v>46296.46570601852</v>
      </c>
      <c r="F24" s="7">
        <f>(E24-D24)*1440</f>
        <v>17.15</v>
      </c>
      <c r="G24" s="6" t="n">
        <v>100</v>
      </c>
      <c r="H24" s="6" t="inlineStr">
        <is>
          <t>anonymous</t>
        </is>
      </c>
      <c r="I24" t="str">
        <f>IF(C24="","",C24&amp;"|"&amp;G24)</f>
        <v>689|100</v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4" t="inlineStr">
        <is>
          <t>360</t>
        </is>
      </c>
      <c r="D25" s="25" t="n">
        <v>46296.47090277778</v>
      </c>
      <c r="E25" s="25" t="n">
        <v>46296.47634259259</v>
      </c>
      <c r="F25" s="7">
        <f>(E25-D25)*1440</f>
        <v>7.83333333333333</v>
      </c>
      <c r="G25" s="6" t="n">
        <v>100</v>
      </c>
      <c r="H25" s="6" t="inlineStr">
        <is>
          <t>anonymous</t>
        </is>
      </c>
      <c r="I25" t="str">
        <f>IF(C25="","",C25&amp;"|"&amp;G25)</f>
        <v>360|100</v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4" t="inlineStr">
        <is>
          <t>862</t>
        </is>
      </c>
      <c r="D26" s="25" t="n">
        <v>46296.47011574074</v>
      </c>
      <c r="E26" s="25" t="n">
        <v>46296.47738425926</v>
      </c>
      <c r="F26" s="7">
        <f>(E26-D26)*1440</f>
        <v>10.4666666666667</v>
      </c>
      <c r="G26" s="6" t="n">
        <v>100</v>
      </c>
      <c r="H26" s="6" t="inlineStr">
        <is>
          <t>anonymous</t>
        </is>
      </c>
      <c r="I26" t="str">
        <f>IF(C26="","",C26&amp;"|"&amp;G26)</f>
        <v>862|100</v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4" t="inlineStr">
        <is>
          <t>914</t>
        </is>
      </c>
      <c r="D27" s="25" t="n">
        <v>46296.47130787037</v>
      </c>
      <c r="E27" s="25" t="n">
        <v>46296.47803240741</v>
      </c>
      <c r="F27" s="7">
        <f>(E27-D27)*1440</f>
        <v>9.68333333333333</v>
      </c>
      <c r="G27" s="6" t="n">
        <v>100</v>
      </c>
      <c r="H27" s="6" t="inlineStr">
        <is>
          <t>anonymous</t>
        </is>
      </c>
      <c r="I27" t="str">
        <f>IF(C27="","",C27&amp;"|"&amp;G27)</f>
        <v>914|100</v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4" t="inlineStr">
        <is>
          <t>984</t>
        </is>
      </c>
      <c r="D28" s="25" t="n">
        <v>46296.4722337963</v>
      </c>
      <c r="E28" s="25" t="n">
        <v>46296.48002314815</v>
      </c>
      <c r="F28" s="7">
        <f>(E28-D28)*1440</f>
        <v>11.2166666666667</v>
      </c>
      <c r="G28" s="6" t="n">
        <v>100</v>
      </c>
      <c r="H28" s="6" t="inlineStr">
        <is>
          <t>anonymous</t>
        </is>
      </c>
      <c r="I28" t="str">
        <f>IF(C28="","",C28&amp;"|"&amp;G28)</f>
        <v>984|100</v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4" t="inlineStr">
        <is>
          <t>860</t>
        </is>
      </c>
      <c r="D29" s="25" t="n">
        <v>46296.47424768518</v>
      </c>
      <c r="E29" s="25" t="n">
        <v>46296.48637731482</v>
      </c>
      <c r="F29" s="7">
        <f>(E29-D29)*1440</f>
        <v>17.4666666666667</v>
      </c>
      <c r="G29" s="6" t="n">
        <v>100</v>
      </c>
      <c r="H29" s="6" t="inlineStr">
        <is>
          <t>anonymous</t>
        </is>
      </c>
      <c r="I29" t="str">
        <f>IF(C29="","",C29&amp;"|"&amp;G29)</f>
        <v>860|100</v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4" t="inlineStr">
        <is>
          <t>583</t>
        </is>
      </c>
      <c r="D30" s="25" t="n">
        <v>46296.48392361111</v>
      </c>
      <c r="E30" s="25" t="n">
        <v>46296.48710648148</v>
      </c>
      <c r="F30" s="7">
        <f>(E30-D30)*1440</f>
        <v>4.58333333333333</v>
      </c>
      <c r="G30" s="6" t="n">
        <v>100</v>
      </c>
      <c r="H30" s="6" t="inlineStr">
        <is>
          <t>anonymous</t>
        </is>
      </c>
      <c r="I30" t="str">
        <f>IF(C30="","",C30&amp;"|"&amp;G30)</f>
        <v>583|100</v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4" t="inlineStr">
        <is>
          <t>443</t>
        </is>
      </c>
      <c r="D31" s="25" t="n">
        <v>46296.48201388889</v>
      </c>
      <c r="E31" s="25" t="n">
        <v>46296.49148148148</v>
      </c>
      <c r="F31" s="7">
        <f>(E31-D31)*1440</f>
        <v>13.6333333333333</v>
      </c>
      <c r="G31" s="6" t="n">
        <v>100</v>
      </c>
      <c r="H31" s="6" t="inlineStr">
        <is>
          <t>anonymous</t>
        </is>
      </c>
      <c r="I31" t="str">
        <f>IF(C31="","",C31&amp;"|"&amp;G31)</f>
        <v>443|100</v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4" t="inlineStr">
        <is>
          <t>200</t>
        </is>
      </c>
      <c r="D32" s="25" t="n">
        <v>46296.48715277778</v>
      </c>
      <c r="E32" s="25" t="n">
        <v>46296.49199074074</v>
      </c>
      <c r="F32" s="7">
        <f>(E32-D32)*1440</f>
        <v>6.96666666666667</v>
      </c>
      <c r="G32" s="6" t="n">
        <v>90</v>
      </c>
      <c r="H32" s="6" t="inlineStr">
        <is>
          <t>anonymous</t>
        </is>
      </c>
      <c r="I32" t="str">
        <f>IF(C32="","",C32&amp;"|"&amp;G32)</f>
        <v>200|90</v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4" t="inlineStr">
        <is>
          <t>985</t>
        </is>
      </c>
      <c r="D33" s="25" t="n">
        <v>46296.48653935185</v>
      </c>
      <c r="E33" s="25" t="n">
        <v>46296.4949537037</v>
      </c>
      <c r="F33" s="7">
        <f>(E33-D33)*1440</f>
        <v>12.1166666666667</v>
      </c>
      <c r="G33" s="6" t="n">
        <v>100</v>
      </c>
      <c r="H33" s="6" t="inlineStr">
        <is>
          <t>anonymous</t>
        </is>
      </c>
      <c r="I33" t="str">
        <f>IF(C33="","",C33&amp;"|"&amp;G33)</f>
        <v>985|100</v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4" t="inlineStr">
        <is>
          <t>983</t>
        </is>
      </c>
      <c r="D34" s="25" t="n">
        <v>46296.49111111111</v>
      </c>
      <c r="E34" s="25" t="n">
        <v>46296.49747685185</v>
      </c>
      <c r="F34" s="7">
        <f>(E34-D34)*1440</f>
        <v>9.16666666666667</v>
      </c>
      <c r="G34" s="6" t="n">
        <v>100</v>
      </c>
      <c r="H34" s="6" t="inlineStr">
        <is>
          <t>anonymous</t>
        </is>
      </c>
      <c r="I34" t="str">
        <f>IF(C34="","",C34&amp;"|"&amp;G34)</f>
        <v>983|100</v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4" t="inlineStr">
        <is>
          <t>671</t>
        </is>
      </c>
      <c r="D35" s="25" t="n">
        <v>46296.54665509259</v>
      </c>
      <c r="E35" s="25" t="n">
        <v>46296.55247685185</v>
      </c>
      <c r="F35" s="7">
        <f>(E35-D35)*1440</f>
        <v>8.38333333333333</v>
      </c>
      <c r="G35" s="6" t="n">
        <v>70</v>
      </c>
      <c r="H35" s="6" t="inlineStr">
        <is>
          <t>anonymous</t>
        </is>
      </c>
      <c r="I35" t="str">
        <f>IF(C35="","",C35&amp;"|"&amp;G35)</f>
        <v>671|70</v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4" t="inlineStr">
        <is>
          <t>632</t>
        </is>
      </c>
      <c r="D36" s="25" t="n">
        <v>46296.56951388889</v>
      </c>
      <c r="E36" s="25" t="n">
        <v>46296.57800925926</v>
      </c>
      <c r="F36" s="7">
        <f>(E36-D36)*1440</f>
        <v>12.2333333333333</v>
      </c>
      <c r="G36" s="6" t="n">
        <v>100</v>
      </c>
      <c r="H36" s="6" t="inlineStr">
        <is>
          <t>anonymous</t>
        </is>
      </c>
      <c r="I36" t="str">
        <f>IF(C36="","",C36&amp;"|"&amp;G36)</f>
        <v>632|100</v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4" t="inlineStr">
        <is>
          <t>320</t>
        </is>
      </c>
      <c r="D37" s="25" t="n">
        <v>46296.56962962963</v>
      </c>
      <c r="E37" s="25" t="n">
        <v>46296.59023148148</v>
      </c>
      <c r="F37" s="7">
        <f>(E37-D37)*1440</f>
        <v>29.6666666666667</v>
      </c>
      <c r="G37" s="6" t="n">
        <v>100</v>
      </c>
      <c r="H37" s="6" t="inlineStr">
        <is>
          <t>anonymous</t>
        </is>
      </c>
      <c r="I37" t="str">
        <f>IF(C37="","",C37&amp;"|"&amp;G37)</f>
        <v>320|100</v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4" t="inlineStr">
        <is>
          <t>750</t>
        </is>
      </c>
      <c r="D38" s="25" t="n">
        <v>46296.61756944445</v>
      </c>
      <c r="E38" s="25" t="n">
        <v>46296.62321759259</v>
      </c>
      <c r="F38" s="7">
        <f>(E38-D38)*1440</f>
        <v>8.13333333333333</v>
      </c>
      <c r="G38" s="6" t="n">
        <v>100</v>
      </c>
      <c r="H38" s="6" t="inlineStr">
        <is>
          <t>anonymous</t>
        </is>
      </c>
      <c r="I38" t="str">
        <f>IF(C38="","",C38&amp;"|"&amp;G38)</f>
        <v>750|100</v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4" t="inlineStr">
        <is>
          <t>784</t>
        </is>
      </c>
      <c r="D39" s="25" t="n">
        <v>46296.61537037037</v>
      </c>
      <c r="E39" s="25" t="n">
        <v>46296.62540509259</v>
      </c>
      <c r="F39" s="7">
        <f>(E39-D39)*1440</f>
        <v>14.45</v>
      </c>
      <c r="G39" s="6" t="n">
        <v>100</v>
      </c>
      <c r="H39" s="6" t="inlineStr">
        <is>
          <t>anonymous</t>
        </is>
      </c>
      <c r="I39" t="str">
        <f>IF(C39="","",C39&amp;"|"&amp;G39)</f>
        <v>784|100</v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4" t="inlineStr">
        <is>
          <t>952</t>
        </is>
      </c>
      <c r="D40" s="25" t="n">
        <v>46296.64626157407</v>
      </c>
      <c r="E40" s="25" t="n">
        <v>46296.65724537037</v>
      </c>
      <c r="F40" s="7">
        <f>(E40-D40)*1440</f>
        <v>15.8166666666667</v>
      </c>
      <c r="G40" s="6" t="n">
        <v>100</v>
      </c>
      <c r="H40" s="6" t="inlineStr">
        <is>
          <t>anonymous</t>
        </is>
      </c>
      <c r="I40" t="str">
        <f>IF(C40="","",C40&amp;"|"&amp;G40)</f>
        <v>952|100</v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4" t="inlineStr">
        <is>
          <t>239</t>
        </is>
      </c>
      <c r="D41" s="25" t="n">
        <v>46296.64138888889</v>
      </c>
      <c r="E41" s="25" t="n">
        <v>46296.65938657407</v>
      </c>
      <c r="F41" s="7">
        <f>(E41-D41)*1440</f>
        <v>25.9166666666667</v>
      </c>
      <c r="G41" s="6" t="n">
        <v>100</v>
      </c>
      <c r="H41" s="6" t="inlineStr">
        <is>
          <t>anonymous</t>
        </is>
      </c>
      <c r="I41" t="str">
        <f>IF(C41="","",C41&amp;"|"&amp;G41)</f>
        <v>239|100</v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4" t="inlineStr">
        <is>
          <t>944</t>
        </is>
      </c>
      <c r="D42" s="25" t="n">
        <v>46296.64094907408</v>
      </c>
      <c r="E42" s="25" t="n">
        <v>46296.67511574074</v>
      </c>
      <c r="F42" s="7">
        <f>(E42-D42)*1440</f>
        <v>49.2</v>
      </c>
      <c r="G42" s="6" t="n">
        <v>75</v>
      </c>
      <c r="H42" s="6" t="inlineStr">
        <is>
          <t>anonymous</t>
        </is>
      </c>
      <c r="I42" t="str">
        <f>IF(C42="","",C42&amp;"|"&amp;G42)</f>
        <v>944|75</v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4" t="inlineStr">
        <is>
          <t>865</t>
        </is>
      </c>
      <c r="D43" s="25" t="n">
        <v>46296.6762037037</v>
      </c>
      <c r="E43" s="25" t="n">
        <v>46296.68074074074</v>
      </c>
      <c r="F43" s="7">
        <f>(E43-D43)*1440</f>
        <v>6.53333333333333</v>
      </c>
      <c r="G43" s="6" t="n">
        <v>100</v>
      </c>
      <c r="H43" s="6" t="inlineStr">
        <is>
          <t>anonymous</t>
        </is>
      </c>
      <c r="I43" t="str">
        <f>IF(C43="","",C43&amp;"|"&amp;G43)</f>
        <v>865|100</v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4" t="inlineStr">
        <is>
          <t>869</t>
        </is>
      </c>
      <c r="D44" s="25" t="n">
        <v>46296.67916666667</v>
      </c>
      <c r="E44" s="25" t="n">
        <v>46296.68630787037</v>
      </c>
      <c r="F44" s="7">
        <f>(E44-D44)*1440</f>
        <v>10.2833333333333</v>
      </c>
      <c r="G44" s="6" t="n">
        <v>100</v>
      </c>
      <c r="H44" s="6" t="inlineStr">
        <is>
          <t>anonymous</t>
        </is>
      </c>
      <c r="I44" t="str">
        <f>IF(C44="","",C44&amp;"|"&amp;G44)</f>
        <v>869|100</v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4" t="inlineStr">
        <is>
          <t>548</t>
        </is>
      </c>
      <c r="D45" s="25" t="n">
        <v>46296.70424768519</v>
      </c>
      <c r="E45" s="25" t="n">
        <v>46296.71155092592</v>
      </c>
      <c r="F45" s="7">
        <f>(E45-D45)*1440</f>
        <v>10.5166666419167</v>
      </c>
      <c r="G45" s="6" t="n">
        <v>100</v>
      </c>
      <c r="H45" s="6" t="inlineStr">
        <is>
          <t>anonymous</t>
        </is>
      </c>
      <c r="I45" t="str">
        <f>IF(C45="","",C45&amp;"|"&amp;G45)</f>
        <v>548|100</v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4" t="inlineStr">
        <is>
          <t>980</t>
        </is>
      </c>
      <c r="D46" s="25" t="n">
        <v>46296.71229166666</v>
      </c>
      <c r="E46" s="25" t="n">
        <v>46296.71346064815</v>
      </c>
      <c r="F46" s="7">
        <f>(E46-D46)*1440</f>
        <v>1.68333333333333</v>
      </c>
      <c r="G46" s="6" t="n">
        <v>100</v>
      </c>
      <c r="H46" s="6" t="inlineStr">
        <is>
          <t>anonymous</t>
        </is>
      </c>
      <c r="I46" t="str">
        <f>IF(C46="","",C46&amp;"|"&amp;G46)</f>
        <v>980|100</v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4" t="inlineStr">
        <is>
          <t>373</t>
        </is>
      </c>
      <c r="D47" s="25" t="n">
        <v>46296.82646990741</v>
      </c>
      <c r="E47" s="25" t="n">
        <v>46296.82847222222</v>
      </c>
      <c r="F47" s="7">
        <f>(E47-D47)*1440</f>
        <v>2.88333333333333</v>
      </c>
      <c r="G47" s="6" t="n">
        <v>100</v>
      </c>
      <c r="H47" s="6" t="inlineStr">
        <is>
          <t>anonymous</t>
        </is>
      </c>
      <c r="I47" t="str">
        <f>IF(C47="","",C47&amp;"|"&amp;G47)</f>
        <v>373|100</v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4" t="inlineStr">
        <is>
          <t>773</t>
        </is>
      </c>
      <c r="D48" s="25" t="n">
        <v>46297.46885416667</v>
      </c>
      <c r="E48" s="25" t="n">
        <v>46297.47550925926</v>
      </c>
      <c r="F48" s="7">
        <f>(E48-D48)*1440</f>
        <v>9.58333333333333</v>
      </c>
      <c r="G48" s="6" t="n">
        <v>95</v>
      </c>
      <c r="H48" s="6" t="inlineStr">
        <is>
          <t>anonymous</t>
        </is>
      </c>
      <c r="I48" t="str">
        <f>IF(C48="","",C48&amp;"|"&amp;G48)</f>
        <v>773|95</v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4" t="inlineStr">
        <is>
          <t>474</t>
        </is>
      </c>
      <c r="D49" s="25" t="n">
        <v>46297.48075231481</v>
      </c>
      <c r="E49" s="25" t="n">
        <v>46297.48825231481</v>
      </c>
      <c r="F49" s="7">
        <f>(E49-D49)*1440</f>
        <v>10.8</v>
      </c>
      <c r="G49" s="6" t="n">
        <v>100</v>
      </c>
      <c r="H49" s="6" t="inlineStr">
        <is>
          <t>anonymous</t>
        </is>
      </c>
      <c r="I49" t="str">
        <f>IF(C49="","",C49&amp;"|"&amp;G49)</f>
        <v>474|100</v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4" t="inlineStr">
        <is>
          <t>793</t>
        </is>
      </c>
      <c r="D50" s="25" t="n">
        <v>46297.45885416667</v>
      </c>
      <c r="E50" s="25" t="n">
        <v>46297.49109953704</v>
      </c>
      <c r="F50" s="7">
        <f>(E50-D50)*1440</f>
        <v>46.4333333333333</v>
      </c>
      <c r="G50" s="6" t="n">
        <v>90</v>
      </c>
      <c r="H50" s="6" t="inlineStr">
        <is>
          <t>anonymous</t>
        </is>
      </c>
      <c r="I50" t="str">
        <f>IF(C50="","",C50&amp;"|"&amp;G50)</f>
        <v>793|90</v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4" t="inlineStr">
        <is>
          <t>349</t>
        </is>
      </c>
      <c r="D51" s="25" t="n">
        <v>46297.63677083333</v>
      </c>
      <c r="E51" s="25" t="n">
        <v>46297.63836805556</v>
      </c>
      <c r="F51" s="7">
        <f>(E51-D51)*1440</f>
        <v>2.3</v>
      </c>
      <c r="G51" s="6" t="n">
        <v>100</v>
      </c>
      <c r="H51" s="6" t="inlineStr">
        <is>
          <t>anonymous</t>
        </is>
      </c>
      <c r="I51" t="str">
        <f>IF(C51="","",C51&amp;"|"&amp;G51)</f>
        <v>349|100</v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4" t="inlineStr">
        <is>
          <t>345</t>
        </is>
      </c>
      <c r="D52" s="25" t="n">
        <v>46297.64716435185</v>
      </c>
      <c r="E52" s="25" t="n">
        <v>46297.65186342593</v>
      </c>
      <c r="F52" s="7">
        <f>(E52-D52)*1440</f>
        <v>6.76666666666667</v>
      </c>
      <c r="G52" s="6" t="n">
        <v>90</v>
      </c>
      <c r="H52" s="6" t="inlineStr">
        <is>
          <t>anonymous</t>
        </is>
      </c>
      <c r="I52" t="str">
        <f>IF(C52="","",C52&amp;"|"&amp;G52)</f>
        <v>345|90</v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4" t="inlineStr">
        <is>
          <t>492</t>
        </is>
      </c>
      <c r="D53" s="25" t="n">
        <v>46297.65282407407</v>
      </c>
      <c r="E53" s="25" t="n">
        <v>46297.66012731481</v>
      </c>
      <c r="F53" s="7">
        <f>(E53-D53)*1440</f>
        <v>10.5166666666667</v>
      </c>
      <c r="G53" s="6" t="n">
        <v>100</v>
      </c>
      <c r="H53" s="6" t="inlineStr">
        <is>
          <t>anonymous</t>
        </is>
      </c>
      <c r="I53" t="str">
        <f>IF(C53="","",C53&amp;"|"&amp;G53)</f>
        <v>492|100</v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4" t="inlineStr">
        <is>
          <t>715</t>
        </is>
      </c>
      <c r="D54" s="25" t="n">
        <v>46297.7059375</v>
      </c>
      <c r="E54" s="25" t="n">
        <v>46297.71334490741</v>
      </c>
      <c r="F54" s="7">
        <f>(E54-D54)*1440</f>
        <v>10.6666666666667</v>
      </c>
      <c r="G54" s="6" t="n">
        <v>85</v>
      </c>
      <c r="H54" s="6" t="inlineStr">
        <is>
          <t>anonymous</t>
        </is>
      </c>
      <c r="I54" t="str">
        <f>IF(C54="","",C54&amp;"|"&amp;G54)</f>
        <v>715|85</v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4" t="inlineStr">
        <is>
          <t>308</t>
        </is>
      </c>
      <c r="D55" s="25" t="n">
        <v>46297.71155092592</v>
      </c>
      <c r="E55" s="25" t="n">
        <v>46297.71489583333</v>
      </c>
      <c r="F55" s="7">
        <f>(E55-D55)*1440</f>
        <v>4.81666666666667</v>
      </c>
      <c r="G55" s="6" t="n">
        <v>95</v>
      </c>
      <c r="H55" s="6" t="inlineStr">
        <is>
          <t>anonymous</t>
        </is>
      </c>
      <c r="I55" t="str">
        <f>IF(C55="","",C55&amp;"|"&amp;G55)</f>
        <v>308|95</v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4" t="inlineStr">
        <is>
          <t>959</t>
        </is>
      </c>
      <c r="D56" s="25" t="n">
        <v>46297.77194444444</v>
      </c>
      <c r="E56" s="25" t="n">
        <v>46297.78946759259</v>
      </c>
      <c r="F56" s="7">
        <f>(E56-D56)*1440</f>
        <v>25.2333333333333</v>
      </c>
      <c r="G56" s="6" t="n">
        <v>90</v>
      </c>
      <c r="H56" s="6" t="inlineStr">
        <is>
          <t>anonymous</t>
        </is>
      </c>
      <c r="I56" t="str">
        <f>IF(C56="","",C56&amp;"|"&amp;G56)</f>
        <v>959|90</v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4" t="inlineStr">
        <is>
          <t>224</t>
        </is>
      </c>
      <c r="D57" s="25" t="n">
        <v>46297.83465277778</v>
      </c>
      <c r="E57" s="25" t="n">
        <v>46297.84905092593</v>
      </c>
      <c r="F57" s="7">
        <f>(E57-D57)*1440</f>
        <v>20.7333333333333</v>
      </c>
      <c r="G57" s="6" t="n">
        <v>80</v>
      </c>
      <c r="H57" s="6" t="inlineStr">
        <is>
          <t>anonymous</t>
        </is>
      </c>
      <c r="I57" t="str">
        <f>IF(C57="","",C57&amp;"|"&amp;G57)</f>
        <v>224|80</v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4" t="inlineStr">
        <is>
          <t>522</t>
        </is>
      </c>
      <c r="D58" s="25" t="n">
        <v>46297.84774305556</v>
      </c>
      <c r="E58" s="25" t="n">
        <v>46297.85355324074</v>
      </c>
      <c r="F58" s="7">
        <f>(E58-D58)*1440</f>
        <v>8.36666666666667</v>
      </c>
      <c r="G58" s="6" t="n">
        <v>85</v>
      </c>
      <c r="H58" s="6" t="inlineStr">
        <is>
          <t>anonymous</t>
        </is>
      </c>
      <c r="I58" t="str">
        <f>IF(C58="","",C58&amp;"|"&amp;G58)</f>
        <v>522|85</v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4" t="inlineStr">
        <is>
          <t>684</t>
        </is>
      </c>
      <c r="D59" s="25" t="n">
        <v>46298.29701388889</v>
      </c>
      <c r="E59" s="25" t="n">
        <v>46298.30020833333</v>
      </c>
      <c r="F59" s="7">
        <f>(E59-D59)*1440</f>
        <v>4.6</v>
      </c>
      <c r="G59" s="6" t="n">
        <v>80</v>
      </c>
      <c r="H59" s="6" t="inlineStr">
        <is>
          <t>anonymous</t>
        </is>
      </c>
      <c r="I59" t="str">
        <f>IF(C59="","",C59&amp;"|"&amp;G59)</f>
        <v>684|80</v>
      </c>
    </row>
    <row r="60">
      <c r="A60" s="5" t="inlineStr">
        <is>
          <t>Mario Rosales</t>
        </is>
      </c>
      <c r="B60" s="5" t="inlineStr">
        <is>
          <t>Setvicio general</t>
        </is>
      </c>
      <c r="C60" s="4" t="inlineStr">
        <is>
          <t>430</t>
        </is>
      </c>
      <c r="D60" s="25" t="n">
        <v>46298.33667824074</v>
      </c>
      <c r="E60" s="25" t="n">
        <v>46298.34488425926</v>
      </c>
      <c r="F60" s="7">
        <f>(E60-D60)*1440</f>
        <v>11.8166666666667</v>
      </c>
      <c r="G60" s="6" t="n">
        <v>40</v>
      </c>
      <c r="H60" s="6" t="inlineStr">
        <is>
          <t>anonymous</t>
        </is>
      </c>
      <c r="I60" t="str">
        <f>IF(C60="","",C60&amp;"|"&amp;G60)</f>
        <v>430|40</v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4" t="inlineStr">
        <is>
          <t>587</t>
        </is>
      </c>
      <c r="D61" s="25" t="n">
        <v>46298.40037037037</v>
      </c>
      <c r="E61" s="25" t="n">
        <v>46298.41559027778</v>
      </c>
      <c r="F61" s="7">
        <f>(E61-D61)*1440</f>
        <v>21.9166666666667</v>
      </c>
      <c r="G61" s="6" t="n">
        <v>90</v>
      </c>
      <c r="H61" s="6" t="inlineStr">
        <is>
          <t>anonymous</t>
        </is>
      </c>
      <c r="I61" t="str">
        <f>IF(C61="","",C61&amp;"|"&amp;G61)</f>
        <v>587|90</v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4" t="inlineStr">
        <is>
          <t>875</t>
        </is>
      </c>
      <c r="D62" s="25" t="n">
        <v>46298.40277777778</v>
      </c>
      <c r="E62" s="25" t="n">
        <v>46298.41583333333</v>
      </c>
      <c r="F62" s="7">
        <f>(E62-D62)*1440</f>
        <v>18.8</v>
      </c>
      <c r="G62" s="6" t="n">
        <v>100</v>
      </c>
      <c r="H62" s="6" t="inlineStr">
        <is>
          <t>anonymous</t>
        </is>
      </c>
      <c r="I62" t="str">
        <f>IF(C62="","",C62&amp;"|"&amp;G62)</f>
        <v>875|100</v>
      </c>
    </row>
    <row r="63">
      <c r="A63" s="5" t="inlineStr">
        <is>
          <t>Cecilia  Anzora</t>
        </is>
      </c>
      <c r="B63" s="5" t="inlineStr">
        <is>
          <t>Servicios generales</t>
        </is>
      </c>
      <c r="C63" s="4" t="inlineStr">
        <is>
          <t>387</t>
        </is>
      </c>
      <c r="D63" s="25" t="n">
        <v>46298.41678240741</v>
      </c>
      <c r="E63" s="25" t="n">
        <v>46298.4184375</v>
      </c>
      <c r="F63" s="7">
        <f>(E63-D63)*1440</f>
        <v>2.38333333333333</v>
      </c>
      <c r="G63" s="6" t="n">
        <v>90</v>
      </c>
      <c r="H63" s="6" t="inlineStr">
        <is>
          <t>anonymous</t>
        </is>
      </c>
      <c r="I63" t="str">
        <f>IF(C63="","",C63&amp;"|"&amp;G63)</f>
        <v>387|90</v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4" t="inlineStr">
        <is>
          <t>719</t>
        </is>
      </c>
      <c r="D64" s="25" t="n">
        <v>46298.40983796296</v>
      </c>
      <c r="E64" s="25" t="n">
        <v>46298.41878472222</v>
      </c>
      <c r="F64" s="7">
        <f>(E64-D64)*1440</f>
        <v>12.8833333333333</v>
      </c>
      <c r="G64" s="6" t="n">
        <v>100</v>
      </c>
      <c r="H64" s="6" t="inlineStr">
        <is>
          <t>anonymous</t>
        </is>
      </c>
      <c r="I64" t="str">
        <f>IF(C64="","",C64&amp;"|"&amp;G64)</f>
        <v>719|100</v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4" t="inlineStr">
        <is>
          <t>973</t>
        </is>
      </c>
      <c r="D65" s="25" t="n">
        <v>46298.50091435185</v>
      </c>
      <c r="E65" s="25" t="n">
        <v>46298.51430555555</v>
      </c>
      <c r="F65" s="7">
        <f>(E65-D65)*1440</f>
        <v>19.2833333333333</v>
      </c>
      <c r="G65" s="6" t="n">
        <v>100</v>
      </c>
      <c r="H65" s="6" t="inlineStr">
        <is>
          <t>anonymous</t>
        </is>
      </c>
      <c r="I65" t="str">
        <f>IF(C65="","",C65&amp;"|"&amp;G65)</f>
        <v>973|100</v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4" t="inlineStr">
        <is>
          <t>733</t>
        </is>
      </c>
      <c r="D66" s="25" t="n">
        <v>46300.30724537037</v>
      </c>
      <c r="E66" s="25" t="n">
        <v>46300.31707175926</v>
      </c>
      <c r="F66" s="7">
        <f>(E66-D66)*1440</f>
        <v>14.15</v>
      </c>
      <c r="G66" s="6" t="n">
        <v>100</v>
      </c>
      <c r="H66" s="6" t="inlineStr">
        <is>
          <t>anonymous</t>
        </is>
      </c>
      <c r="I66" t="str">
        <f>IF(C66="","",C66&amp;"|"&amp;G66)</f>
        <v>733|100</v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4" t="inlineStr">
        <is>
          <t>680</t>
        </is>
      </c>
      <c r="D67" s="25" t="n">
        <v>46300.38666666667</v>
      </c>
      <c r="E67" s="25" t="n">
        <v>46300.39171296296</v>
      </c>
      <c r="F67" s="7">
        <f>(E67-D67)*1440</f>
        <v>7.26666666666667</v>
      </c>
      <c r="G67" s="6" t="n">
        <v>100</v>
      </c>
      <c r="H67" s="6" t="inlineStr">
        <is>
          <t>anonymous</t>
        </is>
      </c>
      <c r="I67" t="str">
        <f>IF(C67="","",C67&amp;"|"&amp;G67)</f>
        <v>680|100</v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4" t="inlineStr">
        <is>
          <t>830</t>
        </is>
      </c>
      <c r="D68" s="25" t="n">
        <v>46300.39452546297</v>
      </c>
      <c r="E68" s="25" t="n">
        <v>46300.39962962963</v>
      </c>
      <c r="F68" s="7">
        <f>(E68-D68)*1440</f>
        <v>7.35</v>
      </c>
      <c r="G68" s="6" t="n">
        <v>95</v>
      </c>
      <c r="H68" s="6" t="inlineStr">
        <is>
          <t>anonymous</t>
        </is>
      </c>
      <c r="I68" t="str">
        <f>IF(C68="","",C68&amp;"|"&amp;G68)</f>
        <v>830|95</v>
      </c>
    </row>
    <row r="69">
      <c r="A69" s="5" t="inlineStr">
        <is>
          <t>Mario Rosales</t>
        </is>
      </c>
      <c r="B69" s="5" t="inlineStr">
        <is>
          <t>Servicio general</t>
        </is>
      </c>
      <c r="C69" s="4" t="inlineStr">
        <is>
          <t>430</t>
        </is>
      </c>
      <c r="D69" s="25" t="n">
        <v>46300.39993055556</v>
      </c>
      <c r="E69" s="25" t="n">
        <v>46300.40560185185</v>
      </c>
      <c r="F69" s="7">
        <f>(E69-D69)*1440</f>
        <v>8.16666666666667</v>
      </c>
      <c r="G69" s="6" t="n">
        <v>100</v>
      </c>
      <c r="H69" s="6" t="inlineStr">
        <is>
          <t>anonymous</t>
        </is>
      </c>
      <c r="I69" t="str">
        <f>IF(C69="","",C69&amp;"|"&amp;G69)</f>
        <v>430|100</v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4" t="inlineStr">
        <is>
          <t>215</t>
        </is>
      </c>
      <c r="D70" s="25" t="n">
        <v>46300.40697916667</v>
      </c>
      <c r="E70" s="25" t="n">
        <v>46300.41096064815</v>
      </c>
      <c r="F70" s="7">
        <f>(E70-D70)*1440</f>
        <v>5.73333333333333</v>
      </c>
      <c r="G70" s="6" t="n">
        <v>100</v>
      </c>
      <c r="H70" s="6" t="inlineStr">
        <is>
          <t>anonymous</t>
        </is>
      </c>
      <c r="I70" t="str">
        <f>IF(C70="","",C70&amp;"|"&amp;G70)</f>
        <v>215|100</v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4" t="inlineStr">
        <is>
          <t>281</t>
        </is>
      </c>
      <c r="D71" s="25" t="n">
        <v>46300.46083333333</v>
      </c>
      <c r="E71" s="25" t="n">
        <v>46300.48065972222</v>
      </c>
      <c r="F71" s="7">
        <f>(E71-D71)*1440</f>
        <v>28.55</v>
      </c>
      <c r="G71" s="6" t="n">
        <v>100</v>
      </c>
      <c r="H71" s="6" t="inlineStr">
        <is>
          <t>anonymous</t>
        </is>
      </c>
      <c r="I71" t="str">
        <f>IF(C71="","",C71&amp;"|"&amp;G71)</f>
        <v>281|100</v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4" t="inlineStr">
        <is>
          <t>852</t>
        </is>
      </c>
      <c r="D72" s="25" t="n">
        <v>46300.52502314815</v>
      </c>
      <c r="E72" s="25" t="n">
        <v>46300.53921296296</v>
      </c>
      <c r="F72" s="7">
        <f>(E72-D72)*1440</f>
        <v>20.4333333333333</v>
      </c>
      <c r="G72" s="6" t="n">
        <v>90</v>
      </c>
      <c r="H72" s="6" t="inlineStr">
        <is>
          <t>anonymous</t>
        </is>
      </c>
      <c r="I72" t="str">
        <f>IF(C72="","",C72&amp;"|"&amp;G72)</f>
        <v>852|90</v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4" t="inlineStr">
        <is>
          <t>880</t>
        </is>
      </c>
      <c r="D73" s="25" t="n">
        <v>46300.57717592592</v>
      </c>
      <c r="E73" s="25" t="n">
        <v>46300.5841087963</v>
      </c>
      <c r="F73" s="7">
        <f>(E73-D73)*1440</f>
        <v>9.98333333333333</v>
      </c>
      <c r="G73" s="6" t="n">
        <v>100</v>
      </c>
      <c r="H73" s="6" t="inlineStr">
        <is>
          <t>anonymous</t>
        </is>
      </c>
      <c r="I73" t="str">
        <f>IF(C73="","",C73&amp;"|"&amp;G73)</f>
        <v>880|100</v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4" t="inlineStr">
        <is>
          <t>883</t>
        </is>
      </c>
      <c r="D74" s="25" t="n">
        <v>46300.58234953704</v>
      </c>
      <c r="E74" s="25" t="n">
        <v>46300.58474537037</v>
      </c>
      <c r="F74" s="7">
        <f>(E74-D74)*1440</f>
        <v>3.45</v>
      </c>
      <c r="G74" s="6" t="n">
        <v>95</v>
      </c>
      <c r="H74" s="6" t="inlineStr">
        <is>
          <t>anonymous</t>
        </is>
      </c>
      <c r="I74" t="str">
        <f>IF(C74="","",C74&amp;"|"&amp;G74)</f>
        <v>883|95</v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4" t="inlineStr">
        <is>
          <t>221</t>
        </is>
      </c>
      <c r="D75" s="25" t="n">
        <v>46300.58730324074</v>
      </c>
      <c r="E75" s="25" t="n">
        <v>46300.58950231481</v>
      </c>
      <c r="F75" s="7">
        <f>(E75-D75)*1440</f>
        <v>3.16666666666667</v>
      </c>
      <c r="G75" s="6" t="n">
        <v>100</v>
      </c>
      <c r="H75" s="6" t="inlineStr">
        <is>
          <t>anonymous</t>
        </is>
      </c>
      <c r="I75" t="str">
        <f>IF(C75="","",C75&amp;"|"&amp;G75)</f>
        <v>221|100</v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4" t="inlineStr">
        <is>
          <t>926</t>
        </is>
      </c>
      <c r="D76" s="25" t="n">
        <v>46300.60138888889</v>
      </c>
      <c r="E76" s="25" t="n">
        <v>46300.60789351852</v>
      </c>
      <c r="F76" s="7">
        <f>(E76-D76)*1440</f>
        <v>9.36666666666667</v>
      </c>
      <c r="G76" s="6" t="n">
        <v>90</v>
      </c>
      <c r="H76" s="6" t="inlineStr">
        <is>
          <t>anonymous</t>
        </is>
      </c>
      <c r="I76" t="str">
        <f>IF(C76="","",C76&amp;"|"&amp;G76)</f>
        <v>926|90</v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4" t="inlineStr">
        <is>
          <t>929</t>
        </is>
      </c>
      <c r="D77" s="25" t="n">
        <v>46300.62287037037</v>
      </c>
      <c r="E77" s="25" t="n">
        <v>46300.6284837963</v>
      </c>
      <c r="F77" s="7">
        <f>(E77-D77)*1440</f>
        <v>8.08333333333333</v>
      </c>
      <c r="G77" s="6" t="n">
        <v>90</v>
      </c>
      <c r="H77" s="6" t="inlineStr">
        <is>
          <t>anonymous</t>
        </is>
      </c>
      <c r="I77" t="str">
        <f>IF(C77="","",C77&amp;"|"&amp;G77)</f>
        <v>929|90</v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4" t="inlineStr">
        <is>
          <t>433</t>
        </is>
      </c>
      <c r="D78" s="25" t="n">
        <v>46300.6215162037</v>
      </c>
      <c r="E78" s="25" t="n">
        <v>46300.6309837963</v>
      </c>
      <c r="F78" s="7">
        <f>(E78-D78)*1440</f>
        <v>13.6333333333333</v>
      </c>
      <c r="G78" s="6" t="n">
        <v>100</v>
      </c>
      <c r="H78" s="6" t="inlineStr">
        <is>
          <t>anonymous</t>
        </is>
      </c>
      <c r="I78" t="str">
        <f>IF(C78="","",C78&amp;"|"&amp;G78)</f>
        <v>433|100</v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4" t="inlineStr">
        <is>
          <t>259</t>
        </is>
      </c>
      <c r="D79" s="25" t="n">
        <v>46300.63085648148</v>
      </c>
      <c r="E79" s="25" t="n">
        <v>46300.63810185185</v>
      </c>
      <c r="F79" s="7">
        <f>(E79-D79)*1440</f>
        <v>10.4333333333333</v>
      </c>
      <c r="G79" s="6" t="n">
        <v>100</v>
      </c>
      <c r="H79" s="6" t="inlineStr">
        <is>
          <t>anonymous</t>
        </is>
      </c>
      <c r="I79" t="str">
        <f>IF(C79="","",C79&amp;"|"&amp;G79)</f>
        <v>259|100</v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4" t="inlineStr">
        <is>
          <t>53</t>
        </is>
      </c>
      <c r="D80" s="25" t="n">
        <v>46300.65247685185</v>
      </c>
      <c r="E80" s="25" t="n">
        <v>46300.65800925926</v>
      </c>
      <c r="F80" s="7">
        <f>(E80-D80)*1440</f>
        <v>7.96666666666667</v>
      </c>
      <c r="G80" s="6" t="n">
        <v>90</v>
      </c>
      <c r="H80" s="6" t="inlineStr">
        <is>
          <t>anonymous</t>
        </is>
      </c>
      <c r="I80" t="str">
        <f>IF(C80="","",C80&amp;"|"&amp;G80)</f>
        <v>53|90</v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4" t="inlineStr">
        <is>
          <t>222</t>
        </is>
      </c>
      <c r="D81" s="25" t="n">
        <v>46300.65453703704</v>
      </c>
      <c r="E81" s="25" t="n">
        <v>46300.66567129629</v>
      </c>
      <c r="F81" s="7">
        <f>(E81-D81)*1440</f>
        <v>16.0333333333333</v>
      </c>
      <c r="G81" s="6" t="n">
        <v>100</v>
      </c>
      <c r="H81" s="6" t="inlineStr">
        <is>
          <t>anonymous</t>
        </is>
      </c>
      <c r="I81" t="str">
        <f>IF(C81="","",C81&amp;"|"&amp;G81)</f>
        <v>222|100</v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4" t="inlineStr">
        <is>
          <t>728</t>
        </is>
      </c>
      <c r="D82" s="25" t="n">
        <v>46300.67056712963</v>
      </c>
      <c r="E82" s="25" t="n">
        <v>46300.68400462963</v>
      </c>
      <c r="F82" s="7">
        <f>(E82-D82)*1440</f>
        <v>19.35</v>
      </c>
      <c r="G82" s="6" t="n">
        <v>100</v>
      </c>
      <c r="H82" s="6" t="inlineStr">
        <is>
          <t>anonymous</t>
        </is>
      </c>
      <c r="I82" t="str">
        <f>IF(C82="","",C82&amp;"|"&amp;G82)</f>
        <v>728|100</v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4" t="inlineStr">
        <is>
          <t>801</t>
        </is>
      </c>
      <c r="D83" s="25" t="n">
        <v>46300.68642361111</v>
      </c>
      <c r="E83" s="25" t="n">
        <v>46300.68836805555</v>
      </c>
      <c r="F83" s="7">
        <f>(E83-D83)*1440</f>
        <v>2.8</v>
      </c>
      <c r="G83" s="6" t="n">
        <v>100</v>
      </c>
      <c r="H83" s="6" t="inlineStr">
        <is>
          <t>anonymous</t>
        </is>
      </c>
      <c r="I83" t="str">
        <f>IF(C83="","",C83&amp;"|"&amp;G83)</f>
        <v>801|100</v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4" t="inlineStr">
        <is>
          <t>409</t>
        </is>
      </c>
      <c r="D84" s="25" t="n">
        <v>46300.68533564815</v>
      </c>
      <c r="E84" s="25" t="n">
        <v>46300.69601851852</v>
      </c>
      <c r="F84" s="7">
        <f>(E84-D84)*1440</f>
        <v>15.3833333333333</v>
      </c>
      <c r="G84" s="6" t="n">
        <v>95</v>
      </c>
      <c r="H84" s="6" t="inlineStr">
        <is>
          <t>anonymous</t>
        </is>
      </c>
      <c r="I84" t="str">
        <f>IF(C84="","",C84&amp;"|"&amp;G84)</f>
        <v>409|95</v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4" t="inlineStr">
        <is>
          <t>803</t>
        </is>
      </c>
      <c r="D85" s="25" t="n">
        <v>46300.70214120371</v>
      </c>
      <c r="E85" s="25" t="n">
        <v>46300.70883101852</v>
      </c>
      <c r="F85" s="7">
        <f>(E85-D85)*1440</f>
        <v>9.63333333333333</v>
      </c>
      <c r="G85" s="6" t="n">
        <v>60</v>
      </c>
      <c r="H85" s="6" t="inlineStr">
        <is>
          <t>anonymous</t>
        </is>
      </c>
      <c r="I85" t="str">
        <f>IF(C85="","",C85&amp;"|"&amp;G85)</f>
        <v>803|60</v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4" t="inlineStr">
        <is>
          <t>599</t>
        </is>
      </c>
      <c r="D86" s="25" t="n">
        <v>46300.7419212963</v>
      </c>
      <c r="E86" s="25" t="n">
        <v>46300.74870370371</v>
      </c>
      <c r="F86" s="7">
        <f>(E86-D86)*1440</f>
        <v>9.76666666666667</v>
      </c>
      <c r="G86" s="6" t="n">
        <v>100</v>
      </c>
      <c r="H86" s="6" t="inlineStr">
        <is>
          <t>anonymous</t>
        </is>
      </c>
      <c r="I86" t="str">
        <f>IF(C86="","",C86&amp;"|"&amp;G86)</f>
        <v>599|100</v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4" t="inlineStr">
        <is>
          <t>55</t>
        </is>
      </c>
      <c r="D87" s="25" t="n">
        <v>46300.80671296296</v>
      </c>
      <c r="E87" s="25" t="n">
        <v>46300.81421296296</v>
      </c>
      <c r="F87" s="7">
        <f>(E87-D87)*1440</f>
        <v>10.8</v>
      </c>
      <c r="G87" s="6" t="n">
        <v>90</v>
      </c>
      <c r="H87" s="6" t="inlineStr">
        <is>
          <t>anonymous</t>
        </is>
      </c>
      <c r="I87" t="str">
        <f>IF(C87="","",C87&amp;"|"&amp;G87)</f>
        <v>55|90</v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4" t="inlineStr">
        <is>
          <t>903</t>
        </is>
      </c>
      <c r="D88" s="25" t="n">
        <v>46301.42581018519</v>
      </c>
      <c r="E88" s="25" t="n">
        <v>46301.43233796296</v>
      </c>
      <c r="F88" s="7">
        <f>(E88-D88)*1440</f>
        <v>9.4</v>
      </c>
      <c r="G88" s="6" t="n">
        <v>100</v>
      </c>
      <c r="H88" s="6" t="inlineStr">
        <is>
          <t>anonymous</t>
        </is>
      </c>
      <c r="I88" t="str">
        <f>IF(C88="","",C88&amp;"|"&amp;G88)</f>
        <v>903|100</v>
      </c>
    </row>
    <row r="89">
      <c r="A89" s="5" t="inlineStr">
        <is>
          <t>Adolfo Molina</t>
        </is>
      </c>
      <c r="B89" s="5" t="inlineStr">
        <is>
          <t>Soporte Técnico</t>
        </is>
      </c>
      <c r="C89" s="4" t="inlineStr">
        <is>
          <t>490</t>
        </is>
      </c>
      <c r="D89" s="25" t="n">
        <v>46301.4247337963</v>
      </c>
      <c r="E89" s="25" t="n">
        <v>46301.43652777778</v>
      </c>
      <c r="F89" s="7">
        <f>(E89-D89)*1440</f>
        <v>16.9833333333333</v>
      </c>
      <c r="G89" s="6" t="n">
        <v>100</v>
      </c>
      <c r="H89" s="6" t="inlineStr">
        <is>
          <t>anonymous</t>
        </is>
      </c>
      <c r="I89" t="str">
        <f>IF(C89="","",C89&amp;"|"&amp;G89)</f>
        <v>490|100</v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4" t="inlineStr">
        <is>
          <t>872</t>
        </is>
      </c>
      <c r="D90" s="25" t="n">
        <v>46301.43630787037</v>
      </c>
      <c r="E90" s="25" t="n">
        <v>46301.43873842592</v>
      </c>
      <c r="F90" s="7">
        <f>(E90-D90)*1440</f>
        <v>3.5</v>
      </c>
      <c r="G90" s="6" t="n">
        <v>100</v>
      </c>
      <c r="H90" s="6" t="inlineStr">
        <is>
          <t>anonymous</t>
        </is>
      </c>
      <c r="I90" t="str">
        <f>IF(C90="","",C90&amp;"|"&amp;G90)</f>
        <v>872|100</v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4" t="inlineStr">
        <is>
          <t>782</t>
        </is>
      </c>
      <c r="D91" s="25" t="n">
        <v>46301.42778935185</v>
      </c>
      <c r="E91" s="25" t="n">
        <v>46301.44030092593</v>
      </c>
      <c r="F91" s="7">
        <f>(E91-D91)*1440</f>
        <v>18.0166666666667</v>
      </c>
      <c r="G91" s="6" t="n">
        <v>100</v>
      </c>
      <c r="H91" s="6" t="inlineStr">
        <is>
          <t>anonymous</t>
        </is>
      </c>
      <c r="I91" t="str">
        <f>IF(C91="","",C91&amp;"|"&amp;G91)</f>
        <v>782|100</v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4" t="inlineStr">
        <is>
          <t>166</t>
        </is>
      </c>
      <c r="D92" s="25" t="n">
        <v>46301.48449074074</v>
      </c>
      <c r="E92" s="25" t="n">
        <v>46301.4892824074</v>
      </c>
      <c r="F92" s="7">
        <f>(E92-D92)*1440</f>
        <v>6.9</v>
      </c>
      <c r="G92" s="6" t="n">
        <v>100</v>
      </c>
      <c r="H92" s="6" t="inlineStr">
        <is>
          <t>anonymous</t>
        </is>
      </c>
      <c r="I92" t="str">
        <f>IF(C92="","",C92&amp;"|"&amp;G92)</f>
        <v>166|100</v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4" t="inlineStr">
        <is>
          <t>456</t>
        </is>
      </c>
      <c r="D93" s="25" t="n">
        <v>46301.48697916666</v>
      </c>
      <c r="E93" s="25" t="n">
        <v>46301.49184027778</v>
      </c>
      <c r="F93" s="7">
        <f>(E93-D93)*1440</f>
        <v>7</v>
      </c>
      <c r="G93" s="6" t="n">
        <v>80</v>
      </c>
      <c r="H93" s="6" t="inlineStr">
        <is>
          <t>anonymous</t>
        </is>
      </c>
      <c r="I93" t="str">
        <f>IF(C93="","",C93&amp;"|"&amp;G93)</f>
        <v>456|80</v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4" t="inlineStr">
        <is>
          <t>456</t>
        </is>
      </c>
      <c r="D94" s="25" t="n">
        <v>46301.5078587963</v>
      </c>
      <c r="E94" s="25" t="n">
        <v>46301.51369212963</v>
      </c>
      <c r="F94" s="7">
        <f>(E94-D94)*1440</f>
        <v>8.4</v>
      </c>
      <c r="G94" s="6" t="n">
        <v>100</v>
      </c>
      <c r="H94" s="6" t="inlineStr">
        <is>
          <t>anonymous</t>
        </is>
      </c>
      <c r="I94" t="str">
        <f>IF(C94="","",C94&amp;"|"&amp;G94)</f>
        <v>456|100</v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4" t="inlineStr">
        <is>
          <t>982</t>
        </is>
      </c>
      <c r="D95" s="25" t="n">
        <v>46301.61615740741</v>
      </c>
      <c r="E95" s="25" t="n">
        <v>46301.64126157408</v>
      </c>
      <c r="F95" s="7">
        <f>(E95-D95)*1440</f>
        <v>36.15</v>
      </c>
      <c r="G95" s="6" t="n">
        <v>100</v>
      </c>
      <c r="H95" s="6" t="inlineStr">
        <is>
          <t>anonymous</t>
        </is>
      </c>
      <c r="I95" t="str">
        <f>IF(C95="","",C95&amp;"|"&amp;G95)</f>
        <v>982|100</v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4" t="inlineStr">
        <is>
          <t>853</t>
        </is>
      </c>
      <c r="D96" s="25" t="n">
        <v>46301.62170138889</v>
      </c>
      <c r="E96" s="25" t="n">
        <v>46301.64635416667</v>
      </c>
      <c r="F96" s="7">
        <f>(E96-D96)*1440</f>
        <v>35.5</v>
      </c>
      <c r="G96" s="6" t="n">
        <v>100</v>
      </c>
      <c r="H96" s="6" t="inlineStr">
        <is>
          <t>anonymous</t>
        </is>
      </c>
      <c r="I96" t="str">
        <f>IF(C96="","",C96&amp;"|"&amp;G96)</f>
        <v>853|100</v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4" t="inlineStr">
        <is>
          <t>780</t>
        </is>
      </c>
      <c r="D97" s="25" t="n">
        <v>46301.65331018518</v>
      </c>
      <c r="E97" s="25" t="n">
        <v>46301.65928240741</v>
      </c>
      <c r="F97" s="7">
        <f>(E97-D97)*1440</f>
        <v>8.6</v>
      </c>
      <c r="G97" s="6" t="n">
        <v>100</v>
      </c>
      <c r="H97" s="6" t="inlineStr">
        <is>
          <t>anonymous</t>
        </is>
      </c>
      <c r="I97" t="str">
        <f>IF(C97="","",C97&amp;"|"&amp;G97)</f>
        <v>780|100</v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4" t="inlineStr">
        <is>
          <t>589</t>
        </is>
      </c>
      <c r="D98" s="25" t="n">
        <v>46301.67337962963</v>
      </c>
      <c r="E98" s="25" t="n">
        <v>46301.68011574074</v>
      </c>
      <c r="F98" s="7">
        <f>(E98-D98)*1440</f>
        <v>9.7</v>
      </c>
      <c r="G98" s="6" t="n">
        <v>90</v>
      </c>
      <c r="H98" s="6" t="inlineStr">
        <is>
          <t>anonymous</t>
        </is>
      </c>
      <c r="I98" t="str">
        <f>IF(C98="","",C98&amp;"|"&amp;G98)</f>
        <v>589|90</v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4" t="inlineStr">
        <is>
          <t>119</t>
        </is>
      </c>
      <c r="D99" s="25" t="n">
        <v>46302.42083333333</v>
      </c>
      <c r="E99" s="25" t="n">
        <v>46302.4418287037</v>
      </c>
      <c r="F99" s="7">
        <f>(E99-D99)*1440</f>
        <v>30.2333333333333</v>
      </c>
      <c r="G99" s="6" t="n">
        <v>100</v>
      </c>
      <c r="H99" s="6" t="inlineStr">
        <is>
          <t>anonymous</t>
        </is>
      </c>
      <c r="I99" t="str">
        <f>IF(C99="","",C99&amp;"|"&amp;G99)</f>
        <v>119|100</v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4" t="inlineStr">
        <is>
          <t>585</t>
        </is>
      </c>
      <c r="D100" s="25" t="n">
        <v>46302.46341435185</v>
      </c>
      <c r="E100" s="25" t="n">
        <v>46302.47909722223</v>
      </c>
      <c r="F100" s="7">
        <f>(E100-D100)*1440</f>
        <v>22.5833333528</v>
      </c>
      <c r="G100" s="6" t="n">
        <v>100</v>
      </c>
      <c r="H100" s="6" t="inlineStr">
        <is>
          <t>anonymous</t>
        </is>
      </c>
      <c r="I100" t="str">
        <f>IF(C100="","",C100&amp;"|"&amp;G100)</f>
        <v>585|100</v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4" t="inlineStr">
        <is>
          <t>960</t>
        </is>
      </c>
      <c r="D101" s="25" t="n">
        <v>46302.46998842592</v>
      </c>
      <c r="E101" s="25" t="n">
        <v>46302.48327546296</v>
      </c>
      <c r="F101" s="7">
        <f>(E101-D101)*1440</f>
        <v>19.1333333333333</v>
      </c>
      <c r="G101" s="6" t="n">
        <v>100</v>
      </c>
      <c r="H101" s="6" t="inlineStr">
        <is>
          <t>anonymous</t>
        </is>
      </c>
      <c r="I101" t="str">
        <f>IF(C101="","",C101&amp;"|"&amp;G101)</f>
        <v>960|100</v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4" t="inlineStr">
        <is>
          <t>837</t>
        </is>
      </c>
      <c r="D102" s="25" t="n">
        <v>46302.47519675926</v>
      </c>
      <c r="E102" s="25" t="n">
        <v>46302.48523148148</v>
      </c>
      <c r="F102" s="7">
        <f>(E102-D102)*1440</f>
        <v>14.45</v>
      </c>
      <c r="G102" s="6" t="n">
        <v>100</v>
      </c>
      <c r="H102" s="6" t="inlineStr">
        <is>
          <t>anonymous</t>
        </is>
      </c>
      <c r="I102" t="str">
        <f>IF(C102="","",C102&amp;"|"&amp;G102)</f>
        <v>837|100</v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4" t="inlineStr">
        <is>
          <t>700</t>
        </is>
      </c>
      <c r="D103" s="25" t="n">
        <v>46302.55385416667</v>
      </c>
      <c r="E103" s="25" t="n">
        <v>46302.56188657408</v>
      </c>
      <c r="F103" s="7">
        <f>(E103-D103)*1440</f>
        <v>11.5666666666667</v>
      </c>
      <c r="G103" s="6" t="n">
        <v>100</v>
      </c>
      <c r="H103" s="6" t="inlineStr">
        <is>
          <t>anonymous</t>
        </is>
      </c>
      <c r="I103" t="str">
        <f>IF(C103="","",C103&amp;"|"&amp;G103)</f>
        <v>700|100</v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4" t="inlineStr">
        <is>
          <t>922</t>
        </is>
      </c>
      <c r="D104" s="25" t="n">
        <v>46302.57461805556</v>
      </c>
      <c r="E104" s="25" t="n">
        <v>46302.57753472222</v>
      </c>
      <c r="F104" s="7">
        <f>(E104-D104)*1440</f>
        <v>4.2</v>
      </c>
      <c r="G104" s="6" t="n">
        <v>100</v>
      </c>
      <c r="H104" s="6" t="inlineStr">
        <is>
          <t>anonymous</t>
        </is>
      </c>
      <c r="I104" t="str">
        <f>IF(C104="","",C104&amp;"|"&amp;G104)</f>
        <v>922|100</v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4" t="inlineStr">
        <is>
          <t>827</t>
        </is>
      </c>
      <c r="D105" s="25" t="n">
        <v>46302.5837962963</v>
      </c>
      <c r="E105" s="25" t="n">
        <v>46302.58609953704</v>
      </c>
      <c r="F105" s="7">
        <f>(E105-D105)*1440</f>
        <v>3.31666666666667</v>
      </c>
      <c r="G105" s="6" t="n">
        <v>100</v>
      </c>
      <c r="H105" s="6" t="inlineStr">
        <is>
          <t>anonymous</t>
        </is>
      </c>
      <c r="I105" t="str">
        <f>IF(C105="","",C105&amp;"|"&amp;G105)</f>
        <v>827|100</v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4" t="inlineStr">
        <is>
          <t>967</t>
        </is>
      </c>
      <c r="D106" s="25" t="n">
        <v>46302.58623842592</v>
      </c>
      <c r="E106" s="25" t="n">
        <v>46302.58998842593</v>
      </c>
      <c r="F106" s="7">
        <f>(E106-D106)*1440</f>
        <v>5.4</v>
      </c>
      <c r="G106" s="6" t="n">
        <v>100</v>
      </c>
      <c r="H106" s="6" t="inlineStr">
        <is>
          <t>anonymous</t>
        </is>
      </c>
      <c r="I106" t="str">
        <f>IF(C106="","",C106&amp;"|"&amp;G106)</f>
        <v>967|100</v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4" t="inlineStr">
        <is>
          <t>976</t>
        </is>
      </c>
      <c r="D107" s="25" t="n">
        <v>46302.59699074074</v>
      </c>
      <c r="E107" s="25" t="n">
        <v>46302.59866898148</v>
      </c>
      <c r="F107" s="7">
        <f>(E107-D107)*1440</f>
        <v>2.41666666666667</v>
      </c>
      <c r="G107" s="6" t="n">
        <v>100</v>
      </c>
      <c r="H107" s="6" t="inlineStr">
        <is>
          <t>anonymous</t>
        </is>
      </c>
      <c r="I107" t="str">
        <f>IF(C107="","",C107&amp;"|"&amp;G107)</f>
        <v>976|100</v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4" t="inlineStr">
        <is>
          <t>953</t>
        </is>
      </c>
      <c r="D108" s="25" t="n">
        <v>46302.62548611111</v>
      </c>
      <c r="E108" s="25" t="n">
        <v>46302.62670138889</v>
      </c>
      <c r="F108" s="7">
        <f>(E108-D108)*1440</f>
        <v>1.75</v>
      </c>
      <c r="G108" s="6" t="n">
        <v>100</v>
      </c>
      <c r="H108" s="6" t="inlineStr">
        <is>
          <t>anonymous</t>
        </is>
      </c>
      <c r="I108" t="str">
        <f>IF(C108="","",C108&amp;"|"&amp;G108)</f>
        <v>953|100</v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4" t="inlineStr">
        <is>
          <t>412</t>
        </is>
      </c>
      <c r="D109" s="25" t="n">
        <v>46302.48877314815</v>
      </c>
      <c r="E109" s="25" t="n">
        <v>46302.63581018519</v>
      </c>
      <c r="F109" s="7">
        <f>(E109-D109)*1440</f>
        <v>211.733333333333</v>
      </c>
      <c r="G109" s="6" t="n">
        <v>100</v>
      </c>
      <c r="H109" s="6" t="inlineStr">
        <is>
          <t>anonymous</t>
        </is>
      </c>
      <c r="I109" t="str">
        <f>IF(C109="","",C109&amp;"|"&amp;G109)</f>
        <v>412|100</v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4" t="inlineStr">
        <is>
          <t>936</t>
        </is>
      </c>
      <c r="D110" s="25" t="n">
        <v>46302.63322916667</v>
      </c>
      <c r="E110" s="25" t="n">
        <v>46302.63703703704</v>
      </c>
      <c r="F110" s="7">
        <f>(E110-D110)*1440</f>
        <v>5.48333333333333</v>
      </c>
      <c r="G110" s="6" t="n">
        <v>100</v>
      </c>
      <c r="H110" s="6" t="inlineStr">
        <is>
          <t>anonymous</t>
        </is>
      </c>
      <c r="I110" t="str">
        <f>IF(C110="","",C110&amp;"|"&amp;G110)</f>
        <v>936|100</v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4" t="inlineStr">
        <is>
          <t>89</t>
        </is>
      </c>
      <c r="D111" s="25" t="n">
        <v>46302.64388888889</v>
      </c>
      <c r="E111" s="25" t="n">
        <v>46302.64712962963</v>
      </c>
      <c r="F111" s="7">
        <f>(E111-D111)*1440</f>
        <v>4.66666666666667</v>
      </c>
      <c r="G111" s="6" t="n">
        <v>100</v>
      </c>
      <c r="H111" s="6" t="inlineStr">
        <is>
          <t>anonymous</t>
        </is>
      </c>
      <c r="I111" t="str">
        <f>IF(C111="","",C111&amp;"|"&amp;G111)</f>
        <v>89|100</v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4" t="inlineStr">
        <is>
          <t>542</t>
        </is>
      </c>
      <c r="D112" s="25" t="n">
        <v>46302.63820601852</v>
      </c>
      <c r="E112" s="25" t="n">
        <v>46302.67400462963</v>
      </c>
      <c r="F112" s="7">
        <f>(E112-D112)*1440</f>
        <v>51.55</v>
      </c>
      <c r="G112" s="6" t="n">
        <v>95</v>
      </c>
      <c r="H112" s="6" t="inlineStr">
        <is>
          <t>anonymous</t>
        </is>
      </c>
      <c r="I112" t="str">
        <f>IF(C112="","",C112&amp;"|"&amp;G112)</f>
        <v>542|95</v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4" t="inlineStr">
        <is>
          <t>343</t>
        </is>
      </c>
      <c r="D113" s="25" t="n">
        <v>46302.70020833334</v>
      </c>
      <c r="E113" s="25" t="n">
        <v>46302.70259259259</v>
      </c>
      <c r="F113" s="7">
        <f>(E113-D113)*1440</f>
        <v>3.43333333333333</v>
      </c>
      <c r="G113" s="6" t="n">
        <v>100</v>
      </c>
      <c r="H113" s="6" t="inlineStr">
        <is>
          <t>anonymous</t>
        </is>
      </c>
      <c r="I113" t="str">
        <f>IF(C113="","",C113&amp;"|"&amp;G113)</f>
        <v>343|100</v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4" t="inlineStr">
        <is>
          <t>909</t>
        </is>
      </c>
      <c r="D114" s="25" t="n">
        <v>46302.70101851852</v>
      </c>
      <c r="E114" s="25" t="n">
        <v>46302.70457175926</v>
      </c>
      <c r="F114" s="7">
        <f>(E114-D114)*1440</f>
        <v>5.11666666666667</v>
      </c>
      <c r="G114" s="6" t="n">
        <v>100</v>
      </c>
      <c r="H114" s="6" t="inlineStr">
        <is>
          <t>anonymous</t>
        </is>
      </c>
      <c r="I114" t="str">
        <f>IF(C114="","",C114&amp;"|"&amp;G114)</f>
        <v>909|100</v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4" t="inlineStr">
        <is>
          <t>892</t>
        </is>
      </c>
      <c r="D115" s="25" t="n">
        <v>46303.38890046296</v>
      </c>
      <c r="E115" s="25" t="n">
        <v>46303.39013888889</v>
      </c>
      <c r="F115" s="7">
        <f>(E115-D115)*1440</f>
        <v>1.78333333333333</v>
      </c>
      <c r="G115" s="6" t="n">
        <v>100</v>
      </c>
      <c r="H115" s="6" t="inlineStr">
        <is>
          <t>anonymous</t>
        </is>
      </c>
      <c r="I115" t="str">
        <f>IF(C115="","",C115&amp;"|"&amp;G115)</f>
        <v>892|100</v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4" t="inlineStr">
        <is>
          <t>159</t>
        </is>
      </c>
      <c r="D116" s="25" t="n">
        <v>46303.39310185185</v>
      </c>
      <c r="E116" s="25" t="n">
        <v>46303.39640046296</v>
      </c>
      <c r="F116" s="7">
        <f>(E116-D116)*1440</f>
        <v>4.75</v>
      </c>
      <c r="G116" s="6" t="n">
        <v>100</v>
      </c>
      <c r="H116" s="6" t="inlineStr">
        <is>
          <t>anonymous</t>
        </is>
      </c>
      <c r="I116" t="str">
        <f>IF(C116="","",C116&amp;"|"&amp;G116)</f>
        <v>159|100</v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4" t="inlineStr">
        <is>
          <t>757</t>
        </is>
      </c>
      <c r="D117" s="25" t="n">
        <v>46303.44171296297</v>
      </c>
      <c r="E117" s="25" t="n">
        <v>46303.44346064814</v>
      </c>
      <c r="F117" s="7">
        <f>(E117-D117)*1440</f>
        <v>2.5166666368</v>
      </c>
      <c r="G117" s="6" t="n">
        <v>100</v>
      </c>
      <c r="H117" s="6" t="inlineStr">
        <is>
          <t>anonymous</t>
        </is>
      </c>
      <c r="I117" t="str">
        <f>IF(C117="","",C117&amp;"|"&amp;G117)</f>
        <v>757|100</v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4" t="inlineStr">
        <is>
          <t>912</t>
        </is>
      </c>
      <c r="D118" s="25" t="n">
        <v>46303.45423611111</v>
      </c>
      <c r="E118" s="25" t="n">
        <v>46303.45730324074</v>
      </c>
      <c r="F118" s="7">
        <f>(E118-D118)*1440</f>
        <v>4.41666666666667</v>
      </c>
      <c r="G118" s="6" t="n">
        <v>100</v>
      </c>
      <c r="H118" s="6" t="inlineStr">
        <is>
          <t>anonymous</t>
        </is>
      </c>
      <c r="I118" t="str">
        <f>IF(C118="","",C118&amp;"|"&amp;G118)</f>
        <v>912|100</v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4" t="inlineStr">
        <is>
          <t>251</t>
        </is>
      </c>
      <c r="D119" s="25" t="n">
        <v>46303.45815972222</v>
      </c>
      <c r="E119" s="25" t="n">
        <v>46303.46199074074</v>
      </c>
      <c r="F119" s="7">
        <f>(E119-D119)*1440</f>
        <v>5.51666666666667</v>
      </c>
      <c r="G119" s="6" t="n">
        <v>100</v>
      </c>
      <c r="H119" s="6" t="inlineStr">
        <is>
          <t>anonymous</t>
        </is>
      </c>
      <c r="I119" t="str">
        <f>IF(C119="","",C119&amp;"|"&amp;G119)</f>
        <v>251|100</v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4" t="inlineStr">
        <is>
          <t>961</t>
        </is>
      </c>
      <c r="D120" s="25" t="n">
        <v>46303.53456018519</v>
      </c>
      <c r="E120" s="25" t="n">
        <v>46303.54432870371</v>
      </c>
      <c r="F120" s="7">
        <f>(E120-D120)*1440</f>
        <v>14.0666666666667</v>
      </c>
      <c r="G120" s="6" t="n">
        <v>100</v>
      </c>
      <c r="H120" s="6" t="inlineStr">
        <is>
          <t>anonymous</t>
        </is>
      </c>
      <c r="I120" t="str">
        <f>IF(C120="","",C120&amp;"|"&amp;G120)</f>
        <v>961|100</v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4" t="inlineStr">
        <is>
          <t>778</t>
        </is>
      </c>
      <c r="D121" s="25" t="n">
        <v>46304.33164351852</v>
      </c>
      <c r="E121" s="25" t="n">
        <v>46304.33385416667</v>
      </c>
      <c r="F121" s="7">
        <f>(E121-D121)*1440</f>
        <v>3.18333333333333</v>
      </c>
      <c r="G121" s="6" t="n">
        <v>100</v>
      </c>
      <c r="H121" s="6" t="inlineStr">
        <is>
          <t>anonymous</t>
        </is>
      </c>
      <c r="I121" t="str">
        <f>IF(C121="","",C121&amp;"|"&amp;G121)</f>
        <v>778|100</v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4" t="inlineStr">
        <is>
          <t>676</t>
        </is>
      </c>
      <c r="D122" s="25" t="n">
        <v>46304.35847222222</v>
      </c>
      <c r="E122" s="25" t="n">
        <v>46304.36083333333</v>
      </c>
      <c r="F122" s="7">
        <f>(E122-D122)*1440</f>
        <v>3.4</v>
      </c>
      <c r="G122" s="6" t="n">
        <v>100</v>
      </c>
      <c r="H122" s="6" t="inlineStr">
        <is>
          <t>anonymous</t>
        </is>
      </c>
      <c r="I122" t="str">
        <f>IF(C122="","",C122&amp;"|"&amp;G122)</f>
        <v>676|100</v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4" t="inlineStr">
        <is>
          <t>472</t>
        </is>
      </c>
      <c r="D123" s="25" t="n">
        <v>46304.37324074074</v>
      </c>
      <c r="E123" s="25" t="n">
        <v>46304.37534722222</v>
      </c>
      <c r="F123" s="7">
        <f>(E123-D123)*1440</f>
        <v>3.03333333333333</v>
      </c>
      <c r="G123" s="6" t="n">
        <v>100</v>
      </c>
      <c r="H123" s="6" t="inlineStr">
        <is>
          <t>anonymous</t>
        </is>
      </c>
      <c r="I123" t="str">
        <f>IF(C123="","",C123&amp;"|"&amp;G123)</f>
        <v>472|100</v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4" t="inlineStr">
        <is>
          <t>712</t>
        </is>
      </c>
      <c r="D124" s="25" t="n">
        <v>46304.37309027778</v>
      </c>
      <c r="E124" s="25" t="n">
        <v>46304.37650462963</v>
      </c>
      <c r="F124" s="7">
        <f>(E124-D124)*1440</f>
        <v>4.91666666666667</v>
      </c>
      <c r="G124" s="6" t="n">
        <v>100</v>
      </c>
      <c r="H124" s="6" t="inlineStr">
        <is>
          <t>anonymous</t>
        </is>
      </c>
      <c r="I124" t="str">
        <f>IF(C124="","",C124&amp;"|"&amp;G124)</f>
        <v>712|100</v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4" t="inlineStr">
        <is>
          <t>633</t>
        </is>
      </c>
      <c r="D125" s="25" t="n">
        <v>46304.37530092592</v>
      </c>
      <c r="E125" s="25" t="n">
        <v>46304.37832175926</v>
      </c>
      <c r="F125" s="7">
        <f>(E125-D125)*1440</f>
        <v>4.35</v>
      </c>
      <c r="G125" s="6" t="n">
        <v>100</v>
      </c>
      <c r="H125" s="6" t="inlineStr">
        <is>
          <t>anonymous</t>
        </is>
      </c>
      <c r="I125" t="str">
        <f>IF(C125="","",C125&amp;"|"&amp;G125)</f>
        <v>633|100</v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4" t="inlineStr">
        <is>
          <t>806</t>
        </is>
      </c>
      <c r="D126" s="25" t="n">
        <v>46304.36936342593</v>
      </c>
      <c r="E126" s="25" t="n">
        <v>46304.38461805556</v>
      </c>
      <c r="F126" s="7">
        <f>(E126-D126)*1440</f>
        <v>21.9666666666667</v>
      </c>
      <c r="G126" s="6" t="n">
        <v>100</v>
      </c>
      <c r="H126" s="6" t="inlineStr">
        <is>
          <t>anonymous</t>
        </is>
      </c>
      <c r="I126" t="str">
        <f>IF(C126="","",C126&amp;"|"&amp;G126)</f>
        <v>806|100</v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4" t="inlineStr">
        <is>
          <t>439</t>
        </is>
      </c>
      <c r="D127" s="25" t="n">
        <v>46304.3803587963</v>
      </c>
      <c r="E127" s="25" t="n">
        <v>46304.38547453703</v>
      </c>
      <c r="F127" s="7">
        <f>(E127-D127)*1440</f>
        <v>7.36666666666667</v>
      </c>
      <c r="G127" s="6" t="n">
        <v>80</v>
      </c>
      <c r="H127" s="6" t="inlineStr">
        <is>
          <t>anonymous</t>
        </is>
      </c>
      <c r="I127" t="str">
        <f>IF(C127="","",C127&amp;"|"&amp;G127)</f>
        <v>439|80</v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4" t="inlineStr">
        <is>
          <t>824</t>
        </is>
      </c>
      <c r="D128" s="25" t="n">
        <v>46304.37327546296</v>
      </c>
      <c r="E128" s="25" t="n">
        <v>46304.38784722222</v>
      </c>
      <c r="F128" s="7">
        <f>(E128-D128)*1440</f>
        <v>20.9833333333333</v>
      </c>
      <c r="G128" s="6" t="n">
        <v>100</v>
      </c>
      <c r="H128" s="6" t="inlineStr">
        <is>
          <t>anonymous</t>
        </is>
      </c>
      <c r="I128" t="str">
        <f>IF(C128="","",C128&amp;"|"&amp;G128)</f>
        <v>824|100</v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4" t="inlineStr">
        <is>
          <t>879</t>
        </is>
      </c>
      <c r="D129" s="25" t="n">
        <v>46304.39172453704</v>
      </c>
      <c r="E129" s="25" t="n">
        <v>46304.39483796297</v>
      </c>
      <c r="F129" s="7">
        <f>(E129-D129)*1440</f>
        <v>4.48333333333333</v>
      </c>
      <c r="G129" s="6" t="n">
        <v>100</v>
      </c>
      <c r="H129" s="6" t="inlineStr">
        <is>
          <t>anonymous</t>
        </is>
      </c>
      <c r="I129" t="str">
        <f>IF(C129="","",C129&amp;"|"&amp;G129)</f>
        <v>879|100</v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4" t="inlineStr">
        <is>
          <t>850</t>
        </is>
      </c>
      <c r="D130" s="25" t="n">
        <v>46304.38685185185</v>
      </c>
      <c r="E130" s="25" t="n">
        <v>46304.4002662037</v>
      </c>
      <c r="F130" s="7">
        <f>(E130-D130)*1440</f>
        <v>19.3166666666667</v>
      </c>
      <c r="G130" s="6" t="n">
        <v>90</v>
      </c>
      <c r="H130" s="6" t="inlineStr">
        <is>
          <t>anonymous</t>
        </is>
      </c>
      <c r="I130" t="str">
        <f>IF(C130="","",C130&amp;"|"&amp;G130)</f>
        <v>850|90</v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4" t="inlineStr">
        <is>
          <t>783</t>
        </is>
      </c>
      <c r="D131" s="25" t="n">
        <v>46304.39583333334</v>
      </c>
      <c r="E131" s="25" t="n">
        <v>46304.40027777778</v>
      </c>
      <c r="F131" s="7">
        <f>(E131-D131)*1440</f>
        <v>6.4</v>
      </c>
      <c r="G131" s="6" t="n">
        <v>100</v>
      </c>
      <c r="H131" s="6" t="inlineStr">
        <is>
          <t>anonymous</t>
        </is>
      </c>
      <c r="I131" t="str">
        <f>IF(C131="","",C131&amp;"|"&amp;G131)</f>
        <v>783|100</v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4" t="inlineStr">
        <is>
          <t>742</t>
        </is>
      </c>
      <c r="D132" s="25" t="n">
        <v>46304.39957175926</v>
      </c>
      <c r="E132" s="25" t="n">
        <v>46304.40319444444</v>
      </c>
      <c r="F132" s="7">
        <f>(E132-D132)*1440</f>
        <v>5.21666666666667</v>
      </c>
      <c r="G132" s="6" t="n">
        <v>90</v>
      </c>
      <c r="H132" s="6" t="inlineStr">
        <is>
          <t>anonymous</t>
        </is>
      </c>
      <c r="I132" t="str">
        <f>IF(C132="","",C132&amp;"|"&amp;G132)</f>
        <v>742|90</v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4" t="inlineStr">
        <is>
          <t>424</t>
        </is>
      </c>
      <c r="D133" s="25" t="n">
        <v>46304.40168981482</v>
      </c>
      <c r="E133" s="25" t="n">
        <v>46304.40432870371</v>
      </c>
      <c r="F133" s="7">
        <f>(E133-D133)*1440</f>
        <v>3.8</v>
      </c>
      <c r="G133" s="6" t="n">
        <v>90</v>
      </c>
      <c r="H133" s="6" t="inlineStr">
        <is>
          <t>anonymous</t>
        </is>
      </c>
      <c r="I133" t="str">
        <f>IF(C133="","",C133&amp;"|"&amp;G133)</f>
        <v>424|90</v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4" t="inlineStr">
        <is>
          <t>948</t>
        </is>
      </c>
      <c r="D134" s="25" t="n">
        <v>46304.40207175926</v>
      </c>
      <c r="E134" s="25" t="n">
        <v>46304.40600694445</v>
      </c>
      <c r="F134" s="7">
        <f>(E134-D134)*1440</f>
        <v>5.66666666666667</v>
      </c>
      <c r="G134" s="6" t="n">
        <v>100</v>
      </c>
      <c r="H134" s="6" t="inlineStr">
        <is>
          <t>anonymous</t>
        </is>
      </c>
      <c r="I134" t="str">
        <f>IF(C134="","",C134&amp;"|"&amp;G134)</f>
        <v>948|100</v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4" t="inlineStr">
        <is>
          <t>804</t>
        </is>
      </c>
      <c r="D135" s="25" t="n">
        <v>46304.4034837963</v>
      </c>
      <c r="E135" s="25" t="n">
        <v>46304.40790509259</v>
      </c>
      <c r="F135" s="7">
        <f>(E135-D135)*1440</f>
        <v>6.36666666666667</v>
      </c>
      <c r="G135" s="6" t="n">
        <v>100</v>
      </c>
      <c r="H135" s="6" t="inlineStr">
        <is>
          <t>anonymous</t>
        </is>
      </c>
      <c r="I135" t="str">
        <f>IF(C135="","",C135&amp;"|"&amp;G135)</f>
        <v>804|100</v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4" t="inlineStr">
        <is>
          <t>470</t>
        </is>
      </c>
      <c r="D136" s="25" t="n">
        <v>46304.40576388889</v>
      </c>
      <c r="E136" s="25" t="n">
        <v>46304.40931712963</v>
      </c>
      <c r="F136" s="7">
        <f>(E136-D136)*1440</f>
        <v>5.11666666666667</v>
      </c>
      <c r="G136" s="6" t="n">
        <v>100</v>
      </c>
      <c r="H136" s="6" t="inlineStr">
        <is>
          <t>anonymous</t>
        </is>
      </c>
      <c r="I136" t="str">
        <f>IF(C136="","",C136&amp;"|"&amp;G136)</f>
        <v>470|100</v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4" t="inlineStr">
        <is>
          <t>290</t>
        </is>
      </c>
      <c r="D137" s="25" t="n">
        <v>46304.406875</v>
      </c>
      <c r="E137" s="25" t="n">
        <v>46304.40962962963</v>
      </c>
      <c r="F137" s="7">
        <f>(E137-D137)*1440</f>
        <v>3.96666666666667</v>
      </c>
      <c r="G137" s="6" t="n">
        <v>100</v>
      </c>
      <c r="H137" s="6" t="inlineStr">
        <is>
          <t>anonymous</t>
        </is>
      </c>
      <c r="I137" t="str">
        <f>IF(C137="","",C137&amp;"|"&amp;G137)</f>
        <v>290|100</v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4" t="inlineStr">
        <is>
          <t>422</t>
        </is>
      </c>
      <c r="D138" s="25" t="n">
        <v>46304.40586805555</v>
      </c>
      <c r="E138" s="25" t="n">
        <v>46304.41396990741</v>
      </c>
      <c r="F138" s="7">
        <f>(E138-D138)*1440</f>
        <v>11.6666666666667</v>
      </c>
      <c r="G138" s="6" t="n">
        <v>100</v>
      </c>
      <c r="H138" s="6" t="inlineStr">
        <is>
          <t>anonymous</t>
        </is>
      </c>
      <c r="I138" t="str">
        <f>IF(C138="","",C138&amp;"|"&amp;G138)</f>
        <v>422|100</v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4" t="inlineStr">
        <is>
          <t>678</t>
        </is>
      </c>
      <c r="D139" s="25" t="n">
        <v>46304.41604166666</v>
      </c>
      <c r="E139" s="25" t="n">
        <v>46304.42278935185</v>
      </c>
      <c r="F139" s="7">
        <f>(E139-D139)*1440</f>
        <v>9.71666666666667</v>
      </c>
      <c r="G139" s="6" t="n">
        <v>100</v>
      </c>
      <c r="H139" s="6" t="inlineStr">
        <is>
          <t>anonymous</t>
        </is>
      </c>
      <c r="I139" t="str">
        <f>IF(C139="","",C139&amp;"|"&amp;G139)</f>
        <v>678|100</v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4" t="inlineStr">
        <is>
          <t>781</t>
        </is>
      </c>
      <c r="D140" s="25" t="n">
        <v>46304.42932870371</v>
      </c>
      <c r="E140" s="25" t="n">
        <v>46304.44460648148</v>
      </c>
      <c r="F140" s="7">
        <f>(E140-D140)*1440</f>
        <v>22</v>
      </c>
      <c r="G140" s="6" t="n">
        <v>90</v>
      </c>
      <c r="H140" s="6" t="inlineStr">
        <is>
          <t>anonymous</t>
        </is>
      </c>
      <c r="I140" t="str">
        <f>IF(C140="","",C140&amp;"|"&amp;G140)</f>
        <v>781|90</v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4" t="inlineStr">
        <is>
          <t>572</t>
        </is>
      </c>
      <c r="D141" s="25" t="n">
        <v>46304.49410879629</v>
      </c>
      <c r="E141" s="25" t="n">
        <v>46304.51201388889</v>
      </c>
      <c r="F141" s="7">
        <f>(E141-D141)*1440</f>
        <v>25.7833333333333</v>
      </c>
      <c r="G141" s="6" t="n">
        <v>100</v>
      </c>
      <c r="H141" s="6" t="inlineStr">
        <is>
          <t>anonymous</t>
        </is>
      </c>
      <c r="I141" t="str">
        <f>IF(C141="","",C141&amp;"|"&amp;G141)</f>
        <v>572|100</v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4" t="inlineStr">
        <is>
          <t>972</t>
        </is>
      </c>
      <c r="D142" s="25" t="n">
        <v>46304.51767361111</v>
      </c>
      <c r="E142" s="25" t="n">
        <v>46304.52078703704</v>
      </c>
      <c r="F142" s="7">
        <f>(E142-D142)*1440</f>
        <v>4.48333333333333</v>
      </c>
      <c r="G142" s="6" t="n">
        <v>90</v>
      </c>
      <c r="H142" s="6" t="inlineStr">
        <is>
          <t>anonymous</t>
        </is>
      </c>
      <c r="I142" t="str">
        <f>IF(C142="","",C142&amp;"|"&amp;G142)</f>
        <v>972|90</v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4" t="inlineStr">
        <is>
          <t>962</t>
        </is>
      </c>
      <c r="D143" s="25" t="n">
        <v>46304.51046296296</v>
      </c>
      <c r="E143" s="25" t="n">
        <v>46304.52142361111</v>
      </c>
      <c r="F143" s="7">
        <f>(E143-D143)*1440</f>
        <v>15.7833333333333</v>
      </c>
      <c r="G143" s="6" t="n">
        <v>90</v>
      </c>
      <c r="H143" s="6" t="inlineStr">
        <is>
          <t>anonymous</t>
        </is>
      </c>
      <c r="I143" t="str">
        <f>IF(C143="","",C143&amp;"|"&amp;G143)</f>
        <v>962|90</v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4" t="inlineStr">
        <is>
          <t>931</t>
        </is>
      </c>
      <c r="D144" s="25" t="n">
        <v>46304.56408564815</v>
      </c>
      <c r="E144" s="25" t="n">
        <v>46304.56716435185</v>
      </c>
      <c r="F144" s="7">
        <f>(E144-D144)*1440</f>
        <v>4.43333333333333</v>
      </c>
      <c r="G144" s="6" t="n">
        <v>100</v>
      </c>
      <c r="H144" s="6" t="inlineStr">
        <is>
          <t>anonymous</t>
        </is>
      </c>
      <c r="I144" t="str">
        <f>IF(C144="","",C144&amp;"|"&amp;G144)</f>
        <v>931|100</v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4" t="inlineStr">
        <is>
          <t>459</t>
        </is>
      </c>
      <c r="D145" s="25" t="n">
        <v>46304.57431712963</v>
      </c>
      <c r="E145" s="25" t="n">
        <v>46304.57939814815</v>
      </c>
      <c r="F145" s="7">
        <f>(E145-D145)*1440</f>
        <v>7.31666666666667</v>
      </c>
      <c r="G145" s="6" t="n">
        <v>95</v>
      </c>
      <c r="H145" s="6" t="inlineStr">
        <is>
          <t>anonymous</t>
        </is>
      </c>
      <c r="I145" t="str">
        <f>IF(C145="","",C145&amp;"|"&amp;G145)</f>
        <v>459|95</v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4" t="inlineStr">
        <is>
          <t>934</t>
        </is>
      </c>
      <c r="D146" s="25" t="n">
        <v>46304.66388888889</v>
      </c>
      <c r="E146" s="25" t="n">
        <v>46304.67644675926</v>
      </c>
      <c r="F146" s="7">
        <f>(E146-D146)*1440</f>
        <v>18.0833333333333</v>
      </c>
      <c r="G146" s="6" t="n">
        <v>100</v>
      </c>
      <c r="H146" s="6" t="inlineStr">
        <is>
          <t>anonymous</t>
        </is>
      </c>
      <c r="I146" t="str">
        <f>IF(C146="","",C146&amp;"|"&amp;G146)</f>
        <v>934|100</v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4" t="inlineStr">
        <is>
          <t>654</t>
        </is>
      </c>
      <c r="D147" s="25" t="n">
        <v>46304.67545138889</v>
      </c>
      <c r="E147" s="25" t="n">
        <v>46304.67850694444</v>
      </c>
      <c r="F147" s="7">
        <f>(E147-D147)*1440</f>
        <v>4.4</v>
      </c>
      <c r="G147" s="6" t="n">
        <v>80</v>
      </c>
      <c r="H147" s="6" t="inlineStr">
        <is>
          <t>anonymous</t>
        </is>
      </c>
      <c r="I147" t="str">
        <f>IF(C147="","",C147&amp;"|"&amp;G147)</f>
        <v>654|80</v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4" t="inlineStr">
        <is>
          <t>949</t>
        </is>
      </c>
      <c r="D148" s="25" t="n">
        <v>46304.68123842592</v>
      </c>
      <c r="E148" s="25" t="n">
        <v>46304.68270833333</v>
      </c>
      <c r="F148" s="7">
        <f>(E148-D148)*1440</f>
        <v>2.11666666666667</v>
      </c>
      <c r="G148" s="6" t="n">
        <v>100</v>
      </c>
      <c r="H148" s="6" t="inlineStr">
        <is>
          <t>anonymous</t>
        </is>
      </c>
      <c r="I148" t="str">
        <f>IF(C148="","",C148&amp;"|"&amp;G148)</f>
        <v>949|100</v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4" t="inlineStr">
        <is>
          <t>740</t>
        </is>
      </c>
      <c r="D149" s="25" t="n">
        <v>46304.68376157407</v>
      </c>
      <c r="E149" s="25" t="n">
        <v>46304.68594907408</v>
      </c>
      <c r="F149" s="7">
        <f>(E149-D149)*1440</f>
        <v>3.15</v>
      </c>
      <c r="G149" s="6" t="n">
        <v>100</v>
      </c>
      <c r="H149" s="6" t="inlineStr">
        <is>
          <t>anonymous</t>
        </is>
      </c>
      <c r="I149" t="str">
        <f>IF(C149="","",C149&amp;"|"&amp;G149)</f>
        <v>740|100</v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4" t="inlineStr">
        <is>
          <t>787</t>
        </is>
      </c>
      <c r="D150" s="25" t="n">
        <v>46304.69060185185</v>
      </c>
      <c r="E150" s="25" t="n">
        <v>46304.69292824074</v>
      </c>
      <c r="F150" s="7">
        <f>(E150-D150)*1440</f>
        <v>3.35</v>
      </c>
      <c r="G150" s="6" t="n">
        <v>100</v>
      </c>
      <c r="H150" s="6" t="inlineStr">
        <is>
          <t>anonymous</t>
        </is>
      </c>
      <c r="I150" t="str">
        <f>IF(C150="","",C150&amp;"|"&amp;G150)</f>
        <v>787|100</v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4" t="inlineStr">
        <is>
          <t>570</t>
        </is>
      </c>
      <c r="D151" s="25" t="n">
        <v>46304.69274305556</v>
      </c>
      <c r="E151" s="25" t="n">
        <v>46304.69452546296</v>
      </c>
      <c r="F151" s="7">
        <f>(E151-D151)*1440</f>
        <v>2.56666666666667</v>
      </c>
      <c r="G151" s="6" t="n">
        <v>100</v>
      </c>
      <c r="H151" s="6" t="inlineStr">
        <is>
          <t>anonymous</t>
        </is>
      </c>
      <c r="I151" t="str">
        <f>IF(C151="","",C151&amp;"|"&amp;G151)</f>
        <v>570|100</v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4" t="inlineStr">
        <is>
          <t>893</t>
        </is>
      </c>
      <c r="D152" s="25" t="n">
        <v>46304.69597222222</v>
      </c>
      <c r="E152" s="25" t="n">
        <v>46304.70368055555</v>
      </c>
      <c r="F152" s="7">
        <f>(E152-D152)*1440</f>
        <v>11.1</v>
      </c>
      <c r="G152" s="6" t="n">
        <v>100</v>
      </c>
      <c r="H152" s="6" t="inlineStr">
        <is>
          <t>anonymous</t>
        </is>
      </c>
      <c r="I152" t="str">
        <f>IF(C152="","",C152&amp;"|"&amp;G152)</f>
        <v>893|100</v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4" t="inlineStr">
        <is>
          <t>539</t>
        </is>
      </c>
      <c r="D153" s="25" t="n">
        <v>46304.70121527778</v>
      </c>
      <c r="E153" s="25" t="n">
        <v>46304.70379629629</v>
      </c>
      <c r="F153" s="7">
        <f>(E153-D153)*1440</f>
        <v>3.71666666666667</v>
      </c>
      <c r="G153" s="6" t="n">
        <v>100</v>
      </c>
      <c r="H153" s="6" t="inlineStr">
        <is>
          <t>anonymous</t>
        </is>
      </c>
      <c r="I153" t="str">
        <f>IF(C153="","",C153&amp;"|"&amp;G153)</f>
        <v>539|100</v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4" t="inlineStr">
        <is>
          <t>533</t>
        </is>
      </c>
      <c r="D154" s="25" t="n">
        <v>46304.77427083333</v>
      </c>
      <c r="E154" s="25" t="n">
        <v>46304.7809837963</v>
      </c>
      <c r="F154" s="7">
        <f>(E154-D154)*1440</f>
        <v>9.66666666666667</v>
      </c>
      <c r="G154" s="6" t="n">
        <v>90</v>
      </c>
      <c r="H154" s="6" t="inlineStr">
        <is>
          <t>anonymous</t>
        </is>
      </c>
      <c r="I154" t="str">
        <f>IF(C154="","",C154&amp;"|"&amp;G154)</f>
        <v>533|90</v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4" t="inlineStr">
        <is>
          <t>958</t>
        </is>
      </c>
      <c r="D155" s="25" t="n">
        <v>46305.38385416667</v>
      </c>
      <c r="E155" s="25" t="n">
        <v>46305.39554398148</v>
      </c>
      <c r="F155" s="7">
        <f>(E155-D155)*1440</f>
        <v>16.8333333333333</v>
      </c>
      <c r="G155" s="6" t="n">
        <v>75</v>
      </c>
      <c r="H155" s="6" t="inlineStr">
        <is>
          <t>anonymous</t>
        </is>
      </c>
      <c r="I155" t="str">
        <f>IF(C155="","",C155&amp;"|"&amp;G155)</f>
        <v>958|75</v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4" t="inlineStr">
        <is>
          <t>928</t>
        </is>
      </c>
      <c r="D156" s="25" t="n">
        <v>46305.39564814815</v>
      </c>
      <c r="E156" s="25" t="n">
        <v>46305.39865740741</v>
      </c>
      <c r="F156" s="7">
        <f>(E156-D156)*1440</f>
        <v>4.33333333333333</v>
      </c>
      <c r="G156" s="6" t="n">
        <v>100</v>
      </c>
      <c r="H156" s="6" t="inlineStr">
        <is>
          <t>anonymous</t>
        </is>
      </c>
      <c r="I156" t="str">
        <f>IF(C156="","",C156&amp;"|"&amp;G156)</f>
        <v>928|100</v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4" t="inlineStr">
        <is>
          <t>841</t>
        </is>
      </c>
      <c r="D157" s="25" t="n">
        <v>46305.38912037037</v>
      </c>
      <c r="E157" s="25" t="n">
        <v>46305.39891203704</v>
      </c>
      <c r="F157" s="7">
        <f>(E157-D157)*1440</f>
        <v>14.1</v>
      </c>
      <c r="G157" s="6" t="n">
        <v>100</v>
      </c>
      <c r="H157" s="6" t="inlineStr">
        <is>
          <t>anonymous</t>
        </is>
      </c>
      <c r="I157" t="str">
        <f>IF(C157="","",C157&amp;"|"&amp;G157)</f>
        <v>841|100</v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4" t="inlineStr">
        <is>
          <t>543</t>
        </is>
      </c>
      <c r="D158" s="25" t="n">
        <v>46305.39409722222</v>
      </c>
      <c r="E158" s="25" t="n">
        <v>46305.40700231482</v>
      </c>
      <c r="F158" s="7">
        <f>(E158-D158)*1440</f>
        <v>18.58333335025</v>
      </c>
      <c r="G158" s="6" t="n">
        <v>100</v>
      </c>
      <c r="H158" s="6" t="inlineStr">
        <is>
          <t>anonymous</t>
        </is>
      </c>
      <c r="I158" t="str">
        <f>IF(C158="","",C158&amp;"|"&amp;G158)</f>
        <v>543|100</v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4" t="inlineStr">
        <is>
          <t>590</t>
        </is>
      </c>
      <c r="D159" s="25" t="n">
        <v>46305.40681712963</v>
      </c>
      <c r="E159" s="25" t="n">
        <v>46305.40873842593</v>
      </c>
      <c r="F159" s="7">
        <f>(E159-D159)*1440</f>
        <v>2.76666666666667</v>
      </c>
      <c r="G159" s="6" t="n">
        <v>100</v>
      </c>
      <c r="H159" s="6" t="inlineStr">
        <is>
          <t>anonymous</t>
        </is>
      </c>
      <c r="I159" t="str">
        <f>IF(C159="","",C159&amp;"|"&amp;G159)</f>
        <v>590|100</v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4" t="inlineStr">
        <is>
          <t>17</t>
        </is>
      </c>
      <c r="D160" s="25" t="n">
        <v>46305.40667824074</v>
      </c>
      <c r="E160" s="25" t="n">
        <v>46305.40980324074</v>
      </c>
      <c r="F160" s="7">
        <f>(E160-D160)*1440</f>
        <v>4.5</v>
      </c>
      <c r="G160" s="6" t="n">
        <v>100</v>
      </c>
      <c r="H160" s="6" t="inlineStr">
        <is>
          <t>anonymous</t>
        </is>
      </c>
      <c r="I160" t="str">
        <f>IF(C160="","",C160&amp;"|"&amp;G160)</f>
        <v>17|100</v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4" t="inlineStr">
        <is>
          <t>609</t>
        </is>
      </c>
      <c r="D161" s="25" t="n">
        <v>46305.40778935186</v>
      </c>
      <c r="E161" s="25" t="n">
        <v>46305.41128472222</v>
      </c>
      <c r="F161" s="7">
        <f>(E161-D161)*1440</f>
        <v>5.0333333155</v>
      </c>
      <c r="G161" s="6" t="n">
        <v>100</v>
      </c>
      <c r="H161" s="6" t="inlineStr">
        <is>
          <t>anonymous</t>
        </is>
      </c>
      <c r="I161" t="str">
        <f>IF(C161="","",C161&amp;"|"&amp;G161)</f>
        <v>609|100</v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4" t="inlineStr">
        <is>
          <t>289</t>
        </is>
      </c>
      <c r="D162" s="25" t="n">
        <v>46305.40527777778</v>
      </c>
      <c r="E162" s="25" t="n">
        <v>46305.41322916667</v>
      </c>
      <c r="F162" s="7">
        <f>(E162-D162)*1440</f>
        <v>11.45</v>
      </c>
      <c r="G162" s="6" t="n">
        <v>100</v>
      </c>
      <c r="H162" s="6" t="inlineStr">
        <is>
          <t>anonymous</t>
        </is>
      </c>
      <c r="I162" t="str">
        <f>IF(C162="","",C162&amp;"|"&amp;G162)</f>
        <v>289|100</v>
      </c>
    </row>
    <row r="163">
      <c r="A163" s="5" t="inlineStr">
        <is>
          <t>Yanira Ortega de Miranda</t>
        </is>
      </c>
      <c r="B163" s="5" t="inlineStr">
        <is>
          <t>Agencia Colegio Medico</t>
        </is>
      </c>
      <c r="C163" s="4" t="inlineStr">
        <is>
          <t>29</t>
        </is>
      </c>
      <c r="D163" s="25" t="n">
        <v>46305.42515046296</v>
      </c>
      <c r="E163" s="25" t="n">
        <v>46305.43096064815</v>
      </c>
      <c r="F163" s="7">
        <f>(E163-D163)*1440</f>
        <v>8.36666666666667</v>
      </c>
      <c r="G163" s="6" t="n">
        <v>100</v>
      </c>
      <c r="H163" s="6" t="inlineStr">
        <is>
          <t>anonymous</t>
        </is>
      </c>
      <c r="I163" t="str">
        <f>IF(C163="","",C163&amp;"|"&amp;G163)</f>
        <v>29|100</v>
      </c>
    </row>
    <row r="164">
      <c r="A164" s="5" t="inlineStr">
        <is>
          <t>Jaquelin Jazmin Romero Flores</t>
        </is>
      </c>
      <c r="B164" s="5" t="inlineStr">
        <is>
          <t>Colegio Médico,  Caja</t>
        </is>
      </c>
      <c r="C164" s="4" t="inlineStr">
        <is>
          <t>971</t>
        </is>
      </c>
      <c r="D164" s="25" t="n">
        <v>46305.43693287037</v>
      </c>
      <c r="E164" s="25" t="n">
        <v>46305.44142361111</v>
      </c>
      <c r="F164" s="7">
        <f>(E164-D164)*1440</f>
        <v>6.46666666666667</v>
      </c>
      <c r="G164" s="6" t="n">
        <v>100</v>
      </c>
      <c r="H164" s="6" t="inlineStr">
        <is>
          <t>anonymous</t>
        </is>
      </c>
      <c r="I164" t="str">
        <f>IF(C164="","",C164&amp;"|"&amp;G164)</f>
        <v>971|100</v>
      </c>
    </row>
    <row r="165">
      <c r="A165" s="5" t="inlineStr">
        <is>
          <t>Jacqueline Adriana Chavez Saravia</t>
        </is>
      </c>
      <c r="B165" s="5" t="inlineStr">
        <is>
          <t>Colegio medico</t>
        </is>
      </c>
      <c r="C165" s="4" t="inlineStr">
        <is>
          <t>811</t>
        </is>
      </c>
      <c r="D165" s="25" t="n">
        <v>46305.45777777778</v>
      </c>
      <c r="E165" s="25" t="n">
        <v>46305.46590277777</v>
      </c>
      <c r="F165" s="7">
        <f>(E165-D165)*1440</f>
        <v>11.69999997945</v>
      </c>
      <c r="G165" s="6" t="n">
        <v>90</v>
      </c>
      <c r="H165" s="6" t="inlineStr">
        <is>
          <t>anonymous</t>
        </is>
      </c>
      <c r="I165" t="str">
        <f>IF(C165="","",C165&amp;"|"&amp;G165)</f>
        <v>811|90</v>
      </c>
    </row>
    <row r="166">
      <c r="A166" s="5" t="inlineStr">
        <is>
          <t>Paula María Calderón Pérez</t>
        </is>
      </c>
      <c r="B166" s="5" t="inlineStr">
        <is>
          <t>Gerencia de Finanzas</t>
        </is>
      </c>
      <c r="C166" s="4" t="inlineStr">
        <is>
          <t>942</t>
        </is>
      </c>
      <c r="D166" s="25" t="n">
        <v>46305.46745370371</v>
      </c>
      <c r="E166" s="25" t="n">
        <v>46305.47055555556</v>
      </c>
      <c r="F166" s="7">
        <f>(E166-D166)*1440</f>
        <v>4.46666666666667</v>
      </c>
      <c r="G166" s="6" t="n">
        <v>100</v>
      </c>
      <c r="H166" s="6" t="inlineStr">
        <is>
          <t>anonymous</t>
        </is>
      </c>
      <c r="I166" t="str">
        <f>IF(C166="","",C166&amp;"|"&amp;G166)</f>
        <v>942|100</v>
      </c>
    </row>
    <row r="167">
      <c r="A167" s="5" t="inlineStr">
        <is>
          <t>Gabriela Concepción García Gutierréz</t>
        </is>
      </c>
      <c r="B167" s="5" t="inlineStr">
        <is>
          <t>Agencia Colegio Medico</t>
        </is>
      </c>
      <c r="C167" s="4" t="inlineStr">
        <is>
          <t>975</t>
        </is>
      </c>
      <c r="D167" s="25" t="n">
        <v>46305.46927083333</v>
      </c>
      <c r="E167" s="25" t="n">
        <v>46305.4796412037</v>
      </c>
      <c r="F167" s="7">
        <f>(E167-D167)*1440</f>
        <v>14.9333333333333</v>
      </c>
      <c r="G167" s="6" t="n">
        <v>90</v>
      </c>
      <c r="H167" s="6" t="inlineStr">
        <is>
          <t>anonymous</t>
        </is>
      </c>
      <c r="I167" t="str">
        <f>IF(C167="","",C167&amp;"|"&amp;G167)</f>
        <v>975|90</v>
      </c>
    </row>
    <row r="168">
      <c r="A168" s="5" t="inlineStr">
        <is>
          <t>ANTONIO ALEXANDER ALFARO ARGUETA</t>
        </is>
      </c>
      <c r="B168" s="5" t="inlineStr">
        <is>
          <t>DEPARTAMENTO COMERCIAL DE TARJETA</t>
        </is>
      </c>
      <c r="C168" s="4" t="inlineStr">
        <is>
          <t>669</t>
        </is>
      </c>
      <c r="D168" s="25" t="n">
        <v>46305.47315972222</v>
      </c>
      <c r="E168" s="25" t="n">
        <v>46305.48725694444</v>
      </c>
      <c r="F168" s="7">
        <f>(E168-D168)*1440</f>
        <v>20.3</v>
      </c>
      <c r="G168" s="6" t="n">
        <v>90</v>
      </c>
      <c r="H168" s="6" t="inlineStr">
        <is>
          <t>anonymous</t>
        </is>
      </c>
      <c r="I168" t="str">
        <f>IF(C168="","",C168&amp;"|"&amp;G168)</f>
        <v>669|90</v>
      </c>
    </row>
    <row r="169">
      <c r="A169" s="5" t="inlineStr">
        <is>
          <t>GABRIEL FRANCISCO MOLINA DIAZ</t>
        </is>
      </c>
      <c r="B169" s="5" t="inlineStr">
        <is>
          <t>DEPARTAMENTO DE COMERCIALIZACION DE TARJETA</t>
        </is>
      </c>
      <c r="C169" s="4" t="inlineStr">
        <is>
          <t>858</t>
        </is>
      </c>
      <c r="D169" s="25" t="n">
        <v>46305.47688657408</v>
      </c>
      <c r="E169" s="25" t="n">
        <v>46305.49159722222</v>
      </c>
      <c r="F169" s="7">
        <f>(E169-D169)*1440</f>
        <v>21.1833333333333</v>
      </c>
      <c r="G169" s="6" t="n">
        <v>95</v>
      </c>
      <c r="H169" s="6" t="inlineStr">
        <is>
          <t>anonymous</t>
        </is>
      </c>
      <c r="I169" t="str">
        <f>IF(C169="","",C169&amp;"|"&amp;G169)</f>
        <v>858|95</v>
      </c>
    </row>
    <row r="170">
      <c r="A170" s="5" t="inlineStr">
        <is>
          <t>Mario Antonio Navarro Pineda</t>
        </is>
      </c>
      <c r="B170" s="5" t="inlineStr">
        <is>
          <t>Departamento de Depósitos</t>
        </is>
      </c>
      <c r="C170" s="4" t="inlineStr">
        <is>
          <t>284</t>
        </is>
      </c>
      <c r="D170" s="25" t="n">
        <v>46305.5084375</v>
      </c>
      <c r="E170" s="25" t="n">
        <v>46305.51334490741</v>
      </c>
      <c r="F170" s="7">
        <f>(E170-D170)*1440</f>
        <v>7.06666666666667</v>
      </c>
      <c r="G170" s="6" t="n">
        <v>100</v>
      </c>
      <c r="H170" s="6" t="inlineStr">
        <is>
          <t>anonymous</t>
        </is>
      </c>
      <c r="I170" t="str">
        <f>IF(C170="","",C170&amp;"|"&amp;G170)</f>
        <v>284|100</v>
      </c>
    </row>
    <row r="171">
      <c r="A171" s="5" t="inlineStr">
        <is>
          <t>Merci Antonia Ceron Mejia</t>
        </is>
      </c>
      <c r="B171" s="5" t="inlineStr">
        <is>
          <t>Colegio Medico</t>
        </is>
      </c>
      <c r="C171" s="4" t="inlineStr">
        <is>
          <t>190</t>
        </is>
      </c>
      <c r="D171" s="25" t="n">
        <v>46305.51119212963</v>
      </c>
      <c r="E171" s="25" t="n">
        <v>46305.51334490741</v>
      </c>
      <c r="F171" s="7">
        <f>(E171-D171)*1440</f>
        <v>3.1</v>
      </c>
      <c r="G171" s="6" t="n">
        <v>100</v>
      </c>
      <c r="H171" s="6" t="inlineStr">
        <is>
          <t>anonymous</t>
        </is>
      </c>
      <c r="I171" t="str">
        <f>IF(C171="","",C171&amp;"|"&amp;G171)</f>
        <v>190|100</v>
      </c>
    </row>
    <row r="172">
      <c r="A172" s="5" t="inlineStr">
        <is>
          <t>Martha Esperanza Valtez Garcia</t>
        </is>
      </c>
      <c r="B172" s="5" t="inlineStr">
        <is>
          <t>Agencia Colegio Medico</t>
        </is>
      </c>
      <c r="C172" s="4" t="inlineStr">
        <is>
          <t>536</t>
        </is>
      </c>
      <c r="D172" s="25" t="n">
        <v>46305.51107638889</v>
      </c>
      <c r="E172" s="25" t="n">
        <v>46305.51391203704</v>
      </c>
      <c r="F172" s="7">
        <f>(E172-D172)*1440</f>
        <v>4.08333333333333</v>
      </c>
      <c r="G172" s="6" t="n">
        <v>100</v>
      </c>
      <c r="H172" s="6" t="inlineStr">
        <is>
          <t>anonymous</t>
        </is>
      </c>
      <c r="I172" t="str">
        <f>IF(C172="","",C172&amp;"|"&amp;G172)</f>
        <v>536|100</v>
      </c>
    </row>
    <row r="173">
      <c r="A173" s="5" t="inlineStr">
        <is>
          <t>JOSE ALEXANDER ABREGO</t>
        </is>
      </c>
      <c r="B173" s="5" t="inlineStr">
        <is>
          <t>DEPTO COMERCIAL DE TARJETA DE CREDITO</t>
        </is>
      </c>
      <c r="C173" s="4" t="inlineStr">
        <is>
          <t>655</t>
        </is>
      </c>
      <c r="D173" s="25" t="n">
        <v>46305.51121527778</v>
      </c>
      <c r="E173" s="25" t="n">
        <v>46305.51431712963</v>
      </c>
      <c r="F173" s="7">
        <f>(E173-D173)*1440</f>
        <v>4.46666666666667</v>
      </c>
      <c r="G173" s="6" t="n">
        <v>65</v>
      </c>
      <c r="H173" s="6" t="inlineStr">
        <is>
          <t>anonymous</t>
        </is>
      </c>
      <c r="I173" t="str">
        <f>IF(C173="","",C173&amp;"|"&amp;G173)</f>
        <v>655|65</v>
      </c>
    </row>
    <row r="174">
      <c r="A174" s="5" t="inlineStr">
        <is>
          <t>CARLOS ALEXANDER ROMERO ROMERO</t>
        </is>
      </c>
      <c r="B174" s="5" t="inlineStr">
        <is>
          <t>SEGUROS</t>
        </is>
      </c>
      <c r="C174" s="4" t="inlineStr">
        <is>
          <t>639</t>
        </is>
      </c>
      <c r="D174" s="25" t="n">
        <v>46305.51498842592</v>
      </c>
      <c r="E174" s="25" t="n">
        <v>46305.51787037037</v>
      </c>
      <c r="F174" s="7">
        <f>(E174-D174)*1440</f>
        <v>4.15</v>
      </c>
      <c r="G174" s="6" t="n">
        <v>100</v>
      </c>
      <c r="H174" s="6" t="inlineStr">
        <is>
          <t>anonymous</t>
        </is>
      </c>
      <c r="I174" t="str">
        <f>IF(C174="","",C174&amp;"|"&amp;G174)</f>
        <v>639|100</v>
      </c>
    </row>
    <row r="175">
      <c r="A175" s="5" t="inlineStr">
        <is>
          <t>Efrain Antonio Ayala López</t>
        </is>
      </c>
      <c r="B175" s="5" t="inlineStr">
        <is>
          <t>Departamento de Planificación y análisis</t>
        </is>
      </c>
      <c r="C175" s="4" t="inlineStr">
        <is>
          <t>946</t>
        </is>
      </c>
      <c r="D175" s="25" t="n">
        <v>46305.5291087963</v>
      </c>
      <c r="E175" s="25" t="n">
        <v>46305.53491898148</v>
      </c>
      <c r="F175" s="7">
        <f>(E175-D175)*1440</f>
        <v>8.36666666666667</v>
      </c>
      <c r="G175" s="6" t="n">
        <v>100</v>
      </c>
      <c r="H175" s="6" t="inlineStr">
        <is>
          <t>anonymous</t>
        </is>
      </c>
      <c r="I175" t="str">
        <f>IF(C175="","",C175&amp;"|"&amp;G175)</f>
        <v>946|100</v>
      </c>
    </row>
    <row r="176">
      <c r="A176" s="5" t="inlineStr">
        <is>
          <t>Ana Griselda Sigüenza Martínez</t>
        </is>
      </c>
      <c r="B176" s="5" t="inlineStr">
        <is>
          <t>Soluciones Financieras</t>
        </is>
      </c>
      <c r="C176" s="4" t="inlineStr">
        <is>
          <t>528</t>
        </is>
      </c>
      <c r="D176" s="25" t="n">
        <v>46305.53150462963</v>
      </c>
      <c r="E176" s="25" t="n">
        <v>46305.54105324074</v>
      </c>
      <c r="F176" s="7">
        <f>(E176-D176)*1440</f>
        <v>13.75</v>
      </c>
      <c r="G176" s="6" t="n">
        <v>100</v>
      </c>
      <c r="H176" s="6" t="inlineStr">
        <is>
          <t>anonymous</t>
        </is>
      </c>
      <c r="I176" t="str">
        <f>IF(C176="","",C176&amp;"|"&amp;G176)</f>
        <v>528|100</v>
      </c>
    </row>
    <row r="177">
      <c r="A177" s="5" t="inlineStr">
        <is>
          <t>Yaneth Hernández Yanes</t>
        </is>
      </c>
      <c r="B177" s="5" t="inlineStr">
        <is>
          <t>Créditos</t>
        </is>
      </c>
      <c r="C177" s="4" t="inlineStr">
        <is>
          <t>730</t>
        </is>
      </c>
      <c r="D177" s="25" t="n">
        <v>46305.56402777778</v>
      </c>
      <c r="E177" s="25" t="n">
        <v>46305.56736111111</v>
      </c>
      <c r="F177" s="7">
        <f>(E177-D177)*1440</f>
        <v>4.8</v>
      </c>
      <c r="G177" s="6" t="n">
        <v>100</v>
      </c>
      <c r="H177" s="6" t="inlineStr">
        <is>
          <t>anonymous</t>
        </is>
      </c>
      <c r="I177" t="str">
        <f>IF(C177="","",C177&amp;"|"&amp;G177)</f>
        <v>730|100</v>
      </c>
    </row>
    <row r="178">
      <c r="A178" s="5" t="inlineStr">
        <is>
          <t>Mauricio Antonio Ramirez Perez</t>
        </is>
      </c>
      <c r="B178" s="5" t="inlineStr">
        <is>
          <t>Servicios Generales</t>
        </is>
      </c>
      <c r="C178" s="4" t="inlineStr">
        <is>
          <t>436</t>
        </is>
      </c>
      <c r="D178" s="25" t="n">
        <v>46306.42859953704</v>
      </c>
      <c r="E178" s="25" t="n">
        <v>46306.43788194445</v>
      </c>
      <c r="F178" s="7">
        <f>(E178-D178)*1440</f>
        <v>13.3666666666667</v>
      </c>
      <c r="G178" s="6" t="n">
        <v>90</v>
      </c>
      <c r="H178" s="6" t="inlineStr">
        <is>
          <t>anonymous</t>
        </is>
      </c>
      <c r="I178" t="str">
        <f>IF(C178="","",C178&amp;"|"&amp;G178)</f>
        <v>436|90</v>
      </c>
    </row>
    <row r="179">
      <c r="A179" s="5" t="inlineStr">
        <is>
          <t>Juan José Cañas Comayagua</t>
        </is>
      </c>
      <c r="B179" s="5" t="inlineStr">
        <is>
          <t>Departamento Legal</t>
        </is>
      </c>
      <c r="C179" s="4" t="inlineStr">
        <is>
          <t>442</t>
        </is>
      </c>
      <c r="D179" s="25" t="n">
        <v>46306.59994212963</v>
      </c>
      <c r="E179" s="25" t="n">
        <v>46306.60649305556</v>
      </c>
      <c r="F179" s="7">
        <f>(E179-D179)*1440</f>
        <v>9.43333333333333</v>
      </c>
      <c r="G179" s="6" t="n">
        <v>100</v>
      </c>
      <c r="H179" s="6" t="inlineStr">
        <is>
          <t>anonymous</t>
        </is>
      </c>
      <c r="I179" t="str">
        <f>IF(C179="","",C179&amp;"|"&amp;G179)</f>
        <v>442|100</v>
      </c>
    </row>
    <row r="180">
      <c r="A180" s="5" t="inlineStr">
        <is>
          <t>MARIO LEONEL CANDRAY FLORES</t>
        </is>
      </c>
      <c r="B180" s="5" t="inlineStr">
        <is>
          <t>DPTO. DE CREDITOS</t>
        </is>
      </c>
      <c r="C180" s="4" t="inlineStr">
        <is>
          <t>939</t>
        </is>
      </c>
      <c r="D180" s="25" t="n">
        <v>46307.36936342593</v>
      </c>
      <c r="E180" s="25" t="n">
        <v>46307.37395833333</v>
      </c>
      <c r="F180" s="7">
        <f>(E180-D180)*1440</f>
        <v>6.61666666666667</v>
      </c>
      <c r="G180" s="6" t="n">
        <v>100</v>
      </c>
      <c r="H180" s="6" t="inlineStr">
        <is>
          <t>anonymous</t>
        </is>
      </c>
      <c r="I180" t="str">
        <f>IF(C180="","",C180&amp;"|"&amp;G180)</f>
        <v>939|100</v>
      </c>
    </row>
    <row r="181">
      <c r="A181" s="5" t="inlineStr">
        <is>
          <t>María Lilian Menjívar Guardado</t>
        </is>
      </c>
      <c r="B181" s="5" t="inlineStr">
        <is>
          <t>Gerencia de Creditos</t>
        </is>
      </c>
      <c r="C181" s="4" t="inlineStr">
        <is>
          <t>979</t>
        </is>
      </c>
      <c r="D181" s="25" t="n">
        <v>46307.36702546296</v>
      </c>
      <c r="E181" s="25" t="n">
        <v>46307.37511574074</v>
      </c>
      <c r="F181" s="7">
        <f>(E181-D181)*1440</f>
        <v>11.65</v>
      </c>
      <c r="G181" s="6" t="n">
        <v>100</v>
      </c>
      <c r="H181" s="6" t="inlineStr">
        <is>
          <t>anonymous</t>
        </is>
      </c>
      <c r="I181" t="str">
        <f>IF(C181="","",C181&amp;"|"&amp;G181)</f>
        <v>979|100</v>
      </c>
    </row>
    <row r="182">
      <c r="A182" s="5" t="inlineStr">
        <is>
          <t>Karla Vanessa García Oliva</t>
        </is>
      </c>
      <c r="B182" s="5" t="inlineStr">
        <is>
          <t>Depto. de créditos</t>
        </is>
      </c>
      <c r="C182" s="4" t="inlineStr">
        <is>
          <t>809</t>
        </is>
      </c>
      <c r="D182" s="25" t="n">
        <v>46307.37898148148</v>
      </c>
      <c r="E182" s="25" t="n">
        <v>46307.38409722222</v>
      </c>
      <c r="F182" s="7">
        <f>(E182-D182)*1440</f>
        <v>7.36666666666667</v>
      </c>
      <c r="G182" s="6" t="n">
        <v>100</v>
      </c>
      <c r="H182" s="6" t="inlineStr">
        <is>
          <t>anonymous</t>
        </is>
      </c>
      <c r="I182" t="str">
        <f>IF(C182="","",C182&amp;"|"&amp;G182)</f>
        <v>809|100</v>
      </c>
    </row>
    <row r="183">
      <c r="A183" s="5" t="inlineStr">
        <is>
          <t>Jennifer Marcela Morales de Torres</t>
        </is>
      </c>
      <c r="B183" s="5" t="inlineStr">
        <is>
          <t>Departamento de Contabilidad</t>
        </is>
      </c>
      <c r="C183" s="4" t="inlineStr">
        <is>
          <t>749</t>
        </is>
      </c>
      <c r="D183" s="25" t="n">
        <v>46307.38872685185</v>
      </c>
      <c r="E183" s="25" t="n">
        <v>46307.39042824074</v>
      </c>
      <c r="F183" s="7">
        <f>(E183-D183)*1440</f>
        <v>2.45</v>
      </c>
      <c r="G183" s="6" t="n">
        <v>100</v>
      </c>
      <c r="H183" s="6" t="inlineStr">
        <is>
          <t>anonymous</t>
        </is>
      </c>
      <c r="I183" t="str">
        <f>IF(C183="","",C183&amp;"|"&amp;G183)</f>
        <v>749|100</v>
      </c>
    </row>
    <row r="184">
      <c r="A184" s="5" t="inlineStr">
        <is>
          <t>Daniela María Fuentes Medina</t>
        </is>
      </c>
      <c r="B184" s="5" t="inlineStr">
        <is>
          <t>Legal</t>
        </is>
      </c>
      <c r="C184" s="4" t="inlineStr">
        <is>
          <t>843</t>
        </is>
      </c>
      <c r="D184" s="25" t="n">
        <v>46307.39090277778</v>
      </c>
      <c r="E184" s="25" t="n">
        <v>46307.39480324074</v>
      </c>
      <c r="F184" s="7">
        <f>(E184-D184)*1440</f>
        <v>5.61666666666667</v>
      </c>
      <c r="G184" s="6" t="n">
        <v>100</v>
      </c>
      <c r="H184" s="6" t="inlineStr">
        <is>
          <t>anonymous</t>
        </is>
      </c>
      <c r="I184" t="str">
        <f>IF(C184="","",C184&amp;"|"&amp;G184)</f>
        <v>843|100</v>
      </c>
    </row>
    <row r="185">
      <c r="A185" s="5" t="inlineStr">
        <is>
          <t>German Alberto Campos Torres</t>
        </is>
      </c>
      <c r="B185" s="5" t="inlineStr">
        <is>
          <t>Servicios Generales</t>
        </is>
      </c>
      <c r="C185" s="4" t="inlineStr">
        <is>
          <t>830</t>
        </is>
      </c>
      <c r="D185" s="25" t="n">
        <v>46307.39894675926</v>
      </c>
      <c r="E185" s="25" t="n">
        <v>46307.40229166667</v>
      </c>
      <c r="F185" s="7">
        <f>(E185-D185)*1440</f>
        <v>4.81666666666667</v>
      </c>
      <c r="G185" s="6" t="n">
        <v>100</v>
      </c>
      <c r="H185" s="6" t="inlineStr">
        <is>
          <t>anonymous</t>
        </is>
      </c>
      <c r="I185" t="str">
        <f>IF(C185="","",C185&amp;"|"&amp;G185)</f>
        <v>830|100</v>
      </c>
    </row>
    <row r="186">
      <c r="A186" s="5" t="inlineStr">
        <is>
          <t>Rosario del Carmen Pérez Lopez</t>
        </is>
      </c>
      <c r="B186" s="5" t="inlineStr">
        <is>
          <t>Agencia Plaza Mundo</t>
        </is>
      </c>
      <c r="C186" s="4" t="inlineStr">
        <is>
          <t>535</t>
        </is>
      </c>
      <c r="D186" s="25" t="n">
        <v>46307.40015046296</v>
      </c>
      <c r="E186" s="25" t="n">
        <v>46307.40383101852</v>
      </c>
      <c r="F186" s="7">
        <f>(E186-D186)*1440</f>
        <v>5.3</v>
      </c>
      <c r="G186" s="6" t="n">
        <v>100</v>
      </c>
      <c r="H186" s="6" t="inlineStr">
        <is>
          <t>anonymous</t>
        </is>
      </c>
      <c r="I186" t="str">
        <f>IF(C186="","",C186&amp;"|"&amp;G186)</f>
        <v>535|100</v>
      </c>
    </row>
    <row r="187">
      <c r="A187" s="5" t="inlineStr">
        <is>
          <t>Nicolle Alexandra Marinero Gallardo</t>
        </is>
      </c>
      <c r="B187" s="5" t="inlineStr">
        <is>
          <t>Departamento Legal</t>
        </is>
      </c>
      <c r="C187" s="4" t="inlineStr">
        <is>
          <t>831</t>
        </is>
      </c>
      <c r="D187" s="25" t="n">
        <v>46307.40994212963</v>
      </c>
      <c r="E187" s="25" t="n">
        <v>46307.4125462963</v>
      </c>
      <c r="F187" s="7">
        <f>(E187-D187)*1440</f>
        <v>3.75</v>
      </c>
      <c r="G187" s="6" t="n">
        <v>90</v>
      </c>
      <c r="H187" s="6" t="inlineStr">
        <is>
          <t>anonymous</t>
        </is>
      </c>
      <c r="I187" t="str">
        <f>IF(C187="","",C187&amp;"|"&amp;G187)</f>
        <v>831|90</v>
      </c>
    </row>
    <row r="188">
      <c r="A188" s="5" t="inlineStr">
        <is>
          <t>Andrea Raquel Montoya Alarcon</t>
        </is>
      </c>
      <c r="B188" s="5" t="inlineStr">
        <is>
          <t>Legal</t>
        </is>
      </c>
      <c r="C188" s="4" t="inlineStr">
        <is>
          <t>814</t>
        </is>
      </c>
      <c r="D188" s="25" t="n">
        <v>46307.41289351852</v>
      </c>
      <c r="E188" s="25" t="n">
        <v>46307.42131944445</v>
      </c>
      <c r="F188" s="7">
        <f>(E188-D188)*1440</f>
        <v>12.1333333333333</v>
      </c>
      <c r="G188" s="6" t="n">
        <v>100</v>
      </c>
      <c r="H188" s="6" t="inlineStr">
        <is>
          <t>anonymous</t>
        </is>
      </c>
      <c r="I188" t="str">
        <f>IF(C188="","",C188&amp;"|"&amp;G188)</f>
        <v>814|100</v>
      </c>
    </row>
    <row r="189">
      <c r="A189" s="5" t="inlineStr">
        <is>
          <t>Wilber Ernesto Diaz Gonzalez</t>
        </is>
      </c>
      <c r="B189" s="5" t="inlineStr">
        <is>
          <t>Agencia Colegio Medico</t>
        </is>
      </c>
      <c r="C189" s="4" t="inlineStr">
        <is>
          <t>890</t>
        </is>
      </c>
      <c r="D189" s="25" t="n">
        <v>46307.42672453704</v>
      </c>
      <c r="E189" s="25" t="n">
        <v>46307.43005787037</v>
      </c>
      <c r="F189" s="7">
        <f>(E189-D189)*1440</f>
        <v>4.8</v>
      </c>
      <c r="G189" s="6" t="n">
        <v>90</v>
      </c>
      <c r="H189" s="6" t="inlineStr">
        <is>
          <t>anonymous</t>
        </is>
      </c>
      <c r="I189" t="str">
        <f>IF(C189="","",C189&amp;"|"&amp;G189)</f>
        <v>890|90</v>
      </c>
    </row>
    <row r="190">
      <c r="A190" s="5" t="inlineStr">
        <is>
          <t>JEAN HARRY MIRANDA ARAUJO</t>
        </is>
      </c>
      <c r="B190" s="5" t="inlineStr">
        <is>
          <t>Departamento de Análisis y Programación</t>
        </is>
      </c>
      <c r="C190" s="4" t="inlineStr">
        <is>
          <t>752</t>
        </is>
      </c>
      <c r="D190" s="25" t="n">
        <v>46307.41273148148</v>
      </c>
      <c r="E190" s="25" t="n">
        <v>46307.43311342593</v>
      </c>
      <c r="F190" s="7">
        <f>(E190-D190)*1440</f>
        <v>29.35</v>
      </c>
      <c r="G190" s="6" t="n">
        <v>100</v>
      </c>
      <c r="H190" s="6" t="inlineStr">
        <is>
          <t>anonymous</t>
        </is>
      </c>
      <c r="I190" t="str">
        <f>IF(C190="","",C190&amp;"|"&amp;G190)</f>
        <v>752|100</v>
      </c>
    </row>
    <row r="191">
      <c r="A191" s="5" t="inlineStr">
        <is>
          <t>Marta Lilian Vigil de Quijano</t>
        </is>
      </c>
      <c r="B191" s="5" t="inlineStr">
        <is>
          <t>Gerencia Administrativa</t>
        </is>
      </c>
      <c r="C191" s="4" t="inlineStr">
        <is>
          <t>45</t>
        </is>
      </c>
      <c r="D191" s="25" t="n">
        <v>46307.42846064815</v>
      </c>
      <c r="E191" s="25" t="n">
        <v>46307.43666666667</v>
      </c>
      <c r="F191" s="7">
        <f>(E191-D191)*1440</f>
        <v>11.8166666666667</v>
      </c>
      <c r="G191" s="6" t="n">
        <v>100</v>
      </c>
      <c r="H191" s="6" t="inlineStr">
        <is>
          <t>anonymous</t>
        </is>
      </c>
      <c r="I191" t="str">
        <f>IF(C191="","",C191&amp;"|"&amp;G191)</f>
        <v>45|100</v>
      </c>
    </row>
    <row r="192">
      <c r="A192" s="5" t="inlineStr">
        <is>
          <t>Nelson Danilo Benítez Méndez</t>
        </is>
      </c>
      <c r="B192" s="5" t="inlineStr">
        <is>
          <t>Auditoría Interna</t>
        </is>
      </c>
      <c r="C192" s="4" t="inlineStr">
        <is>
          <t>534</t>
        </is>
      </c>
      <c r="D192" s="25" t="n">
        <v>46307.43509259259</v>
      </c>
      <c r="E192" s="25" t="n">
        <v>46307.43875</v>
      </c>
      <c r="F192" s="7">
        <f>(E192-D192)*1440</f>
        <v>5.26666666666667</v>
      </c>
      <c r="G192" s="6" t="n">
        <v>100</v>
      </c>
      <c r="H192" s="6" t="inlineStr">
        <is>
          <t>anonymous</t>
        </is>
      </c>
      <c r="I192" t="str">
        <f>IF(C192="","",C192&amp;"|"&amp;G192)</f>
        <v>534|100</v>
      </c>
    </row>
    <row r="193">
      <c r="A193" s="5" t="inlineStr">
        <is>
          <t>Norma Aracely Guillen</t>
        </is>
      </c>
      <c r="B193" s="5" t="inlineStr">
        <is>
          <t>Agencia Plaza Mundo</t>
        </is>
      </c>
      <c r="C193" s="4" t="inlineStr">
        <is>
          <t>331</t>
        </is>
      </c>
      <c r="D193" s="25" t="n">
        <v>46307.43707175926</v>
      </c>
      <c r="E193" s="25" t="n">
        <v>46307.44004629629</v>
      </c>
      <c r="F193" s="7">
        <f>(E193-D193)*1440</f>
        <v>4.28333333333333</v>
      </c>
      <c r="G193" s="6" t="n">
        <v>100</v>
      </c>
      <c r="H193" s="6" t="inlineStr">
        <is>
          <t>anonymous</t>
        </is>
      </c>
      <c r="I193" t="str">
        <f>IF(C193="","",C193&amp;"|"&amp;G193)</f>
        <v>331|100</v>
      </c>
    </row>
    <row r="194">
      <c r="A194" s="5" t="inlineStr">
        <is>
          <t>Flor Marisela Torres Velasquez</t>
        </is>
      </c>
      <c r="B194" s="5" t="inlineStr">
        <is>
          <t>Gerencia de Sistemas</t>
        </is>
      </c>
      <c r="C194" s="4" t="inlineStr">
        <is>
          <t>393</t>
        </is>
      </c>
      <c r="D194" s="25" t="n">
        <v>46307.48131944444</v>
      </c>
      <c r="E194" s="25" t="n">
        <v>46307.48341435185</v>
      </c>
      <c r="F194" s="7">
        <f>(E194-D194)*1440</f>
        <v>3.01666666666667</v>
      </c>
      <c r="G194" s="6" t="n">
        <v>100</v>
      </c>
      <c r="H194" s="6" t="inlineStr">
        <is>
          <t>anonymous</t>
        </is>
      </c>
      <c r="I194" t="str">
        <f>IF(C194="","",C194&amp;"|"&amp;G194)</f>
        <v>393|100</v>
      </c>
    </row>
    <row r="195">
      <c r="A195" s="5" t="inlineStr">
        <is>
          <t>Rosa Elizabeth Rivas de Aguiluz</t>
        </is>
      </c>
      <c r="B195" s="5" t="inlineStr">
        <is>
          <t>Soluciones Financieras</t>
        </is>
      </c>
      <c r="C195" s="4" t="inlineStr">
        <is>
          <t>182</t>
        </is>
      </c>
      <c r="D195" s="25" t="n">
        <v>46307.56247685185</v>
      </c>
      <c r="E195" s="25" t="n">
        <v>46307.56962962963</v>
      </c>
      <c r="F195" s="7">
        <f>(E195-D195)*1440</f>
        <v>10.3</v>
      </c>
      <c r="G195" s="6" t="n">
        <v>70</v>
      </c>
      <c r="H195" s="6" t="inlineStr">
        <is>
          <t>anonymous</t>
        </is>
      </c>
      <c r="I195" t="str">
        <f>IF(C195="","",C195&amp;"|"&amp;G195)</f>
        <v>182|70</v>
      </c>
    </row>
    <row r="196">
      <c r="A196" s="5" t="inlineStr">
        <is>
          <t>Sandra Guadalupe Roque Sanchez</t>
        </is>
      </c>
      <c r="B196" s="5" t="inlineStr">
        <is>
          <t>Soluciones Financieras</t>
        </is>
      </c>
      <c r="C196" s="4" t="inlineStr">
        <is>
          <t>298</t>
        </is>
      </c>
      <c r="D196" s="25" t="n">
        <v>46307.57112268519</v>
      </c>
      <c r="E196" s="25" t="n">
        <v>46307.58479166667</v>
      </c>
      <c r="F196" s="7">
        <f>(E196-D196)*1440</f>
        <v>19.6833333333333</v>
      </c>
      <c r="G196" s="6" t="n">
        <v>80</v>
      </c>
      <c r="H196" s="6" t="inlineStr">
        <is>
          <t>anonymous</t>
        </is>
      </c>
      <c r="I196" t="str">
        <f>IF(C196="","",C196&amp;"|"&amp;G196)</f>
        <v>298|80</v>
      </c>
    </row>
    <row r="197">
      <c r="A197" s="5" t="inlineStr">
        <is>
          <t>xochilt noubleau</t>
        </is>
      </c>
      <c r="B197" s="5" t="inlineStr">
        <is>
          <t>soluciones financieras</t>
        </is>
      </c>
      <c r="C197" s="4" t="inlineStr">
        <is>
          <t>263</t>
        </is>
      </c>
      <c r="D197" s="25" t="n">
        <v>46307.59239583334</v>
      </c>
      <c r="E197" s="25" t="n">
        <v>46307.60011574074</v>
      </c>
      <c r="F197" s="7">
        <f>(E197-D197)*1440</f>
        <v>11.1166666666667</v>
      </c>
      <c r="G197" s="6" t="n">
        <v>100</v>
      </c>
      <c r="H197" s="6" t="inlineStr">
        <is>
          <t>anonymous</t>
        </is>
      </c>
      <c r="I197" t="str">
        <f>IF(C197="","",C197&amp;"|"&amp;G197)</f>
        <v>263|100</v>
      </c>
    </row>
    <row r="198">
      <c r="A198" s="5" t="inlineStr">
        <is>
          <t>Christian Enrique Campos Privado</t>
        </is>
      </c>
      <c r="B198" s="5" t="inlineStr">
        <is>
          <t>Departamento Legal</t>
        </is>
      </c>
      <c r="C198" s="4" t="inlineStr">
        <is>
          <t>905</t>
        </is>
      </c>
      <c r="D198" s="25" t="n">
        <v>46307.60627314815</v>
      </c>
      <c r="E198" s="25" t="n">
        <v>46307.645</v>
      </c>
      <c r="F198" s="7">
        <f>(E198-D198)*1440</f>
        <v>55.7666666666667</v>
      </c>
      <c r="G198" s="6" t="n">
        <v>100</v>
      </c>
      <c r="H198" s="6" t="inlineStr">
        <is>
          <t>anonymous</t>
        </is>
      </c>
      <c r="I198" t="str">
        <f>IF(C198="","",C198&amp;"|"&amp;G198)</f>
        <v>905|100</v>
      </c>
    </row>
    <row r="199">
      <c r="A199" s="5" t="inlineStr">
        <is>
          <t>Meralys Chávez Rodriguez</t>
        </is>
      </c>
      <c r="B199" s="5" t="inlineStr">
        <is>
          <t>Auditoría Interna</t>
        </is>
      </c>
      <c r="C199" s="4" t="inlineStr">
        <is>
          <t>330</t>
        </is>
      </c>
      <c r="D199" s="25" t="n">
        <v>46307.64835648148</v>
      </c>
      <c r="E199" s="25" t="n">
        <v>46307.6527662037</v>
      </c>
      <c r="F199" s="7">
        <f>(E199-D199)*1440</f>
        <v>6.35</v>
      </c>
      <c r="G199" s="6" t="n">
        <v>100</v>
      </c>
      <c r="H199" s="6" t="inlineStr">
        <is>
          <t>anonymous</t>
        </is>
      </c>
      <c r="I199" t="str">
        <f>IF(C199="","",C199&amp;"|"&amp;G199)</f>
        <v>330|100</v>
      </c>
    </row>
    <row r="200">
      <c r="A200" s="5" t="inlineStr">
        <is>
          <t>Gema Yesenia Villalobos Hernández</t>
        </is>
      </c>
      <c r="B200" s="5" t="inlineStr">
        <is>
          <t>Administración de Crteras</t>
        </is>
      </c>
      <c r="C200" s="4" t="inlineStr">
        <is>
          <t>477</t>
        </is>
      </c>
      <c r="D200" s="25" t="n">
        <v>46307.65331018518</v>
      </c>
      <c r="E200" s="25" t="n">
        <v>46307.65584490741</v>
      </c>
      <c r="F200" s="7">
        <f>(E200-D200)*1440</f>
        <v>3.65</v>
      </c>
      <c r="G200" s="6" t="n">
        <v>100</v>
      </c>
      <c r="H200" s="6" t="inlineStr">
        <is>
          <t>anonymous</t>
        </is>
      </c>
      <c r="I200" t="str">
        <f>IF(C200="","",C200&amp;"|"&amp;G200)</f>
        <v>477|100</v>
      </c>
    </row>
    <row r="201">
      <c r="A201" s="5" t="inlineStr">
        <is>
          <t>Ester Aleyda Godoy Campos</t>
        </is>
      </c>
      <c r="B201" s="5" t="inlineStr">
        <is>
          <t>Planificación</t>
        </is>
      </c>
      <c r="C201" s="4" t="inlineStr">
        <is>
          <t>191</t>
        </is>
      </c>
      <c r="D201" s="25" t="n">
        <v>46307.66331018518</v>
      </c>
      <c r="E201" s="25" t="n">
        <v>46307.66598379629</v>
      </c>
      <c r="F201" s="7">
        <f>(E201-D201)*1440</f>
        <v>3.85</v>
      </c>
      <c r="G201" s="6" t="n">
        <v>100</v>
      </c>
      <c r="H201" s="6" t="inlineStr">
        <is>
          <t>anonymous</t>
        </is>
      </c>
      <c r="I201" t="str">
        <f>IF(C201="","",C201&amp;"|"&amp;G201)</f>
        <v>191|100</v>
      </c>
    </row>
    <row r="202">
      <c r="A202" s="5" t="inlineStr">
        <is>
          <t>YANETH MARLENY LANDAVERDE DE MORALES</t>
        </is>
      </c>
      <c r="B202" s="5" t="inlineStr">
        <is>
          <t>ADMINISTRACION DE CARTERA</t>
        </is>
      </c>
      <c r="C202" s="4" t="inlineStr">
        <is>
          <t>16</t>
        </is>
      </c>
      <c r="D202" s="25" t="n">
        <v>46307.67121527778</v>
      </c>
      <c r="E202" s="25" t="n">
        <v>46307.6755324074</v>
      </c>
      <c r="F202" s="7">
        <f>(E202-D202)*1440</f>
        <v>6.21666664256667</v>
      </c>
      <c r="G202" s="6" t="n">
        <v>100</v>
      </c>
      <c r="H202" s="6" t="inlineStr">
        <is>
          <t>anonymous</t>
        </is>
      </c>
      <c r="I202" t="str">
        <f>IF(C202="","",C202&amp;"|"&amp;G202)</f>
        <v>16|100</v>
      </c>
    </row>
    <row r="203">
      <c r="A203" s="5" t="inlineStr">
        <is>
          <t>Claudia Margarita Campos Gonzalez</t>
        </is>
      </c>
      <c r="B203" s="5" t="inlineStr">
        <is>
          <t>Departamento de análisis y programación</t>
        </is>
      </c>
      <c r="C203" s="4" t="inlineStr">
        <is>
          <t>410</t>
        </is>
      </c>
      <c r="D203" s="25" t="n">
        <v>46307.69018518519</v>
      </c>
      <c r="E203" s="25" t="n">
        <v>46307.69321759259</v>
      </c>
      <c r="F203" s="7">
        <f>(E203-D203)*1440</f>
        <v>4.36666666666667</v>
      </c>
      <c r="G203" s="6" t="n">
        <v>100</v>
      </c>
      <c r="H203" s="6" t="inlineStr">
        <is>
          <t>anonymous</t>
        </is>
      </c>
      <c r="I203" t="str">
        <f>IF(C203="","",C203&amp;"|"&amp;G203)</f>
        <v>410|100</v>
      </c>
    </row>
    <row r="204">
      <c r="A204" s="5" t="inlineStr">
        <is>
          <t>IVONNE LISSETH DE JESUS RODRIGUEZ</t>
        </is>
      </c>
      <c r="B204" s="5" t="inlineStr">
        <is>
          <t>PLAZA MUNDO</t>
        </is>
      </c>
      <c r="C204" s="4" t="inlineStr">
        <is>
          <t>219</t>
        </is>
      </c>
      <c r="D204" s="25" t="n">
        <v>46308.38597222222</v>
      </c>
      <c r="E204" s="25" t="n">
        <v>46308.39677083334</v>
      </c>
      <c r="F204" s="7">
        <f>(E204-D204)*1440</f>
        <v>15.55</v>
      </c>
      <c r="G204" s="6" t="n">
        <v>95</v>
      </c>
      <c r="H204" s="6" t="inlineStr">
        <is>
          <t>anonymous</t>
        </is>
      </c>
      <c r="I204" t="str">
        <f>IF(C204="","",C204&amp;"|"&amp;G204)</f>
        <v>219|95</v>
      </c>
    </row>
    <row r="205">
      <c r="A205" s="5" t="inlineStr">
        <is>
          <t>Gabriela Jeannette Bolaños Herrera</t>
        </is>
      </c>
      <c r="B205" s="5" t="inlineStr">
        <is>
          <t>Agencia Plaza Mundo</t>
        </is>
      </c>
      <c r="C205" s="4" t="inlineStr">
        <is>
          <t>616</t>
        </is>
      </c>
      <c r="D205" s="25" t="n">
        <v>46308.4108449074</v>
      </c>
      <c r="E205" s="25" t="n">
        <v>46308.41873842593</v>
      </c>
      <c r="F205" s="7">
        <f>(E205-D205)*1440</f>
        <v>11.36666668345</v>
      </c>
      <c r="G205" s="6" t="n">
        <v>100</v>
      </c>
      <c r="H205" s="6" t="inlineStr">
        <is>
          <t>anonymous</t>
        </is>
      </c>
      <c r="I205" t="str">
        <f>IF(C205="","",C205&amp;"|"&amp;G205)</f>
        <v>616|100</v>
      </c>
    </row>
    <row r="206">
      <c r="A206" s="5" t="inlineStr">
        <is>
          <t>MIGUEL ANGEL LEON MENA</t>
        </is>
      </c>
      <c r="B206" s="5" t="inlineStr">
        <is>
          <t>AGENCIA SONSONATE</t>
        </is>
      </c>
      <c r="C206" s="4" t="inlineStr">
        <is>
          <t>755</t>
        </is>
      </c>
      <c r="D206" s="25" t="n">
        <v>46308.43619212963</v>
      </c>
      <c r="E206" s="25" t="n">
        <v>46308.45641203703</v>
      </c>
      <c r="F206" s="7">
        <f>(E206-D206)*1440</f>
        <v>29.1166666666667</v>
      </c>
      <c r="G206" s="6" t="n">
        <v>80</v>
      </c>
      <c r="H206" s="6" t="inlineStr">
        <is>
          <t>anonymous</t>
        </is>
      </c>
      <c r="I206" t="str">
        <f>IF(C206="","",C206&amp;"|"&amp;G206)</f>
        <v>755|80</v>
      </c>
    </row>
    <row r="207">
      <c r="A207" s="5" t="inlineStr">
        <is>
          <t>DIEGO GERARDO GUANDIQUE TORRES</t>
        </is>
      </c>
      <c r="B207" s="5" t="inlineStr">
        <is>
          <t>SAN MIGUEL</t>
        </is>
      </c>
      <c r="C207" s="4" t="inlineStr">
        <is>
          <t>776</t>
        </is>
      </c>
      <c r="D207" s="25" t="n">
        <v>46308.46075231482</v>
      </c>
      <c r="E207" s="25" t="n">
        <v>46308.46273148148</v>
      </c>
      <c r="F207" s="7">
        <f>(E207-D207)*1440</f>
        <v>2.85</v>
      </c>
      <c r="G207" s="6" t="n">
        <v>100</v>
      </c>
      <c r="H207" s="6" t="inlineStr">
        <is>
          <t>anonymous</t>
        </is>
      </c>
      <c r="I207" t="str">
        <f>IF(C207="","",C207&amp;"|"&amp;G207)</f>
        <v>776|100</v>
      </c>
    </row>
    <row r="208">
      <c r="A208" s="5" t="inlineStr">
        <is>
          <t>Mabel Geraldine Ramírez de Portillo</t>
        </is>
      </c>
      <c r="B208" s="5" t="inlineStr">
        <is>
          <t>Créditos</t>
        </is>
      </c>
      <c r="C208" s="4" t="inlineStr">
        <is>
          <t>377</t>
        </is>
      </c>
      <c r="D208" s="25" t="n">
        <v>46308.56457175926</v>
      </c>
      <c r="E208" s="25" t="n">
        <v>46308.57119212963</v>
      </c>
      <c r="F208" s="7">
        <f>(E208-D208)*1440</f>
        <v>9.53333333333333</v>
      </c>
      <c r="G208" s="6" t="n">
        <v>100</v>
      </c>
      <c r="H208" s="6" t="inlineStr">
        <is>
          <t>anonymous</t>
        </is>
      </c>
      <c r="I208" t="str">
        <f>IF(C208="","",C208&amp;"|"&amp;G208)</f>
        <v>377|100</v>
      </c>
    </row>
    <row r="209">
      <c r="A209" s="5" t="inlineStr">
        <is>
          <t>INGRID PAOLA CORADO HERNANDEZ</t>
        </is>
      </c>
      <c r="B209" s="5" t="inlineStr">
        <is>
          <t>COLONIA MEDICA</t>
        </is>
      </c>
      <c r="C209" s="4" t="inlineStr">
        <is>
          <t>722</t>
        </is>
      </c>
      <c r="D209" s="25" t="n">
        <v>46308.57634259259</v>
      </c>
      <c r="E209" s="25" t="n">
        <v>46308.57957175926</v>
      </c>
      <c r="F209" s="7">
        <f>(E209-D209)*1440</f>
        <v>4.65</v>
      </c>
      <c r="G209" s="6" t="n">
        <v>90</v>
      </c>
      <c r="H209" s="6" t="inlineStr">
        <is>
          <t>anonymous</t>
        </is>
      </c>
      <c r="I209" t="str">
        <f>IF(C209="","",C209&amp;"|"&amp;G209)</f>
        <v>722|90</v>
      </c>
    </row>
    <row r="210">
      <c r="A210" s="5" t="inlineStr">
        <is>
          <t>Carolina Ramirez</t>
        </is>
      </c>
      <c r="B210" s="5" t="inlineStr">
        <is>
          <t>Central</t>
        </is>
      </c>
      <c r="C210" s="4" t="inlineStr">
        <is>
          <t>33</t>
        </is>
      </c>
      <c r="D210" s="25" t="n">
        <v>46308.60721064815</v>
      </c>
      <c r="E210" s="25" t="n">
        <v>46308.61247685185</v>
      </c>
      <c r="F210" s="7">
        <f>(E210-D210)*1440</f>
        <v>7.58333333333333</v>
      </c>
      <c r="G210" s="6" t="n">
        <v>100</v>
      </c>
      <c r="H210" s="6" t="inlineStr">
        <is>
          <t>anonymous</t>
        </is>
      </c>
      <c r="I210" t="str">
        <f>IF(C210="","",C210&amp;"|"&amp;G210)</f>
        <v>33|100</v>
      </c>
    </row>
    <row r="211">
      <c r="A211" s="5" t="inlineStr">
        <is>
          <t>Carlos René Castillo Gámez</t>
        </is>
      </c>
      <c r="B211" s="5" t="inlineStr">
        <is>
          <t>Legal</t>
        </is>
      </c>
      <c r="C211" s="4" t="inlineStr">
        <is>
          <t>592</t>
        </is>
      </c>
      <c r="D211" s="25" t="n">
        <v>46308.6159837963</v>
      </c>
      <c r="E211" s="25" t="n">
        <v>46308.62107638889</v>
      </c>
      <c r="F211" s="7">
        <f>(E211-D211)*1440</f>
        <v>7.33333333333333</v>
      </c>
      <c r="G211" s="6" t="n">
        <v>100</v>
      </c>
      <c r="H211" s="6" t="inlineStr">
        <is>
          <t>anonymous</t>
        </is>
      </c>
      <c r="I211" t="str">
        <f>IF(C211="","",C211&amp;"|"&amp;G211)</f>
        <v>592|100</v>
      </c>
    </row>
    <row r="212">
      <c r="A212" s="5" t="inlineStr">
        <is>
          <t>Karla Patricia Robles</t>
        </is>
      </c>
      <c r="B212" s="5" t="inlineStr">
        <is>
          <t>Departamento de Atención al Asociado y Clientes</t>
        </is>
      </c>
      <c r="C212" s="4" t="inlineStr">
        <is>
          <t>744</t>
        </is>
      </c>
      <c r="D212" s="25" t="n">
        <v>46308.61741898148</v>
      </c>
      <c r="E212" s="25" t="n">
        <v>46308.62261574074</v>
      </c>
      <c r="F212" s="7">
        <f>(E212-D212)*1440</f>
        <v>7.48333333333333</v>
      </c>
      <c r="G212" s="6" t="n">
        <v>90</v>
      </c>
      <c r="H212" s="6" t="inlineStr">
        <is>
          <t>anonymous</t>
        </is>
      </c>
      <c r="I212" t="str">
        <f>IF(C212="","",C212&amp;"|"&amp;G212)</f>
        <v>744|90</v>
      </c>
    </row>
    <row r="213">
      <c r="A213" s="5" t="inlineStr">
        <is>
          <t>Emerson Ulises Beltran Cortez</t>
        </is>
      </c>
      <c r="B213" s="5" t="inlineStr">
        <is>
          <t>Depto. Atención al Asociado y clientes</t>
        </is>
      </c>
      <c r="C213" s="4" t="inlineStr">
        <is>
          <t>887</t>
        </is>
      </c>
      <c r="D213" s="25" t="n">
        <v>46308.63217592592</v>
      </c>
      <c r="E213" s="25" t="n">
        <v>46308.64163194445</v>
      </c>
      <c r="F213" s="7">
        <f>(E213-D213)*1440</f>
        <v>13.6166666666667</v>
      </c>
      <c r="G213" s="6" t="n">
        <v>100</v>
      </c>
      <c r="H213" s="6" t="inlineStr">
        <is>
          <t>anonymous</t>
        </is>
      </c>
      <c r="I213" t="str">
        <f>IF(C213="","",C213&amp;"|"&amp;G213)</f>
        <v>887|100</v>
      </c>
    </row>
    <row r="214">
      <c r="A214" s="5" t="inlineStr">
        <is>
          <t>Jennifer Roxana Ayala Ayala</t>
        </is>
      </c>
      <c r="B214" s="5" t="inlineStr">
        <is>
          <t>Departamento de atención al asociado y clientes</t>
        </is>
      </c>
      <c r="C214" s="4" t="inlineStr">
        <is>
          <t>986</t>
        </is>
      </c>
      <c r="D214" s="25" t="n">
        <v>46308.70475694445</v>
      </c>
      <c r="E214" s="25" t="n">
        <v>46308.71369212963</v>
      </c>
      <c r="F214" s="7">
        <f>(E214-D214)*1440</f>
        <v>12.8666666666667</v>
      </c>
      <c r="G214" s="6" t="n">
        <v>80</v>
      </c>
      <c r="H214" s="6" t="inlineStr">
        <is>
          <t>anonymous</t>
        </is>
      </c>
      <c r="I214" t="str">
        <f>IF(C214="","",C214&amp;"|"&amp;G214)</f>
        <v>986|80</v>
      </c>
    </row>
    <row r="215">
      <c r="A215" s="5" t="inlineStr">
        <is>
          <t>GLENDA SALAZAR</t>
        </is>
      </c>
      <c r="B215" s="5" t="inlineStr">
        <is>
          <t>AGENCIA SANTA ANA</t>
        </is>
      </c>
      <c r="C215" s="4" t="inlineStr">
        <is>
          <t>295</t>
        </is>
      </c>
      <c r="D215" s="25" t="n">
        <v>46309.33659722222</v>
      </c>
      <c r="E215" s="25" t="n">
        <v>46309.33927083333</v>
      </c>
      <c r="F215" s="7">
        <f>(E215-D215)*1440</f>
        <v>3.85</v>
      </c>
      <c r="G215" s="6" t="n">
        <v>100</v>
      </c>
      <c r="H215" s="6" t="inlineStr">
        <is>
          <t>anonymous</t>
        </is>
      </c>
      <c r="I215" t="str">
        <f>IF(C215="","",C215&amp;"|"&amp;G215)</f>
        <v>295|100</v>
      </c>
    </row>
    <row r="216">
      <c r="A216" s="5" t="inlineStr">
        <is>
          <t>yenis marilu escobar sorto</t>
        </is>
      </c>
      <c r="B216" s="5" t="inlineStr">
        <is>
          <t>Soluciones</t>
        </is>
      </c>
      <c r="C216" s="4" t="inlineStr">
        <is>
          <t>34</t>
        </is>
      </c>
      <c r="D216" s="25" t="n">
        <v>46309.34978009259</v>
      </c>
      <c r="E216" s="25" t="n">
        <v>46309.35415509259</v>
      </c>
      <c r="F216" s="7">
        <f>(E216-D216)*1440</f>
        <v>6.3</v>
      </c>
      <c r="G216" s="6" t="n">
        <v>70</v>
      </c>
      <c r="H216" s="6" t="inlineStr">
        <is>
          <t>anonymous</t>
        </is>
      </c>
      <c r="I216" t="str">
        <f>IF(C216="","",C216&amp;"|"&amp;G216)</f>
        <v>34|70</v>
      </c>
    </row>
    <row r="217">
      <c r="A217" s="5" t="inlineStr">
        <is>
          <t>JULIO RAFAEL FLORES HENRIQUEZ</t>
        </is>
      </c>
      <c r="B217" s="5" t="inlineStr">
        <is>
          <t>COLONIA MEDICA</t>
        </is>
      </c>
      <c r="C217" s="4" t="inlineStr">
        <is>
          <t>179</t>
        </is>
      </c>
      <c r="D217" s="25" t="n">
        <v>46309.36197916666</v>
      </c>
      <c r="E217" s="25" t="n">
        <v>46309.36565972222</v>
      </c>
      <c r="F217" s="7">
        <f>(E217-D217)*1440</f>
        <v>5.3</v>
      </c>
      <c r="G217" s="6" t="n">
        <v>100</v>
      </c>
      <c r="H217" s="6" t="inlineStr">
        <is>
          <t>anonymous</t>
        </is>
      </c>
      <c r="I217" t="str">
        <f>IF(C217="","",C217&amp;"|"&amp;G217)</f>
        <v>179|100</v>
      </c>
    </row>
    <row r="218">
      <c r="A218" s="5" t="inlineStr">
        <is>
          <t>ANGELA GABRIELA REYES MOLINA</t>
        </is>
      </c>
      <c r="B218" s="5" t="inlineStr">
        <is>
          <t>Gerencia de Negocios</t>
        </is>
      </c>
      <c r="C218" s="4" t="inlineStr">
        <is>
          <t>956</t>
        </is>
      </c>
      <c r="D218" s="25" t="n">
        <v>46309.35945601852</v>
      </c>
      <c r="E218" s="25" t="n">
        <v>46309.36673611111</v>
      </c>
      <c r="F218" s="7">
        <f>(E218-D218)*1440</f>
        <v>10.4833333333333</v>
      </c>
      <c r="G218" s="6" t="n">
        <v>100</v>
      </c>
      <c r="H218" s="6" t="inlineStr">
        <is>
          <t>anonymous</t>
        </is>
      </c>
      <c r="I218" t="str">
        <f>IF(C218="","",C218&amp;"|"&amp;G218)</f>
        <v>956|100</v>
      </c>
    </row>
    <row r="219">
      <c r="A219" s="5" t="inlineStr">
        <is>
          <t>Eduardo Jose Gamez Villatoro</t>
        </is>
      </c>
      <c r="B219" s="5" t="inlineStr">
        <is>
          <t>Agencia Uslutan</t>
        </is>
      </c>
      <c r="C219" s="4" t="inlineStr">
        <is>
          <t>970</t>
        </is>
      </c>
      <c r="D219" s="25" t="n">
        <v>46309.37417824074</v>
      </c>
      <c r="E219" s="25" t="n">
        <v>46309.37625</v>
      </c>
      <c r="F219" s="7">
        <f>(E219-D219)*1440</f>
        <v>2.98333333333333</v>
      </c>
      <c r="G219" s="6" t="n">
        <v>100</v>
      </c>
      <c r="H219" s="6" t="inlineStr">
        <is>
          <t>anonymous</t>
        </is>
      </c>
      <c r="I219" t="str">
        <f>IF(C219="","",C219&amp;"|"&amp;G219)</f>
        <v>970|100</v>
      </c>
    </row>
    <row r="220">
      <c r="A220" s="5" t="inlineStr">
        <is>
          <t>SAMUEL ALBERTO SALGUERO RODRIGUEZ</t>
        </is>
      </c>
      <c r="B220" s="5" t="inlineStr">
        <is>
          <t>SUBGERENCIA DE CANALES</t>
        </is>
      </c>
      <c r="C220" s="4" t="inlineStr">
        <is>
          <t>968</t>
        </is>
      </c>
      <c r="D220" s="25" t="n">
        <v>46309.37976851852</v>
      </c>
      <c r="E220" s="25" t="n">
        <v>46309.38234953704</v>
      </c>
      <c r="F220" s="7">
        <f>(E220-D220)*1440</f>
        <v>3.71666666666667</v>
      </c>
      <c r="G220" s="6" t="n">
        <v>90</v>
      </c>
      <c r="H220" s="6" t="inlineStr">
        <is>
          <t>anonymous</t>
        </is>
      </c>
      <c r="I220" t="str">
        <f>IF(C220="","",C220&amp;"|"&amp;G220)</f>
        <v>968|90</v>
      </c>
    </row>
    <row r="221">
      <c r="A221" s="5" t="inlineStr">
        <is>
          <t>MELVIN ELISEO HERNANDEZ MACHADO</t>
        </is>
      </c>
      <c r="B221" s="5" t="inlineStr">
        <is>
          <t>USULUTAN</t>
        </is>
      </c>
      <c r="C221" s="4" t="inlineStr">
        <is>
          <t>951</t>
        </is>
      </c>
      <c r="D221" s="25" t="n">
        <v>46309.37678240741</v>
      </c>
      <c r="E221" s="25" t="n">
        <v>46309.3825462963</v>
      </c>
      <c r="F221" s="7">
        <f>(E221-D221)*1440</f>
        <v>8.3</v>
      </c>
      <c r="G221" s="6" t="n">
        <v>100</v>
      </c>
      <c r="H221" s="6" t="inlineStr">
        <is>
          <t>anonymous</t>
        </is>
      </c>
      <c r="I221" t="str">
        <f>IF(C221="","",C221&amp;"|"&amp;G221)</f>
        <v>951|100</v>
      </c>
    </row>
    <row r="222">
      <c r="A222" s="5" t="inlineStr">
        <is>
          <t>Jordan Alexander Flores Herrera</t>
        </is>
      </c>
      <c r="B222" s="5" t="inlineStr">
        <is>
          <t>Contabilidad</t>
        </is>
      </c>
      <c r="C222" s="4" t="inlineStr">
        <is>
          <t>916</t>
        </is>
      </c>
      <c r="D222" s="25" t="n">
        <v>46309.381875</v>
      </c>
      <c r="E222" s="25" t="n">
        <v>46309.38695601852</v>
      </c>
      <c r="F222" s="7">
        <f>(E222-D222)*1440</f>
        <v>7.31666666666667</v>
      </c>
      <c r="G222" s="6" t="n">
        <v>100</v>
      </c>
      <c r="H222" s="6" t="inlineStr">
        <is>
          <t>anonymous</t>
        </is>
      </c>
      <c r="I222" t="str">
        <f>IF(C222="","",C222&amp;"|"&amp;G222)</f>
        <v>916|100</v>
      </c>
    </row>
    <row r="223">
      <c r="A223" s="5" t="inlineStr">
        <is>
          <t>Thelma Judith Quintanilla</t>
        </is>
      </c>
      <c r="B223" s="5" t="inlineStr">
        <is>
          <t>Contabilidad</t>
        </is>
      </c>
      <c r="C223" s="4" t="inlineStr">
        <is>
          <t>374</t>
        </is>
      </c>
      <c r="D223" s="25" t="n">
        <v>46309.37858796296</v>
      </c>
      <c r="E223" s="25" t="n">
        <v>46309.3869675926</v>
      </c>
      <c r="F223" s="7">
        <f>(E223-D223)*1440</f>
        <v>12.0666666899333</v>
      </c>
      <c r="G223" s="6" t="n">
        <v>85</v>
      </c>
      <c r="H223" s="6" t="inlineStr">
        <is>
          <t>anonymous</t>
        </is>
      </c>
      <c r="I223" t="str">
        <f>IF(C223="","",C223&amp;"|"&amp;G223)</f>
        <v>374|85</v>
      </c>
    </row>
    <row r="224">
      <c r="A224" s="5" t="inlineStr">
        <is>
          <t>HENRY OSWALDO PINEDA GARCÍA</t>
        </is>
      </c>
      <c r="B224" s="5" t="inlineStr">
        <is>
          <t>SEGUROS</t>
        </is>
      </c>
      <c r="C224" s="4" t="inlineStr">
        <is>
          <t>894</t>
        </is>
      </c>
      <c r="D224" s="25" t="n">
        <v>46309.38635416667</v>
      </c>
      <c r="E224" s="25" t="n">
        <v>46309.38825231481</v>
      </c>
      <c r="F224" s="7">
        <f>(E224-D224)*1440</f>
        <v>2.73333333333333</v>
      </c>
      <c r="G224" s="6" t="n">
        <v>100</v>
      </c>
      <c r="H224" s="6" t="inlineStr">
        <is>
          <t>anonymous</t>
        </is>
      </c>
      <c r="I224" t="str">
        <f>IF(C224="","",C224&amp;"|"&amp;G224)</f>
        <v>894|100</v>
      </c>
    </row>
    <row r="225">
      <c r="A225" s="5" t="inlineStr">
        <is>
          <t>JUAN PABLO HENRIQUEZ RTAMIREZ</t>
        </is>
      </c>
      <c r="B225" s="5" t="inlineStr">
        <is>
          <t>SOLUCIONES FINANCIERAS</t>
        </is>
      </c>
      <c r="C225" s="4" t="inlineStr">
        <is>
          <t>573</t>
        </is>
      </c>
      <c r="D225" s="25" t="n">
        <v>46309.38109953704</v>
      </c>
      <c r="E225" s="25" t="n">
        <v>46309.38841435185</v>
      </c>
      <c r="F225" s="7">
        <f>(E225-D225)*1440</f>
        <v>10.5333333333333</v>
      </c>
      <c r="G225" s="6" t="n">
        <v>90</v>
      </c>
      <c r="H225" s="6" t="inlineStr">
        <is>
          <t>anonymous</t>
        </is>
      </c>
      <c r="I225" t="str">
        <f>IF(C225="","",C225&amp;"|"&amp;G225)</f>
        <v>573|90</v>
      </c>
    </row>
    <row r="226">
      <c r="A226" s="5" t="inlineStr">
        <is>
          <t>Nancy Carolina Fuentes Sorto</t>
        </is>
      </c>
      <c r="B226" s="5" t="inlineStr">
        <is>
          <t>Agencia Plaza Mundo</t>
        </is>
      </c>
      <c r="C226" s="4" t="inlineStr">
        <is>
          <t>675</t>
        </is>
      </c>
      <c r="D226" s="25" t="n">
        <v>46309.3912037037</v>
      </c>
      <c r="E226" s="25" t="n">
        <v>46309.3943287037</v>
      </c>
      <c r="F226" s="7">
        <f>(E226-D226)*1440</f>
        <v>4.5</v>
      </c>
      <c r="G226" s="6" t="n">
        <v>90</v>
      </c>
      <c r="H226" s="6" t="inlineStr">
        <is>
          <t>anonymous</t>
        </is>
      </c>
      <c r="I226" t="str">
        <f>IF(C226="","",C226&amp;"|"&amp;G226)</f>
        <v>675|90</v>
      </c>
    </row>
    <row r="227">
      <c r="A227" s="5" t="inlineStr">
        <is>
          <t>ANA ESTER ERAZO DE ORTIZ</t>
        </is>
      </c>
      <c r="B227" s="5" t="inlineStr">
        <is>
          <t>CREDITOS</t>
        </is>
      </c>
      <c r="C227" s="4" t="inlineStr">
        <is>
          <t>207</t>
        </is>
      </c>
      <c r="D227" s="25" t="n">
        <v>46309.3940162037</v>
      </c>
      <c r="E227" s="25" t="n">
        <v>46309.40052083333</v>
      </c>
      <c r="F227" s="7">
        <f>(E227-D227)*1440</f>
        <v>9.36666666666667</v>
      </c>
      <c r="G227" s="6" t="n">
        <v>100</v>
      </c>
      <c r="H227" s="6" t="inlineStr">
        <is>
          <t>anonymous</t>
        </is>
      </c>
      <c r="I227" t="str">
        <f>IF(C227="","",C227&amp;"|"&amp;G227)</f>
        <v>207|100</v>
      </c>
    </row>
    <row r="228">
      <c r="A228" s="5" t="inlineStr">
        <is>
          <t>Walter Alberto barahona díaz</t>
        </is>
      </c>
      <c r="B228" s="5" t="inlineStr">
        <is>
          <t>Plaza mundo</t>
        </is>
      </c>
      <c r="C228" s="4" t="inlineStr">
        <is>
          <t>748</t>
        </is>
      </c>
      <c r="D228" s="25" t="n">
        <v>46309.39879629629</v>
      </c>
      <c r="E228" s="25" t="n">
        <v>46309.40075231482</v>
      </c>
      <c r="F228" s="7">
        <f>(E228-D228)*1440</f>
        <v>2.81666666666667</v>
      </c>
      <c r="G228" s="6" t="n">
        <v>100</v>
      </c>
      <c r="H228" s="6" t="inlineStr">
        <is>
          <t>anonymous</t>
        </is>
      </c>
      <c r="I228" t="str">
        <f>IF(C228="","",C228&amp;"|"&amp;G228)</f>
        <v>748|100</v>
      </c>
    </row>
    <row r="229">
      <c r="A229" s="5" t="inlineStr">
        <is>
          <t>Erika iveth mancia hermandad</t>
        </is>
      </c>
      <c r="B229" s="5" t="inlineStr">
        <is>
          <t>Plaza mundo</t>
        </is>
      </c>
      <c r="C229" s="4" t="inlineStr">
        <is>
          <t>955</t>
        </is>
      </c>
      <c r="D229" s="25" t="n">
        <v>46309.40180555556</v>
      </c>
      <c r="E229" s="25" t="n">
        <v>46309.40469907408</v>
      </c>
      <c r="F229" s="7">
        <f>(E229-D229)*1440</f>
        <v>4.16666666666667</v>
      </c>
      <c r="G229" s="6" t="n">
        <v>100</v>
      </c>
      <c r="H229" s="6" t="inlineStr">
        <is>
          <t>anonymous</t>
        </is>
      </c>
      <c r="I229" t="str">
        <f>IF(C229="","",C229&amp;"|"&amp;G229)</f>
        <v>955|100</v>
      </c>
    </row>
    <row r="230">
      <c r="A230" s="5" t="inlineStr">
        <is>
          <t>Paola jeannette romero</t>
        </is>
      </c>
      <c r="B230" s="5" t="inlineStr">
        <is>
          <t>Plaza mundo</t>
        </is>
      </c>
      <c r="C230" s="4" t="inlineStr">
        <is>
          <t>876</t>
        </is>
      </c>
      <c r="D230" s="25" t="n">
        <v>46309.39832175926</v>
      </c>
      <c r="E230" s="25" t="n">
        <v>46309.40822916666</v>
      </c>
      <c r="F230" s="7">
        <f>(E230-D230)*1440</f>
        <v>14.2666666489</v>
      </c>
      <c r="G230" s="6" t="n">
        <v>100</v>
      </c>
      <c r="H230" s="6" t="inlineStr">
        <is>
          <t>anonymous</t>
        </is>
      </c>
      <c r="I230" t="str">
        <f>IF(C230="","",C230&amp;"|"&amp;G230)</f>
        <v>876|100</v>
      </c>
    </row>
    <row r="231">
      <c r="A231" s="5" t="inlineStr">
        <is>
          <t>Fabiola Elizabeth Ticas Gómez</t>
        </is>
      </c>
      <c r="B231" s="5" t="inlineStr">
        <is>
          <t>Atención al asociado y cliente</t>
        </is>
      </c>
      <c r="C231" s="4" t="inlineStr">
        <is>
          <t>945</t>
        </is>
      </c>
      <c r="D231" s="25" t="n">
        <v>46309.40732638889</v>
      </c>
      <c r="E231" s="25" t="n">
        <v>46309.40916666666</v>
      </c>
      <c r="F231" s="7">
        <f>(E231-D231)*1440</f>
        <v>2.64999998033333</v>
      </c>
      <c r="G231" s="6" t="n">
        <v>100</v>
      </c>
      <c r="H231" s="6" t="inlineStr">
        <is>
          <t>anonymous</t>
        </is>
      </c>
      <c r="I231" t="str">
        <f>IF(C231="","",C231&amp;"|"&amp;G231)</f>
        <v>945|100</v>
      </c>
    </row>
    <row r="232">
      <c r="A232" s="5" t="inlineStr">
        <is>
          <t>LUIS MANUEL VALENCIA GUERRERO</t>
        </is>
      </c>
      <c r="B232" s="5" t="inlineStr">
        <is>
          <t>AGENCIA USULUTAN</t>
        </is>
      </c>
      <c r="C232" s="4" t="inlineStr">
        <is>
          <t>917</t>
        </is>
      </c>
      <c r="D232" s="25" t="n">
        <v>46309.36599537037</v>
      </c>
      <c r="E232" s="25" t="n">
        <v>46309.4197337963</v>
      </c>
      <c r="F232" s="7">
        <f>(E232-D232)*1440</f>
        <v>77.3833333333333</v>
      </c>
      <c r="G232" s="6" t="n">
        <v>100</v>
      </c>
      <c r="H232" s="6" t="inlineStr">
        <is>
          <t>anonymous</t>
        </is>
      </c>
      <c r="I232" t="str">
        <f>IF(C232="","",C232&amp;"|"&amp;G232)</f>
        <v>917|100</v>
      </c>
    </row>
    <row r="233">
      <c r="A233" s="5" t="inlineStr">
        <is>
          <t>Claudia Marisol Madrid de Barrientos</t>
        </is>
      </c>
      <c r="B233" s="5" t="inlineStr">
        <is>
          <t>SEGUROS</t>
        </is>
      </c>
      <c r="C233" s="4" t="inlineStr">
        <is>
          <t>544</t>
        </is>
      </c>
      <c r="D233" s="25" t="n">
        <v>46309.42065972222</v>
      </c>
      <c r="E233" s="25" t="n">
        <v>46309.43305555556</v>
      </c>
      <c r="F233" s="7">
        <f>(E233-D233)*1440</f>
        <v>17.85</v>
      </c>
      <c r="G233" s="6" t="n">
        <v>90</v>
      </c>
      <c r="H233" s="6" t="inlineStr">
        <is>
          <t>anonymous</t>
        </is>
      </c>
      <c r="I233" t="str">
        <f>IF(C233="","",C233&amp;"|"&amp;G233)</f>
        <v>544|90</v>
      </c>
    </row>
    <row r="234">
      <c r="A234" s="5" t="inlineStr">
        <is>
          <t>JEANNETTE ANGELINNE HERNANDEZ MEJIA</t>
        </is>
      </c>
      <c r="B234" s="5" t="inlineStr">
        <is>
          <t>AGENCIA SANTA ANA</t>
        </is>
      </c>
      <c r="C234" s="4" t="inlineStr">
        <is>
          <t>312</t>
        </is>
      </c>
      <c r="D234" s="25" t="n">
        <v>46309.44709490741</v>
      </c>
      <c r="E234" s="25" t="n">
        <v>46309.46179398148</v>
      </c>
      <c r="F234" s="7">
        <f>(E234-D234)*1440</f>
        <v>21.1666666666667</v>
      </c>
      <c r="G234" s="6" t="n">
        <v>100</v>
      </c>
      <c r="H234" s="6" t="inlineStr">
        <is>
          <t>anonymous</t>
        </is>
      </c>
      <c r="I234" t="str">
        <f>IF(C234="","",C234&amp;"|"&amp;G234)</f>
        <v>312|100</v>
      </c>
    </row>
    <row r="235">
      <c r="A235" s="5" t="inlineStr">
        <is>
          <t>JENNYFER AYLIN ESCOBAR ZAMORA</t>
        </is>
      </c>
      <c r="B235" s="5" t="inlineStr">
        <is>
          <t>DEPARTAMENTO DE SEGUROS</t>
        </is>
      </c>
      <c r="C235" s="4" t="inlineStr">
        <is>
          <t>792</t>
        </is>
      </c>
      <c r="D235" s="25" t="n">
        <v>46309.47331018518</v>
      </c>
      <c r="E235" s="25" t="n">
        <v>46309.485625</v>
      </c>
      <c r="F235" s="7">
        <f>(E235-D235)*1440</f>
        <v>17.7333333333333</v>
      </c>
      <c r="G235" s="6" t="n">
        <v>100</v>
      </c>
      <c r="H235" s="6" t="inlineStr">
        <is>
          <t>anonymous</t>
        </is>
      </c>
      <c r="I235" t="str">
        <f>IF(C235="","",C235&amp;"|"&amp;G235)</f>
        <v>792|100</v>
      </c>
    </row>
    <row r="236">
      <c r="A236" s="5" t="inlineStr">
        <is>
          <t>JUANA HAZEL GARCIA</t>
        </is>
      </c>
      <c r="B236" s="5" t="inlineStr">
        <is>
          <t>DEPARTAMENTO DE SEGURO</t>
        </is>
      </c>
      <c r="C236" s="4" t="inlineStr">
        <is>
          <t>805</t>
        </is>
      </c>
      <c r="D236" s="25" t="n">
        <v>46309.47760416667</v>
      </c>
      <c r="E236" s="25" t="n">
        <v>46309.48584490741</v>
      </c>
      <c r="F236" s="7">
        <f>(E236-D236)*1440</f>
        <v>11.8666666666667</v>
      </c>
      <c r="G236" s="6" t="n">
        <v>100</v>
      </c>
      <c r="H236" s="6" t="inlineStr">
        <is>
          <t>anonymous</t>
        </is>
      </c>
      <c r="I236" t="str">
        <f>IF(C236="","",C236&amp;"|"&amp;G236)</f>
        <v>805|100</v>
      </c>
    </row>
    <row r="237">
      <c r="A237" s="5" t="inlineStr">
        <is>
          <t>ANDREA YAMILETH ESCOBAR CHICA</t>
        </is>
      </c>
      <c r="B237" s="5" t="inlineStr">
        <is>
          <t>SANTA ANA</t>
        </is>
      </c>
      <c r="C237" s="4" t="inlineStr">
        <is>
          <t>818</t>
        </is>
      </c>
      <c r="D237" s="25" t="n">
        <v>46309.62401620371</v>
      </c>
      <c r="E237" s="25" t="n">
        <v>46309.62991898148</v>
      </c>
      <c r="F237" s="7">
        <f>(E237-D237)*1440</f>
        <v>8.5</v>
      </c>
      <c r="G237" s="6" t="n">
        <v>90</v>
      </c>
      <c r="H237" s="6" t="inlineStr">
        <is>
          <t>anonymous</t>
        </is>
      </c>
      <c r="I237" t="str">
        <f>IF(C237="","",C237&amp;"|"&amp;G237)</f>
        <v>818|90</v>
      </c>
    </row>
    <row r="238">
      <c r="A238" s="5" t="inlineStr">
        <is>
          <t>LISSETTE MARICELA SANCHEZ MOLINA</t>
        </is>
      </c>
      <c r="B238" s="5" t="inlineStr">
        <is>
          <t>DEPTO. DE SEGUROS</t>
        </is>
      </c>
      <c r="C238" s="4" t="inlineStr">
        <is>
          <t>643</t>
        </is>
      </c>
      <c r="D238" s="25" t="n">
        <v>46309.63423611111</v>
      </c>
      <c r="E238" s="25" t="n">
        <v>46309.63932870371</v>
      </c>
      <c r="F238" s="7">
        <f>(E238-D238)*1440</f>
        <v>7.33333335025</v>
      </c>
      <c r="G238" s="6" t="n">
        <v>100</v>
      </c>
      <c r="H238" s="6" t="inlineStr">
        <is>
          <t>anonymous</t>
        </is>
      </c>
      <c r="I238" t="str">
        <f>IF(C238="","",C238&amp;"|"&amp;G238)</f>
        <v>643|100</v>
      </c>
    </row>
    <row r="239">
      <c r="A239" s="5" t="inlineStr">
        <is>
          <t>LUIS GERARDO DUEÑAS VALLE</t>
        </is>
      </c>
      <c r="B239" s="5" t="inlineStr">
        <is>
          <t>SANTA ANA</t>
        </is>
      </c>
      <c r="C239" s="4" t="inlineStr">
        <is>
          <t>954</t>
        </is>
      </c>
      <c r="D239" s="25" t="n">
        <v>46309.6360300926</v>
      </c>
      <c r="E239" s="25" t="n">
        <v>46309.63957175926</v>
      </c>
      <c r="F239" s="7">
        <f>(E239-D239)*1440</f>
        <v>5.1</v>
      </c>
      <c r="G239" s="6" t="n">
        <v>90</v>
      </c>
      <c r="H239" s="6" t="inlineStr">
        <is>
          <t>anonymous</t>
        </is>
      </c>
      <c r="I239" t="str">
        <f>IF(C239="","",C239&amp;"|"&amp;G239)</f>
        <v>954|90</v>
      </c>
    </row>
    <row r="240">
      <c r="A240" s="5" t="inlineStr">
        <is>
          <t>Ana Beatriz Quinteros Avelar</t>
        </is>
      </c>
      <c r="B240" s="5" t="inlineStr">
        <is>
          <t>Departamento de Tarjeta de Credito y Debito</t>
        </is>
      </c>
      <c r="C240" s="4" t="inlineStr">
        <is>
          <t>725</t>
        </is>
      </c>
      <c r="D240" s="25" t="n">
        <v>46309.64625</v>
      </c>
      <c r="E240" s="25" t="n">
        <v>46309.65164351852</v>
      </c>
      <c r="F240" s="7">
        <f>(E240-D240)*1440</f>
        <v>7.76666666666667</v>
      </c>
      <c r="G240" s="6" t="n">
        <v>100</v>
      </c>
      <c r="H240" s="6" t="inlineStr">
        <is>
          <t>anonymous</t>
        </is>
      </c>
      <c r="I240" t="str">
        <f>IF(C240="","",C240&amp;"|"&amp;G240)</f>
        <v>725|100</v>
      </c>
    </row>
    <row r="241">
      <c r="I241" t="str">
        <f>IF(C241="","",C241&amp;"|"&amp;G241)</f>
        <v/>
      </c>
    </row>
    <row r="242">
      <c r="I242" t="str">
        <f>IF(C242="","",C242&amp;"|"&amp;G242)</f>
        <v/>
      </c>
    </row>
    <row r="243">
      <c r="I243" t="str">
        <f>IF(C243="","",C243&amp;"|"&amp;G243)</f>
        <v/>
      </c>
    </row>
    <row r="244">
      <c r="I244" t="str">
        <f>IF(C244="","",C244&amp;"|"&amp;G244)</f>
        <v/>
      </c>
    </row>
    <row r="245">
      <c r="I245" t="str">
        <f>IF(C245="","",C245&amp;"|"&amp;G245)</f>
        <v/>
      </c>
    </row>
    <row r="246">
      <c r="I246" t="str">
        <f>IF(C246="","",C246&amp;"|"&amp;G246)</f>
        <v/>
      </c>
    </row>
    <row r="247">
      <c r="I247" t="str">
        <f>IF(C247="","",C247&amp;"|"&amp;G247)</f>
        <v/>
      </c>
    </row>
    <row r="248">
      <c r="I248" t="str">
        <f>IF(C248="","",C248&amp;"|"&amp;G248)</f>
        <v/>
      </c>
    </row>
    <row r="249">
      <c r="I249" t="str">
        <f>IF(C249="","",C249&amp;"|"&amp;G249)</f>
        <v/>
      </c>
    </row>
    <row r="250">
      <c r="I250" t="str">
        <f>IF(C250="","",C250&amp;"|"&amp;G250)</f>
        <v/>
      </c>
    </row>
    <row r="251">
      <c r="I251" t="str">
        <f>IF(C251="","",C251&amp;"|"&amp;G251)</f>
        <v/>
      </c>
    </row>
    <row r="252">
      <c r="I252" t="str">
        <f>IF(C252="","",C252&amp;"|"&amp;G252)</f>
        <v/>
      </c>
    </row>
    <row r="253">
      <c r="I253" t="str">
        <f>IF(C253="","",C253&amp;"|"&amp;G253)</f>
        <v/>
      </c>
    </row>
    <row r="254">
      <c r="I254" t="str">
        <f>IF(C254="","",C254&amp;"|"&amp;G254)</f>
        <v/>
      </c>
    </row>
    <row r="255">
      <c r="I255" t="str">
        <f>IF(C255="","",C255&amp;"|"&amp;G255)</f>
        <v/>
      </c>
    </row>
    <row r="256">
      <c r="I256" t="str">
        <f>IF(C256="","",C256&amp;"|"&amp;G256)</f>
        <v/>
      </c>
    </row>
    <row r="257">
      <c r="I257" t="str">
        <f>IF(C257="","",C257&amp;"|"&amp;G257)</f>
        <v/>
      </c>
    </row>
    <row r="258">
      <c r="I258" t="str">
        <f>IF(C258="","",C258&amp;"|"&amp;G258)</f>
        <v/>
      </c>
    </row>
    <row r="259">
      <c r="I259" t="str">
        <f>IF(C259="","",C259&amp;"|"&amp;G259)</f>
        <v/>
      </c>
    </row>
    <row r="260">
      <c r="I260" t="str">
        <f>IF(C260="","",C260&amp;"|"&amp;G260)</f>
        <v/>
      </c>
    </row>
    <row r="261">
      <c r="I261" t="str">
        <f>IF(C261="","",C261&amp;"|"&amp;G261)</f>
        <v/>
      </c>
    </row>
    <row r="262">
      <c r="I262" t="str">
        <f>IF(C262="","",C262&amp;"|"&amp;G262)</f>
        <v/>
      </c>
    </row>
    <row r="263">
      <c r="I263" t="str">
        <f>IF(C263="","",C263&amp;"|"&amp;G263)</f>
        <v/>
      </c>
    </row>
    <row r="264">
      <c r="I264" t="str">
        <f>IF(C264="","",C264&amp;"|"&amp;G264)</f>
        <v/>
      </c>
    </row>
    <row r="265">
      <c r="I265" t="str">
        <f>IF(C265="","",C265&amp;"|"&amp;G265)</f>
        <v/>
      </c>
    </row>
    <row r="266">
      <c r="I266" t="str">
        <f>IF(C266="","",C266&amp;"|"&amp;G266)</f>
        <v/>
      </c>
    </row>
    <row r="267">
      <c r="I267" t="str">
        <f>IF(C267="","",C267&amp;"|"&amp;G267)</f>
        <v/>
      </c>
    </row>
    <row r="268">
      <c r="I268" t="str">
        <f>IF(C268="","",C268&amp;"|"&amp;G268)</f>
        <v/>
      </c>
    </row>
    <row r="269">
      <c r="I269" t="str">
        <f>IF(C269="","",C269&amp;"|"&amp;G269)</f>
        <v/>
      </c>
    </row>
    <row r="270">
      <c r="I270" t="str">
        <f>IF(C270="","",C270&amp;"|"&amp;G270)</f>
        <v/>
      </c>
    </row>
    <row r="271">
      <c r="I271" t="str">
        <f>IF(C271="","",C271&amp;"|"&amp;G271)</f>
        <v/>
      </c>
    </row>
    <row r="272">
      <c r="I272" t="str">
        <f>IF(C272="","",C272&amp;"|"&amp;G272)</f>
        <v/>
      </c>
    </row>
    <row r="273">
      <c r="I273" t="str">
        <f>IF(C273="","",C273&amp;"|"&amp;G273)</f>
        <v/>
      </c>
    </row>
    <row r="274">
      <c r="I274" t="str">
        <f>IF(C274="","",C274&amp;"|"&amp;G274)</f>
        <v/>
      </c>
    </row>
    <row r="275">
      <c r="I275" t="str">
        <f>IF(C275="","",C275&amp;"|"&amp;G275)</f>
        <v/>
      </c>
    </row>
    <row r="276">
      <c r="I276" t="str">
        <f>IF(C276="","",C276&amp;"|"&amp;G276)</f>
        <v/>
      </c>
    </row>
    <row r="277">
      <c r="I277" t="str">
        <f>IF(C277="","",C277&amp;"|"&amp;G277)</f>
        <v/>
      </c>
    </row>
    <row r="278">
      <c r="I278" t="str">
        <f>IF(C278="","",C278&amp;"|"&amp;G278)</f>
        <v/>
      </c>
    </row>
    <row r="279">
      <c r="I279" t="str">
        <f>IF(C279="","",C279&amp;"|"&amp;G279)</f>
        <v/>
      </c>
    </row>
    <row r="280">
      <c r="I280" t="str">
        <f>IF(C280="","",C280&amp;"|"&amp;G280)</f>
        <v/>
      </c>
    </row>
    <row r="281">
      <c r="I281" t="str">
        <f>IF(C281="","",C281&amp;"|"&amp;G281)</f>
        <v/>
      </c>
    </row>
    <row r="282">
      <c r="I282" t="str">
        <f>IF(C282="","",C282&amp;"|"&amp;G282)</f>
        <v/>
      </c>
    </row>
    <row r="283">
      <c r="I283" t="str">
        <f>IF(C283="","",C283&amp;"|"&amp;G283)</f>
        <v/>
      </c>
    </row>
    <row r="284">
      <c r="I284" t="str">
        <f>IF(C284="","",C284&amp;"|"&amp;G284)</f>
        <v/>
      </c>
    </row>
    <row r="285">
      <c r="I285" t="str">
        <f>IF(C285="","",C285&amp;"|"&amp;G285)</f>
        <v/>
      </c>
    </row>
    <row r="286">
      <c r="I286" t="str">
        <f>IF(C286="","",C286&amp;"|"&amp;G286)</f>
        <v/>
      </c>
    </row>
    <row r="287">
      <c r="I287" t="str">
        <f>IF(C287="","",C287&amp;"|"&amp;G287)</f>
        <v/>
      </c>
    </row>
    <row r="288">
      <c r="I288" t="str">
        <f>IF(C288="","",C288&amp;"|"&amp;G288)</f>
        <v/>
      </c>
    </row>
    <row r="289">
      <c r="I289" t="str">
        <f>IF(C289="","",C289&amp;"|"&amp;G289)</f>
        <v/>
      </c>
    </row>
    <row r="290">
      <c r="I290" t="str">
        <f>IF(C290="","",C290&amp;"|"&amp;G290)</f>
        <v/>
      </c>
    </row>
    <row r="291">
      <c r="I291" t="str">
        <f>IF(C291="","",C291&amp;"|"&amp;G291)</f>
        <v/>
      </c>
    </row>
    <row r="292">
      <c r="I292" t="str">
        <f>IF(C292="","",C292&amp;"|"&amp;G292)</f>
        <v/>
      </c>
    </row>
    <row r="293">
      <c r="I293" t="str">
        <f>IF(C293="","",C293&amp;"|"&amp;G293)</f>
        <v/>
      </c>
    </row>
    <row r="294">
      <c r="I294" t="str">
        <f>IF(C294="","",C294&amp;"|"&amp;G294)</f>
        <v/>
      </c>
    </row>
    <row r="295">
      <c r="I295" t="str">
        <f>IF(C295="","",C295&amp;"|"&amp;G295)</f>
        <v/>
      </c>
    </row>
    <row r="296">
      <c r="I296" t="str">
        <f>IF(C296="","",C296&amp;"|"&amp;G296)</f>
        <v/>
      </c>
    </row>
    <row r="297">
      <c r="I297" t="str">
        <f>IF(C297="","",C297&amp;"|"&amp;G297)</f>
        <v/>
      </c>
    </row>
    <row r="298">
      <c r="I298" t="str">
        <f>IF(C298="","",C298&amp;"|"&amp;G298)</f>
        <v/>
      </c>
    </row>
    <row r="299">
      <c r="I299" t="str">
        <f>IF(C299="","",C299&amp;"|"&amp;G299)</f>
        <v/>
      </c>
    </row>
    <row r="300">
      <c r="I300" t="str">
        <f>IF(C300="","",C300&amp;"|"&amp;G300)</f>
        <v/>
      </c>
    </row>
    <row r="301">
      <c r="I301" t="str">
        <f>IF(C301="","",C301&amp;"|"&amp;G301)</f>
        <v/>
      </c>
    </row>
    <row r="302">
      <c r="I302" t="str">
        <f>IF(C302="","",C302&amp;"|"&amp;G302)</f>
        <v/>
      </c>
    </row>
    <row r="303">
      <c r="I303" t="str">
        <f>IF(C303="","",C303&amp;"|"&amp;G303)</f>
        <v/>
      </c>
    </row>
    <row r="304">
      <c r="I304" t="str">
        <f>IF(C304="","",C304&amp;"|"&amp;G304)</f>
        <v/>
      </c>
    </row>
    <row r="305">
      <c r="I305" t="str">
        <f>IF(C305="","",C305&amp;"|"&amp;G305)</f>
        <v/>
      </c>
    </row>
    <row r="306">
      <c r="I306" t="str">
        <f>IF(C306="","",C306&amp;"|"&amp;G306)</f>
        <v/>
      </c>
    </row>
    <row r="307">
      <c r="I307" t="str">
        <f>IF(C307="","",C307&amp;"|"&amp;G307)</f>
        <v/>
      </c>
    </row>
    <row r="308">
      <c r="I308" t="str">
        <f>IF(C308="","",C308&amp;"|"&amp;G308)</f>
        <v/>
      </c>
    </row>
    <row r="309">
      <c r="I309" t="str">
        <f>IF(C309="","",C309&amp;"|"&amp;G309)</f>
        <v/>
      </c>
    </row>
    <row r="310">
      <c r="I310" t="str">
        <f>IF(C310="","",C310&amp;"|"&amp;G310)</f>
        <v/>
      </c>
    </row>
    <row r="311">
      <c r="I311" t="str">
        <f>IF(C311="","",C311&amp;"|"&amp;G311)</f>
        <v/>
      </c>
    </row>
    <row r="312">
      <c r="I312" t="str">
        <f>IF(C312="","",C312&amp;"|"&amp;G312)</f>
        <v/>
      </c>
    </row>
    <row r="313">
      <c r="I313" t="str">
        <f>IF(C313="","",C313&amp;"|"&amp;G313)</f>
        <v/>
      </c>
    </row>
    <row r="314">
      <c r="I314" t="str">
        <f>IF(C314="","",C314&amp;"|"&amp;G314)</f>
        <v/>
      </c>
    </row>
    <row r="315">
      <c r="I315" t="str">
        <f>IF(C315="","",C315&amp;"|"&amp;G315)</f>
        <v/>
      </c>
    </row>
    <row r="316">
      <c r="I316" t="str">
        <f>IF(C316="","",C316&amp;"|"&amp;G316)</f>
        <v/>
      </c>
    </row>
    <row r="317">
      <c r="I317" t="str">
        <f>IF(C317="","",C317&amp;"|"&amp;G317)</f>
        <v/>
      </c>
    </row>
    <row r="318">
      <c r="I318" t="str">
        <f>IF(C318="","",C318&amp;"|"&amp;G318)</f>
        <v/>
      </c>
    </row>
    <row r="319">
      <c r="I319" t="str">
        <f>IF(C319="","",C319&amp;"|"&amp;G319)</f>
        <v/>
      </c>
    </row>
    <row r="320">
      <c r="I320" t="str">
        <f>IF(C320="","",C320&amp;"|"&amp;G320)</f>
        <v/>
      </c>
    </row>
    <row r="321">
      <c r="I321" t="str">
        <f>IF(C321="","",C321&amp;"|"&amp;G321)</f>
        <v/>
      </c>
    </row>
    <row r="322">
      <c r="I322" t="str">
        <f>IF(C322="","",C322&amp;"|"&amp;G322)</f>
        <v/>
      </c>
    </row>
    <row r="323">
      <c r="I323" t="str">
        <f>IF(C323="","",C323&amp;"|"&amp;G323)</f>
        <v/>
      </c>
    </row>
    <row r="324">
      <c r="I324" t="str">
        <f>IF(C324="","",C324&amp;"|"&amp;G324)</f>
        <v/>
      </c>
    </row>
    <row r="325">
      <c r="I325" t="str">
        <f>IF(C325="","",C325&amp;"|"&amp;G325)</f>
        <v/>
      </c>
    </row>
    <row r="326">
      <c r="I326" t="str">
        <f>IF(C326="","",C326&amp;"|"&amp;G326)</f>
        <v/>
      </c>
    </row>
    <row r="327">
      <c r="I327" t="str">
        <f>IF(C327="","",C327&amp;"|"&amp;G327)</f>
        <v/>
      </c>
    </row>
    <row r="328">
      <c r="I328" t="str">
        <f>IF(C328="","",C328&amp;"|"&amp;G328)</f>
        <v/>
      </c>
    </row>
    <row r="329">
      <c r="I329" t="str">
        <f>IF(C329="","",C329&amp;"|"&amp;G329)</f>
        <v/>
      </c>
    </row>
    <row r="330">
      <c r="I330" t="str">
        <f>IF(C330="","",C330&amp;"|"&amp;G330)</f>
        <v/>
      </c>
    </row>
    <row r="331">
      <c r="I331" t="str">
        <f>IF(C331="","",C331&amp;"|"&amp;G331)</f>
        <v/>
      </c>
    </row>
    <row r="332">
      <c r="I332" t="str">
        <f>IF(C332="","",C332&amp;"|"&amp;G332)</f>
        <v/>
      </c>
    </row>
    <row r="333">
      <c r="I333" t="str">
        <f>IF(C333="","",C333&amp;"|"&amp;G333)</f>
        <v/>
      </c>
    </row>
    <row r="334">
      <c r="I334" t="str">
        <f>IF(C334="","",C334&amp;"|"&amp;G334)</f>
        <v/>
      </c>
    </row>
    <row r="335">
      <c r="I335" t="str">
        <f>IF(C335="","",C335&amp;"|"&amp;G335)</f>
        <v/>
      </c>
    </row>
    <row r="336">
      <c r="I336" t="str">
        <f>IF(C336="","",C336&amp;"|"&amp;G336)</f>
        <v/>
      </c>
    </row>
    <row r="337">
      <c r="I337" t="str">
        <f>IF(C337="","",C337&amp;"|"&amp;G337)</f>
        <v/>
      </c>
    </row>
    <row r="338">
      <c r="I338" t="str">
        <f>IF(C338="","",C338&amp;"|"&amp;G338)</f>
        <v/>
      </c>
    </row>
    <row r="339">
      <c r="I339" t="str">
        <f>IF(C339="","",C339&amp;"|"&amp;G339)</f>
        <v/>
      </c>
    </row>
    <row r="340">
      <c r="I340" t="str">
        <f>IF(C340="","",C340&amp;"|"&amp;G340)</f>
        <v/>
      </c>
    </row>
    <row r="341">
      <c r="I341" t="str">
        <f>IF(C341="","",C341&amp;"|"&amp;G341)</f>
        <v/>
      </c>
    </row>
    <row r="342">
      <c r="I342" t="str">
        <f>IF(C342="","",C342&amp;"|"&amp;G342)</f>
        <v/>
      </c>
    </row>
    <row r="343">
      <c r="I343" t="str">
        <f>IF(C343="","",C343&amp;"|"&amp;G343)</f>
        <v/>
      </c>
    </row>
    <row r="344">
      <c r="I344" t="str">
        <f>IF(C344="","",C344&amp;"|"&amp;G344)</f>
        <v/>
      </c>
    </row>
    <row r="345">
      <c r="I345" t="str">
        <f>IF(C345="","",C345&amp;"|"&amp;G345)</f>
        <v/>
      </c>
    </row>
    <row r="346">
      <c r="I346" t="str">
        <f>IF(C346="","",C346&amp;"|"&amp;G346)</f>
        <v/>
      </c>
    </row>
    <row r="347">
      <c r="I347" t="str">
        <f>IF(C347="","",C347&amp;"|"&amp;G347)</f>
        <v/>
      </c>
    </row>
    <row r="348">
      <c r="I348" t="str">
        <f>IF(C348="","",C348&amp;"|"&amp;G348)</f>
        <v/>
      </c>
    </row>
    <row r="349">
      <c r="I349" t="str">
        <f>IF(C349="","",C349&amp;"|"&amp;G349)</f>
        <v/>
      </c>
    </row>
    <row r="350">
      <c r="I350" t="str">
        <f>IF(C350="","",C350&amp;"|"&amp;G350)</f>
        <v/>
      </c>
    </row>
    <row r="351">
      <c r="I351" t="str">
        <f>IF(C351="","",C351&amp;"|"&amp;G351)</f>
        <v/>
      </c>
    </row>
    <row r="352">
      <c r="I352" t="str">
        <f>IF(C352="","",C352&amp;"|"&amp;G352)</f>
        <v/>
      </c>
    </row>
    <row r="353">
      <c r="I353" t="str">
        <f>IF(C353="","",C353&amp;"|"&amp;G353)</f>
        <v/>
      </c>
    </row>
    <row r="354">
      <c r="I354" t="str">
        <f>IF(C354="","",C354&amp;"|"&amp;G354)</f>
        <v/>
      </c>
    </row>
    <row r="355">
      <c r="I355" t="str">
        <f>IF(C355="","",C355&amp;"|"&amp;G355)</f>
        <v/>
      </c>
    </row>
    <row r="356">
      <c r="I356" t="str">
        <f>IF(C356="","",C356&amp;"|"&amp;G356)</f>
        <v/>
      </c>
    </row>
    <row r="357">
      <c r="I357" t="str">
        <f>IF(C357="","",C357&amp;"|"&amp;G357)</f>
        <v/>
      </c>
    </row>
    <row r="358">
      <c r="I358" t="str">
        <f>IF(C358="","",C358&amp;"|"&amp;G358)</f>
        <v/>
      </c>
    </row>
    <row r="359">
      <c r="I359" t="str">
        <f>IF(C359="","",C359&amp;"|"&amp;G359)</f>
        <v/>
      </c>
    </row>
    <row r="360">
      <c r="I360" t="str">
        <f>IF(C360="","",C360&amp;"|"&amp;G360)</f>
        <v/>
      </c>
    </row>
    <row r="361">
      <c r="I361" t="str">
        <f>IF(C361="","",C361&amp;"|"&amp;G361)</f>
        <v/>
      </c>
    </row>
    <row r="362">
      <c r="I362" t="str">
        <f>IF(C362="","",C362&amp;"|"&amp;G362)</f>
        <v/>
      </c>
    </row>
    <row r="363">
      <c r="I363" t="str">
        <f>IF(C363="","",C363&amp;"|"&amp;G363)</f>
        <v/>
      </c>
    </row>
    <row r="364">
      <c r="I364" t="str">
        <f>IF(C364="","",C364&amp;"|"&amp;G364)</f>
        <v/>
      </c>
    </row>
    <row r="365">
      <c r="I365" t="str">
        <f>IF(C365="","",C365&amp;"|"&amp;G365)</f>
        <v/>
      </c>
    </row>
    <row r="366">
      <c r="I366" t="str">
        <f>IF(C366="","",C366&amp;"|"&amp;G366)</f>
        <v/>
      </c>
    </row>
    <row r="367">
      <c r="I367" t="str">
        <f>IF(C367="","",C367&amp;"|"&amp;G367)</f>
        <v/>
      </c>
    </row>
    <row r="368">
      <c r="I368" t="str">
        <f>IF(C368="","",C368&amp;"|"&amp;G368)</f>
        <v/>
      </c>
    </row>
    <row r="369">
      <c r="I369" t="str">
        <f>IF(C369="","",C369&amp;"|"&amp;G369)</f>
        <v/>
      </c>
    </row>
    <row r="370">
      <c r="I370" t="str">
        <f>IF(C370="","",C370&amp;"|"&amp;G370)</f>
        <v/>
      </c>
    </row>
    <row r="371">
      <c r="I371" t="str">
        <f>IF(C371="","",C371&amp;"|"&amp;G371)</f>
        <v/>
      </c>
    </row>
    <row r="372">
      <c r="I372" t="str">
        <f>IF(C372="","",C372&amp;"|"&amp;G372)</f>
        <v/>
      </c>
    </row>
    <row r="373">
      <c r="I373" t="str">
        <f>IF(C373="","",C373&amp;"|"&amp;G373)</f>
        <v/>
      </c>
    </row>
    <row r="374">
      <c r="I374" t="str">
        <f>IF(C374="","",C374&amp;"|"&amp;G374)</f>
        <v/>
      </c>
    </row>
    <row r="375">
      <c r="I375" t="str">
        <f>IF(C375="","",C375&amp;"|"&amp;G375)</f>
        <v/>
      </c>
    </row>
    <row r="376">
      <c r="I376" t="str">
        <f>IF(C376="","",C376&amp;"|"&amp;G376)</f>
        <v/>
      </c>
    </row>
    <row r="377">
      <c r="I377" t="str">
        <f>IF(C377="","",C377&amp;"|"&amp;G377)</f>
        <v/>
      </c>
    </row>
    <row r="378">
      <c r="I378" t="str">
        <f>IF(C378="","",C378&amp;"|"&amp;G378)</f>
        <v/>
      </c>
    </row>
    <row r="379">
      <c r="I379" t="str">
        <f>IF(C379="","",C379&amp;"|"&amp;G379)</f>
        <v/>
      </c>
    </row>
    <row r="380">
      <c r="I380" t="str">
        <f>IF(C380="","",C380&amp;"|"&amp;G380)</f>
        <v/>
      </c>
    </row>
    <row r="381">
      <c r="I381" t="str">
        <f>IF(C381="","",C381&amp;"|"&amp;G381)</f>
        <v/>
      </c>
    </row>
    <row r="382">
      <c r="I382" t="str">
        <f>IF(C382="","",C382&amp;"|"&amp;G382)</f>
        <v/>
      </c>
    </row>
    <row r="383">
      <c r="I383" t="str">
        <f>IF(C383="","",C383&amp;"|"&amp;G383)</f>
        <v/>
      </c>
    </row>
    <row r="384">
      <c r="I384" t="str">
        <f>IF(C384="","",C384&amp;"|"&amp;G384)</f>
        <v/>
      </c>
    </row>
    <row r="385">
      <c r="I385" t="str">
        <f>IF(C385="","",C385&amp;"|"&amp;G385)</f>
        <v/>
      </c>
    </row>
    <row r="386">
      <c r="I386" t="str">
        <f>IF(C386="","",C386&amp;"|"&amp;G386)</f>
        <v/>
      </c>
    </row>
    <row r="387">
      <c r="I387" t="str">
        <f>IF(C387="","",C387&amp;"|"&amp;G387)</f>
        <v/>
      </c>
    </row>
    <row r="388">
      <c r="I388" t="str">
        <f>IF(C388="","",C388&amp;"|"&amp;G388)</f>
        <v/>
      </c>
    </row>
    <row r="389">
      <c r="I389" t="str">
        <f>IF(C389="","",C389&amp;"|"&amp;G389)</f>
        <v/>
      </c>
    </row>
    <row r="390">
      <c r="I390" t="str">
        <f>IF(C390="","",C390&amp;"|"&amp;G390)</f>
        <v/>
      </c>
    </row>
    <row r="391">
      <c r="I391" t="str">
        <f>IF(C391="","",C391&amp;"|"&amp;G391)</f>
        <v/>
      </c>
    </row>
    <row r="392">
      <c r="I392" t="str">
        <f>IF(C392="","",C392&amp;"|"&amp;G392)</f>
        <v/>
      </c>
    </row>
    <row r="393">
      <c r="I393" t="str">
        <f>IF(C393="","",C393&amp;"|"&amp;G393)</f>
        <v/>
      </c>
    </row>
    <row r="394">
      <c r="I394" t="str">
        <f>IF(C394="","",C394&amp;"|"&amp;G394)</f>
        <v/>
      </c>
    </row>
    <row r="395">
      <c r="I395" t="str">
        <f>IF(C395="","",C395&amp;"|"&amp;G395)</f>
        <v/>
      </c>
    </row>
    <row r="396">
      <c r="I396" t="str">
        <f>IF(C396="","",C396&amp;"|"&amp;G396)</f>
        <v/>
      </c>
    </row>
    <row r="397">
      <c r="I397" t="str">
        <f>IF(C397="","",C397&amp;"|"&amp;G397)</f>
        <v/>
      </c>
    </row>
    <row r="398">
      <c r="I398" t="str">
        <f>IF(C398="","",C398&amp;"|"&amp;G398)</f>
        <v/>
      </c>
    </row>
    <row r="399">
      <c r="I399" t="str">
        <f>IF(C399="","",C399&amp;"|"&amp;G399)</f>
        <v/>
      </c>
    </row>
    <row r="400">
      <c r="I400" t="str">
        <f>IF(C400="","",C400&amp;"|"&amp;G400)</f>
        <v/>
      </c>
    </row>
    <row r="401">
      <c r="I401" t="str">
        <f>IF(C401="","",C401&amp;"|"&amp;G401)</f>
        <v/>
      </c>
    </row>
    <row r="402">
      <c r="I402" t="str">
        <f>IF(C402="","",C402&amp;"|"&amp;G402)</f>
        <v/>
      </c>
    </row>
    <row r="403">
      <c r="I403" t="str">
        <f>IF(C403="","",C403&amp;"|"&amp;G403)</f>
        <v/>
      </c>
    </row>
    <row r="404">
      <c r="I404" t="str">
        <f>IF(C404="","",C404&amp;"|"&amp;G404)</f>
        <v/>
      </c>
    </row>
    <row r="405">
      <c r="I405" t="str">
        <f>IF(C405="","",C405&amp;"|"&amp;G405)</f>
        <v/>
      </c>
    </row>
    <row r="406">
      <c r="I406" t="str">
        <f>IF(C406="","",C406&amp;"|"&amp;G406)</f>
        <v/>
      </c>
    </row>
    <row r="407">
      <c r="I407" t="str">
        <f>IF(C407="","",C407&amp;"|"&amp;G407)</f>
        <v/>
      </c>
    </row>
    <row r="408">
      <c r="I408" t="str">
        <f>IF(C408="","",C408&amp;"|"&amp;G408)</f>
        <v/>
      </c>
    </row>
    <row r="409">
      <c r="I409" t="str">
        <f>IF(C409="","",C409&amp;"|"&amp;G409)</f>
        <v/>
      </c>
    </row>
    <row r="410">
      <c r="I410" t="str">
        <f>IF(C410="","",C410&amp;"|"&amp;G410)</f>
        <v/>
      </c>
    </row>
    <row r="411">
      <c r="I411" t="str">
        <f>IF(C411="","",C411&amp;"|"&amp;G411)</f>
        <v/>
      </c>
    </row>
    <row r="412">
      <c r="I412" t="str">
        <f>IF(C412="","",C412&amp;"|"&amp;G412)</f>
        <v/>
      </c>
    </row>
    <row r="413">
      <c r="I413" t="str">
        <f>IF(C413="","",C413&amp;"|"&amp;G413)</f>
        <v/>
      </c>
    </row>
    <row r="414">
      <c r="I414" t="str">
        <f>IF(C414="","",C414&amp;"|"&amp;G414)</f>
        <v/>
      </c>
    </row>
    <row r="415">
      <c r="I415" t="str">
        <f>IF(C415="","",C415&amp;"|"&amp;G415)</f>
        <v/>
      </c>
    </row>
    <row r="416">
      <c r="I416" t="str">
        <f>IF(C416="","",C416&amp;"|"&amp;G416)</f>
        <v/>
      </c>
    </row>
    <row r="417">
      <c r="I417" t="str">
        <f>IF(C417="","",C417&amp;"|"&amp;G417)</f>
        <v/>
      </c>
    </row>
    <row r="418">
      <c r="I418" t="str">
        <f>IF(C418="","",C418&amp;"|"&amp;G418)</f>
        <v/>
      </c>
    </row>
    <row r="419">
      <c r="I419" t="str">
        <f>IF(C419="","",C419&amp;"|"&amp;G419)</f>
        <v/>
      </c>
    </row>
    <row r="420">
      <c r="I420" t="str">
        <f>IF(C420="","",C420&amp;"|"&amp;G420)</f>
        <v/>
      </c>
    </row>
    <row r="421">
      <c r="I421" t="str">
        <f>IF(C421="","",C421&amp;"|"&amp;G421)</f>
        <v/>
      </c>
    </row>
    <row r="422">
      <c r="I422" t="str">
        <f>IF(C422="","",C422&amp;"|"&amp;G422)</f>
        <v/>
      </c>
    </row>
    <row r="423">
      <c r="I423" t="str">
        <f>IF(C423="","",C423&amp;"|"&amp;G423)</f>
        <v/>
      </c>
    </row>
    <row r="424">
      <c r="I424" t="str">
        <f>IF(C424="","",C424&amp;"|"&amp;G424)</f>
        <v/>
      </c>
    </row>
    <row r="425">
      <c r="I425" t="str">
        <f>IF(C425="","",C425&amp;"|"&amp;G425)</f>
        <v/>
      </c>
    </row>
    <row r="426">
      <c r="I426" t="str">
        <f>IF(C426="","",C426&amp;"|"&amp;G426)</f>
        <v/>
      </c>
    </row>
    <row r="427">
      <c r="I427" t="str">
        <f>IF(C427="","",C427&amp;"|"&amp;G427)</f>
        <v/>
      </c>
    </row>
    <row r="428">
      <c r="I428" t="str">
        <f>IF(C428="","",C428&amp;"|"&amp;G428)</f>
        <v/>
      </c>
    </row>
    <row r="429">
      <c r="I429" t="str">
        <f>IF(C429="","",C429&amp;"|"&amp;G429)</f>
        <v/>
      </c>
    </row>
    <row r="430">
      <c r="I430" t="str">
        <f>IF(C430="","",C430&amp;"|"&amp;G430)</f>
        <v/>
      </c>
    </row>
    <row r="431">
      <c r="I431" t="str">
        <f>IF(C431="","",C431&amp;"|"&amp;G431)</f>
        <v/>
      </c>
    </row>
    <row r="432">
      <c r="I432" t="str">
        <f>IF(C432="","",C432&amp;"|"&amp;G432)</f>
        <v/>
      </c>
    </row>
    <row r="433">
      <c r="I433" t="str">
        <f>IF(C433="","",C433&amp;"|"&amp;G433)</f>
        <v/>
      </c>
    </row>
    <row r="434">
      <c r="I434" t="str">
        <f>IF(C434="","",C434&amp;"|"&amp;G434)</f>
        <v/>
      </c>
    </row>
    <row r="435">
      <c r="I435" t="str">
        <f>IF(C435="","",C435&amp;"|"&amp;G435)</f>
        <v/>
      </c>
    </row>
    <row r="436">
      <c r="I436" t="str">
        <f>IF(C436="","",C436&amp;"|"&amp;G436)</f>
        <v/>
      </c>
    </row>
    <row r="437">
      <c r="I437" t="str">
        <f>IF(C437="","",C437&amp;"|"&amp;G437)</f>
        <v/>
      </c>
    </row>
    <row r="438">
      <c r="I438" t="str">
        <f>IF(C438="","",C438&amp;"|"&amp;G438)</f>
        <v/>
      </c>
    </row>
    <row r="439">
      <c r="I439" t="str">
        <f>IF(C439="","",C439&amp;"|"&amp;G439)</f>
        <v/>
      </c>
    </row>
    <row r="440">
      <c r="I440" t="str">
        <f>IF(C440="","",C440&amp;"|"&amp;G440)</f>
        <v/>
      </c>
    </row>
    <row r="441">
      <c r="I441" t="str">
        <f>IF(C441="","",C441&amp;"|"&amp;G441)</f>
        <v/>
      </c>
    </row>
    <row r="442">
      <c r="I442" t="str">
        <f>IF(C442="","",C442&amp;"|"&amp;G442)</f>
        <v/>
      </c>
    </row>
    <row r="443">
      <c r="I443" t="str">
        <f>IF(C443="","",C443&amp;"|"&amp;G443)</f>
        <v/>
      </c>
    </row>
    <row r="444">
      <c r="I444" t="str">
        <f>IF(C444="","",C444&amp;"|"&amp;G444)</f>
        <v/>
      </c>
    </row>
    <row r="445">
      <c r="I445" t="str">
        <f>IF(C445="","",C445&amp;"|"&amp;G445)</f>
        <v/>
      </c>
    </row>
    <row r="446">
      <c r="I446" t="str">
        <f>IF(C446="","",C446&amp;"|"&amp;G446)</f>
        <v/>
      </c>
    </row>
    <row r="447">
      <c r="I447" t="str">
        <f>IF(C447="","",C447&amp;"|"&amp;G447)</f>
        <v/>
      </c>
    </row>
    <row r="448">
      <c r="I448" t="str">
        <f>IF(C448="","",C448&amp;"|"&amp;G448)</f>
        <v/>
      </c>
    </row>
    <row r="449">
      <c r="I449" t="str">
        <f>IF(C449="","",C449&amp;"|"&amp;G449)</f>
        <v/>
      </c>
    </row>
    <row r="450">
      <c r="I450" t="str">
        <f>IF(C450="","",C450&amp;"|"&amp;G450)</f>
        <v/>
      </c>
    </row>
    <row r="451">
      <c r="I451" t="str">
        <f>IF(C451="","",C451&amp;"|"&amp;G451)</f>
        <v/>
      </c>
    </row>
    <row r="452">
      <c r="I452" t="str">
        <f>IF(C452="","",C452&amp;"|"&amp;G452)</f>
        <v/>
      </c>
    </row>
    <row r="453">
      <c r="I453" t="str">
        <f>IF(C453="","",C453&amp;"|"&amp;G453)</f>
        <v/>
      </c>
    </row>
    <row r="454">
      <c r="I454" t="str">
        <f>IF(C454="","",C454&amp;"|"&amp;G454)</f>
        <v/>
      </c>
    </row>
    <row r="455">
      <c r="I455" t="str">
        <f>IF(C455="","",C455&amp;"|"&amp;G455)</f>
        <v/>
      </c>
    </row>
    <row r="456">
      <c r="I456" t="str">
        <f>IF(C456="","",C456&amp;"|"&amp;G456)</f>
        <v/>
      </c>
    </row>
    <row r="457">
      <c r="I457" t="str">
        <f>IF(C457="","",C457&amp;"|"&amp;G457)</f>
        <v/>
      </c>
    </row>
    <row r="458">
      <c r="I458" t="str">
        <f>IF(C458="","",C458&amp;"|"&amp;G458)</f>
        <v/>
      </c>
    </row>
    <row r="459">
      <c r="I459" t="str">
        <f>IF(C459="","",C459&amp;"|"&amp;G459)</f>
        <v/>
      </c>
    </row>
    <row r="460">
      <c r="I460" t="str">
        <f>IF(C460="","",C460&amp;"|"&amp;G460)</f>
        <v/>
      </c>
    </row>
    <row r="461">
      <c r="I461" t="str">
        <f>IF(C461="","",C461&amp;"|"&amp;G461)</f>
        <v/>
      </c>
    </row>
    <row r="462">
      <c r="I462" t="str">
        <f>IF(C462="","",C462&amp;"|"&amp;G462)</f>
        <v/>
      </c>
    </row>
    <row r="463">
      <c r="I463" t="str">
        <f>IF(C463="","",C463&amp;"|"&amp;G463)</f>
        <v/>
      </c>
    </row>
    <row r="464">
      <c r="I464" t="str">
        <f>IF(C464="","",C464&amp;"|"&amp;G464)</f>
        <v/>
      </c>
    </row>
    <row r="465">
      <c r="I465" t="str">
        <f>IF(C465="","",C465&amp;"|"&amp;G465)</f>
        <v/>
      </c>
    </row>
    <row r="466">
      <c r="I466" t="str">
        <f>IF(C466="","",C466&amp;"|"&amp;G466)</f>
        <v/>
      </c>
    </row>
    <row r="467">
      <c r="I467" t="str">
        <f>IF(C467="","",C467&amp;"|"&amp;G467)</f>
        <v/>
      </c>
    </row>
    <row r="468">
      <c r="I468" t="str">
        <f>IF(C468="","",C468&amp;"|"&amp;G468)</f>
        <v/>
      </c>
    </row>
    <row r="469">
      <c r="I469" t="str">
        <f>IF(C469="","",C469&amp;"|"&amp;G469)</f>
        <v/>
      </c>
    </row>
    <row r="470">
      <c r="I470" t="str">
        <f>IF(C470="","",C470&amp;"|"&amp;G470)</f>
        <v/>
      </c>
    </row>
    <row r="471">
      <c r="I471" t="str">
        <f>IF(C471="","",C471&amp;"|"&amp;G471)</f>
        <v/>
      </c>
    </row>
    <row r="472">
      <c r="I472" t="str">
        <f>IF(C472="","",C472&amp;"|"&amp;G472)</f>
        <v/>
      </c>
    </row>
    <row r="473">
      <c r="I473" t="str">
        <f>IF(C473="","",C473&amp;"|"&amp;G473)</f>
        <v/>
      </c>
    </row>
    <row r="474">
      <c r="I474" t="str">
        <f>IF(C474="","",C474&amp;"|"&amp;G474)</f>
        <v/>
      </c>
    </row>
    <row r="475">
      <c r="I475" t="str">
        <f>IF(C475="","",C475&amp;"|"&amp;G475)</f>
        <v/>
      </c>
    </row>
    <row r="476">
      <c r="I476" t="str">
        <f>IF(C476="","",C476&amp;"|"&amp;G476)</f>
        <v/>
      </c>
    </row>
    <row r="477">
      <c r="I477" t="str">
        <f>IF(C477="","",C477&amp;"|"&amp;G477)</f>
        <v/>
      </c>
    </row>
    <row r="478">
      <c r="I478" t="str">
        <f>IF(C478="","",C478&amp;"|"&amp;G478)</f>
        <v/>
      </c>
    </row>
    <row r="479">
      <c r="I479" t="str">
        <f>IF(C479="","",C479&amp;"|"&amp;G479)</f>
        <v/>
      </c>
    </row>
    <row r="480">
      <c r="I480" t="str">
        <f>IF(C480="","",C480&amp;"|"&amp;G480)</f>
        <v/>
      </c>
    </row>
    <row r="481">
      <c r="I481" t="str">
        <f>IF(C481="","",C481&amp;"|"&amp;G481)</f>
        <v/>
      </c>
    </row>
    <row r="482">
      <c r="I482" t="str">
        <f>IF(C482="","",C482&amp;"|"&amp;G482)</f>
        <v/>
      </c>
    </row>
    <row r="483">
      <c r="I483" t="str">
        <f>IF(C483="","",C483&amp;"|"&amp;G483)</f>
        <v/>
      </c>
    </row>
    <row r="484">
      <c r="I484" t="str">
        <f>IF(C484="","",C484&amp;"|"&amp;G484)</f>
        <v/>
      </c>
    </row>
    <row r="485">
      <c r="I485" t="str">
        <f>IF(C485="","",C485&amp;"|"&amp;G485)</f>
        <v/>
      </c>
    </row>
    <row r="486">
      <c r="I486" t="str">
        <f>IF(C486="","",C486&amp;"|"&amp;G486)</f>
        <v/>
      </c>
    </row>
    <row r="487">
      <c r="I487" t="str">
        <f>IF(C487="","",C487&amp;"|"&amp;G487)</f>
        <v/>
      </c>
    </row>
    <row r="488">
      <c r="I488" t="str">
        <f>IF(C488="","",C488&amp;"|"&amp;G488)</f>
        <v/>
      </c>
    </row>
    <row r="489">
      <c r="I489" t="str">
        <f>IF(C489="","",C489&amp;"|"&amp;G489)</f>
        <v/>
      </c>
    </row>
    <row r="490">
      <c r="I490" t="str">
        <f>IF(C490="","",C490&amp;"|"&amp;G490)</f>
        <v/>
      </c>
    </row>
    <row r="491">
      <c r="I491" t="str">
        <f>IF(C491="","",C491&amp;"|"&amp;G491)</f>
        <v/>
      </c>
    </row>
    <row r="492">
      <c r="I492" t="str">
        <f>IF(C492="","",C492&amp;"|"&amp;G492)</f>
        <v/>
      </c>
    </row>
    <row r="493">
      <c r="I493" t="str">
        <f>IF(C493="","",C493&amp;"|"&amp;G493)</f>
        <v/>
      </c>
    </row>
    <row r="494">
      <c r="I494" t="str">
        <f>IF(C494="","",C494&amp;"|"&amp;G494)</f>
        <v/>
      </c>
    </row>
    <row r="495">
      <c r="I495" t="str">
        <f>IF(C495="","",C495&amp;"|"&amp;G495)</f>
        <v/>
      </c>
    </row>
    <row r="496">
      <c r="I496" t="str">
        <f>IF(C496="","",C496&amp;"|"&amp;G496)</f>
        <v/>
      </c>
    </row>
    <row r="497">
      <c r="I497" t="str">
        <f>IF(C497="","",C497&amp;"|"&amp;G497)</f>
        <v/>
      </c>
    </row>
    <row r="498">
      <c r="I498" t="str">
        <f>IF(C498="","",C498&amp;"|"&amp;G498)</f>
        <v/>
      </c>
    </row>
    <row r="499">
      <c r="I499" t="str">
        <f>IF(C499="","",C499&amp;"|"&amp;G499)</f>
        <v/>
      </c>
    </row>
    <row r="500">
      <c r="I500" t="str">
        <f>IF(C500="","",C500&amp;"|"&amp;G500)</f>
        <v/>
      </c>
    </row>
    <row r="501">
      <c r="I501" t="str">
        <f>IF(C501="","",C501&amp;"|"&amp;G501)</f>
        <v/>
      </c>
    </row>
    <row r="502">
      <c r="I502" t="str">
        <f>IF(C502="","",C502&amp;"|"&amp;G502)</f>
        <v/>
      </c>
    </row>
    <row r="503">
      <c r="I503" t="str">
        <f>IF(C503="","",C503&amp;"|"&amp;G503)</f>
        <v/>
      </c>
    </row>
    <row r="504">
      <c r="I504" t="str">
        <f>IF(C504="","",C504&amp;"|"&amp;G504)</f>
        <v/>
      </c>
    </row>
    <row r="505">
      <c r="I505" t="str">
        <f>IF(C505="","",C505&amp;"|"&amp;G505)</f>
        <v/>
      </c>
    </row>
    <row r="506">
      <c r="I506" t="str">
        <f>IF(C506="","",C506&amp;"|"&amp;G506)</f>
        <v/>
      </c>
    </row>
    <row r="507">
      <c r="I507" t="str">
        <f>IF(C507="","",C507&amp;"|"&amp;G507)</f>
        <v/>
      </c>
    </row>
    <row r="508">
      <c r="I508" t="str">
        <f>IF(C508="","",C508&amp;"|"&amp;G508)</f>
        <v/>
      </c>
    </row>
    <row r="509">
      <c r="I509" t="str">
        <f>IF(C509="","",C509&amp;"|"&amp;G509)</f>
        <v/>
      </c>
    </row>
    <row r="510">
      <c r="I510" t="str">
        <f>IF(C510="","",C510&amp;"|"&amp;G510)</f>
        <v/>
      </c>
    </row>
    <row r="511">
      <c r="I511" t="str">
        <f>IF(C511="","",C511&amp;"|"&amp;G511)</f>
        <v/>
      </c>
    </row>
    <row r="512">
      <c r="I512" t="str">
        <f>IF(C512="","",C512&amp;"|"&amp;G512)</f>
        <v/>
      </c>
    </row>
    <row r="513">
      <c r="I513" t="str">
        <f>IF(C513="","",C513&amp;"|"&amp;G513)</f>
        <v/>
      </c>
    </row>
    <row r="514">
      <c r="I514" t="str">
        <f>IF(C514="","",C514&amp;"|"&amp;G514)</f>
        <v/>
      </c>
    </row>
    <row r="515">
      <c r="I515" t="str">
        <f>IF(C515="","",C515&amp;"|"&amp;G515)</f>
        <v/>
      </c>
    </row>
    <row r="516">
      <c r="I516" t="str">
        <f>IF(C516="","",C516&amp;"|"&amp;G516)</f>
        <v/>
      </c>
    </row>
    <row r="517">
      <c r="I517" t="str">
        <f>IF(C517="","",C517&amp;"|"&amp;G517)</f>
        <v/>
      </c>
    </row>
    <row r="518">
      <c r="I518" t="str">
        <f>IF(C518="","",C518&amp;"|"&amp;G518)</f>
        <v/>
      </c>
    </row>
    <row r="519">
      <c r="I519" t="str">
        <f>IF(C519="","",C519&amp;"|"&amp;G519)</f>
        <v/>
      </c>
    </row>
    <row r="520">
      <c r="I520" t="str">
        <f>IF(C520="","",C520&amp;"|"&amp;G520)</f>
        <v/>
      </c>
    </row>
    <row r="521">
      <c r="I521" t="str">
        <f>IF(C521="","",C521&amp;"|"&amp;G521)</f>
        <v/>
      </c>
    </row>
    <row r="522">
      <c r="I522" t="str">
        <f>IF(C522="","",C522&amp;"|"&amp;G522)</f>
        <v/>
      </c>
    </row>
    <row r="523">
      <c r="I523" t="str">
        <f>IF(C523="","",C523&amp;"|"&amp;G523)</f>
        <v/>
      </c>
    </row>
    <row r="524">
      <c r="I524" t="str">
        <f>IF(C524="","",C524&amp;"|"&amp;G524)</f>
        <v/>
      </c>
    </row>
    <row r="525">
      <c r="I525" t="str">
        <f>IF(C525="","",C525&amp;"|"&amp;G525)</f>
        <v/>
      </c>
    </row>
    <row r="526">
      <c r="I526" t="str">
        <f>IF(C526="","",C526&amp;"|"&amp;G526)</f>
        <v/>
      </c>
    </row>
    <row r="527">
      <c r="I527" t="str">
        <f>IF(C527="","",C527&amp;"|"&amp;G527)</f>
        <v/>
      </c>
    </row>
    <row r="528">
      <c r="I528" t="str">
        <f>IF(C528="","",C528&amp;"|"&amp;G528)</f>
        <v/>
      </c>
    </row>
    <row r="529">
      <c r="I529" t="str">
        <f>IF(C529="","",C529&amp;"|"&amp;G529)</f>
        <v/>
      </c>
    </row>
    <row r="530">
      <c r="I530" t="str">
        <f>IF(C530="","",C530&amp;"|"&amp;G530)</f>
        <v/>
      </c>
    </row>
    <row r="531">
      <c r="I531" t="str">
        <f>IF(C531="","",C531&amp;"|"&amp;G531)</f>
        <v/>
      </c>
    </row>
    <row r="532">
      <c r="I532" t="str">
        <f>IF(C532="","",C532&amp;"|"&amp;G532)</f>
        <v/>
      </c>
    </row>
    <row r="533">
      <c r="I533" t="str">
        <f>IF(C533="","",C533&amp;"|"&amp;G533)</f>
        <v/>
      </c>
    </row>
    <row r="534">
      <c r="I534" t="str">
        <f>IF(C534="","",C534&amp;"|"&amp;G534)</f>
        <v/>
      </c>
    </row>
    <row r="535">
      <c r="I535" t="str">
        <f>IF(C535="","",C535&amp;"|"&amp;G535)</f>
        <v/>
      </c>
    </row>
    <row r="536">
      <c r="I536" t="str">
        <f>IF(C536="","",C536&amp;"|"&amp;G536)</f>
        <v/>
      </c>
    </row>
    <row r="537">
      <c r="I537" t="str">
        <f>IF(C537="","",C537&amp;"|"&amp;G537)</f>
        <v/>
      </c>
    </row>
    <row r="538">
      <c r="I538" t="str">
        <f>IF(C538="","",C538&amp;"|"&amp;G538)</f>
        <v/>
      </c>
    </row>
    <row r="539">
      <c r="I539" t="str">
        <f>IF(C539="","",C539&amp;"|"&amp;G539)</f>
        <v/>
      </c>
    </row>
    <row r="540">
      <c r="I540" t="str">
        <f>IF(C540="","",C540&amp;"|"&amp;G540)</f>
        <v/>
      </c>
    </row>
    <row r="541">
      <c r="I541" t="str">
        <f>IF(C541="","",C541&amp;"|"&amp;G541)</f>
        <v/>
      </c>
    </row>
    <row r="542">
      <c r="I542" t="str">
        <f>IF(C542="","",C542&amp;"|"&amp;G542)</f>
        <v/>
      </c>
    </row>
    <row r="543">
      <c r="I543" t="str">
        <f>IF(C543="","",C543&amp;"|"&amp;G543)</f>
        <v/>
      </c>
    </row>
    <row r="544">
      <c r="I544" t="str">
        <f>IF(C544="","",C544&amp;"|"&amp;G544)</f>
        <v/>
      </c>
    </row>
    <row r="545">
      <c r="I545" t="str">
        <f>IF(C545="","",C545&amp;"|"&amp;G545)</f>
        <v/>
      </c>
    </row>
    <row r="546">
      <c r="I546" t="str">
        <f>IF(C546="","",C546&amp;"|"&amp;G546)</f>
        <v/>
      </c>
    </row>
    <row r="547">
      <c r="I547" t="str">
        <f>IF(C547="","",C547&amp;"|"&amp;G547)</f>
        <v/>
      </c>
    </row>
    <row r="548">
      <c r="I548" t="str">
        <f>IF(C548="","",C548&amp;"|"&amp;G548)</f>
        <v/>
      </c>
    </row>
    <row r="549">
      <c r="I549" t="str">
        <f>IF(C549="","",C549&amp;"|"&amp;G549)</f>
        <v/>
      </c>
    </row>
    <row r="550">
      <c r="I550" t="str">
        <f>IF(C550="","",C550&amp;"|"&amp;G550)</f>
        <v/>
      </c>
    </row>
    <row r="551">
      <c r="I551" t="str">
        <f>IF(C551="","",C551&amp;"|"&amp;G551)</f>
        <v/>
      </c>
    </row>
    <row r="552">
      <c r="I552" t="str">
        <f>IF(C552="","",C552&amp;"|"&amp;G552)</f>
        <v/>
      </c>
    </row>
    <row r="553">
      <c r="I553" t="str">
        <f>IF(C553="","",C553&amp;"|"&amp;G553)</f>
        <v/>
      </c>
    </row>
    <row r="554">
      <c r="I554" t="str">
        <f>IF(C554="","",C554&amp;"|"&amp;G554)</f>
        <v/>
      </c>
    </row>
    <row r="555">
      <c r="I555" t="str">
        <f>IF(C555="","",C555&amp;"|"&amp;G555)</f>
        <v/>
      </c>
    </row>
    <row r="556">
      <c r="I556" t="str">
        <f>IF(C556="","",C556&amp;"|"&amp;G556)</f>
        <v/>
      </c>
    </row>
    <row r="557">
      <c r="I557" t="str">
        <f>IF(C557="","",C557&amp;"|"&amp;G557)</f>
        <v/>
      </c>
    </row>
    <row r="558">
      <c r="I558" t="str">
        <f>IF(C558="","",C558&amp;"|"&amp;G558)</f>
        <v/>
      </c>
    </row>
    <row r="559">
      <c r="I559" t="str">
        <f>IF(C559="","",C559&amp;"|"&amp;G559)</f>
        <v/>
      </c>
    </row>
    <row r="560">
      <c r="I560" t="str">
        <f>IF(C560="","",C560&amp;"|"&amp;G560)</f>
        <v/>
      </c>
    </row>
    <row r="561">
      <c r="I561" t="str">
        <f>IF(C561="","",C561&amp;"|"&amp;G561)</f>
        <v/>
      </c>
    </row>
    <row r="562">
      <c r="I562" t="str">
        <f>IF(C562="","",C562&amp;"|"&amp;G562)</f>
        <v/>
      </c>
    </row>
    <row r="563">
      <c r="I563" t="str">
        <f>IF(C563="","",C563&amp;"|"&amp;G563)</f>
        <v/>
      </c>
    </row>
    <row r="564">
      <c r="I564" t="str">
        <f>IF(C564="","",C564&amp;"|"&amp;G564)</f>
        <v/>
      </c>
    </row>
    <row r="565">
      <c r="I565" t="str">
        <f>IF(C565="","",C565&amp;"|"&amp;G565)</f>
        <v/>
      </c>
    </row>
    <row r="566">
      <c r="I566" t="str">
        <f>IF(C566="","",C566&amp;"|"&amp;G566)</f>
        <v/>
      </c>
    </row>
    <row r="567">
      <c r="I567" t="str">
        <f>IF(C567="","",C567&amp;"|"&amp;G567)</f>
        <v/>
      </c>
    </row>
    <row r="568">
      <c r="I568" t="str">
        <f>IF(C568="","",C568&amp;"|"&amp;G568)</f>
        <v/>
      </c>
    </row>
    <row r="569">
      <c r="I569" t="str">
        <f>IF(C569="","",C569&amp;"|"&amp;G569)</f>
        <v/>
      </c>
    </row>
    <row r="570">
      <c r="I570" t="str">
        <f>IF(C570="","",C570&amp;"|"&amp;G570)</f>
        <v/>
      </c>
    </row>
    <row r="571">
      <c r="I571" t="str">
        <f>IF(C571="","",C571&amp;"|"&amp;G571)</f>
        <v/>
      </c>
    </row>
    <row r="572">
      <c r="I572" t="str">
        <f>IF(C572="","",C572&amp;"|"&amp;G572)</f>
        <v/>
      </c>
    </row>
    <row r="573">
      <c r="I573" t="str">
        <f>IF(C573="","",C573&amp;"|"&amp;G573)</f>
        <v/>
      </c>
    </row>
    <row r="574">
      <c r="I574" t="str">
        <f>IF(C574="","",C574&amp;"|"&amp;G574)</f>
        <v/>
      </c>
    </row>
    <row r="575">
      <c r="I575" t="str">
        <f>IF(C575="","",C575&amp;"|"&amp;G575)</f>
        <v/>
      </c>
    </row>
    <row r="576">
      <c r="I576" t="str">
        <f>IF(C576="","",C576&amp;"|"&amp;G576)</f>
        <v/>
      </c>
    </row>
    <row r="577">
      <c r="I577" t="str">
        <f>IF(C577="","",C577&amp;"|"&amp;G577)</f>
        <v/>
      </c>
    </row>
    <row r="578">
      <c r="I578" t="str">
        <f>IF(C578="","",C578&amp;"|"&amp;G578)</f>
        <v/>
      </c>
    </row>
    <row r="579">
      <c r="I579" t="str">
        <f>IF(C579="","",C579&amp;"|"&amp;G579)</f>
        <v/>
      </c>
    </row>
    <row r="580">
      <c r="I580" t="str">
        <f>IF(C580="","",C580&amp;"|"&amp;G580)</f>
        <v/>
      </c>
    </row>
    <row r="581">
      <c r="I581" t="str">
        <f>IF(C581="","",C581&amp;"|"&amp;G581)</f>
        <v/>
      </c>
    </row>
    <row r="582">
      <c r="I582" t="str">
        <f>IF(C582="","",C582&amp;"|"&amp;G582)</f>
        <v/>
      </c>
    </row>
    <row r="583">
      <c r="I583" t="str">
        <f>IF(C583="","",C583&amp;"|"&amp;G583)</f>
        <v/>
      </c>
    </row>
    <row r="584">
      <c r="I584" t="str">
        <f>IF(C584="","",C584&amp;"|"&amp;G584)</f>
        <v/>
      </c>
    </row>
    <row r="585">
      <c r="I585" t="str">
        <f>IF(C585="","",C585&amp;"|"&amp;G585)</f>
        <v/>
      </c>
    </row>
    <row r="586">
      <c r="I586" t="str">
        <f>IF(C586="","",C586&amp;"|"&amp;G586)</f>
        <v/>
      </c>
    </row>
    <row r="587">
      <c r="I587" t="str">
        <f>IF(C587="","",C587&amp;"|"&amp;G587)</f>
        <v/>
      </c>
    </row>
    <row r="588">
      <c r="I588" t="str">
        <f>IF(C588="","",C588&amp;"|"&amp;G588)</f>
        <v/>
      </c>
    </row>
    <row r="589">
      <c r="I589" t="str">
        <f>IF(C589="","",C589&amp;"|"&amp;G589)</f>
        <v/>
      </c>
    </row>
    <row r="590">
      <c r="I590" t="str">
        <f>IF(C590="","",C590&amp;"|"&amp;G590)</f>
        <v/>
      </c>
    </row>
    <row r="591">
      <c r="I591" t="str">
        <f>IF(C591="","",C591&amp;"|"&amp;G591)</f>
        <v/>
      </c>
    </row>
    <row r="592">
      <c r="I592" t="str">
        <f>IF(C592="","",C592&amp;"|"&amp;G592)</f>
        <v/>
      </c>
    </row>
    <row r="593">
      <c r="I593" t="str">
        <f>IF(C593="","",C593&amp;"|"&amp;G593)</f>
        <v/>
      </c>
    </row>
    <row r="594">
      <c r="I594" t="str">
        <f>IF(C594="","",C594&amp;"|"&amp;G594)</f>
        <v/>
      </c>
    </row>
    <row r="595">
      <c r="I595" t="str">
        <f>IF(C595="","",C595&amp;"|"&amp;G595)</f>
        <v/>
      </c>
    </row>
    <row r="596">
      <c r="I596" t="str">
        <f>IF(C596="","",C596&amp;"|"&amp;G596)</f>
        <v/>
      </c>
    </row>
    <row r="597">
      <c r="I597" t="str">
        <f>IF(C597="","",C597&amp;"|"&amp;G597)</f>
        <v/>
      </c>
    </row>
    <row r="598">
      <c r="I598" t="str">
        <f>IF(C598="","",C598&amp;"|"&amp;G598)</f>
        <v/>
      </c>
    </row>
    <row r="599">
      <c r="I599" t="str">
        <f>IF(C599="","",C599&amp;"|"&amp;G599)</f>
        <v/>
      </c>
    </row>
    <row r="600">
      <c r="I600" t="str">
        <f>IF(C600="","",C600&amp;"|"&amp;G600)</f>
        <v/>
      </c>
    </row>
    <row r="601">
      <c r="I601" t="str">
        <f>IF(C601="","",C601&amp;"|"&amp;G601)</f>
        <v/>
      </c>
    </row>
    <row r="602">
      <c r="I602" t="str">
        <f>IF(C602="","",C602&amp;"|"&amp;G602)</f>
        <v/>
      </c>
    </row>
    <row r="603">
      <c r="I603" t="str">
        <f>IF(C603="","",C603&amp;"|"&amp;G603)</f>
        <v/>
      </c>
    </row>
    <row r="604">
      <c r="I604" t="str">
        <f>IF(C604="","",C604&amp;"|"&amp;G604)</f>
        <v/>
      </c>
    </row>
    <row r="605">
      <c r="I605" t="str">
        <f>IF(C605="","",C605&amp;"|"&amp;G605)</f>
        <v/>
      </c>
    </row>
    <row r="606">
      <c r="I606" t="str">
        <f>IF(C606="","",C606&amp;"|"&amp;G606)</f>
        <v/>
      </c>
    </row>
    <row r="607">
      <c r="I607" t="str">
        <f>IF(C607="","",C607&amp;"|"&amp;G607)</f>
        <v/>
      </c>
    </row>
    <row r="608">
      <c r="I608" t="str">
        <f>IF(C608="","",C608&amp;"|"&amp;G608)</f>
        <v/>
      </c>
    </row>
    <row r="609">
      <c r="I609" t="str">
        <f>IF(C609="","",C609&amp;"|"&amp;G609)</f>
        <v/>
      </c>
    </row>
    <row r="610">
      <c r="I610" t="str">
        <f>IF(C610="","",C610&amp;"|"&amp;G610)</f>
        <v/>
      </c>
    </row>
    <row r="611">
      <c r="I611" t="str">
        <f>IF(C611="","",C611&amp;"|"&amp;G611)</f>
        <v/>
      </c>
    </row>
    <row r="612">
      <c r="I612" t="str">
        <f>IF(C612="","",C612&amp;"|"&amp;G612)</f>
        <v/>
      </c>
    </row>
    <row r="613">
      <c r="I613" t="str">
        <f>IF(C613="","",C613&amp;"|"&amp;G613)</f>
        <v/>
      </c>
    </row>
    <row r="614">
      <c r="I614" t="str">
        <f>IF(C614="","",C614&amp;"|"&amp;G614)</f>
        <v/>
      </c>
    </row>
    <row r="615">
      <c r="I615" t="str">
        <f>IF(C615="","",C615&amp;"|"&amp;G615)</f>
        <v/>
      </c>
    </row>
    <row r="616">
      <c r="I616" t="str">
        <f>IF(C616="","",C616&amp;"|"&amp;G616)</f>
        <v/>
      </c>
    </row>
    <row r="617">
      <c r="I617" t="str">
        <f>IF(C617="","",C617&amp;"|"&amp;G617)</f>
        <v/>
      </c>
    </row>
    <row r="618">
      <c r="I618" t="str">
        <f>IF(C618="","",C618&amp;"|"&amp;G618)</f>
        <v/>
      </c>
    </row>
    <row r="619">
      <c r="I619" t="str">
        <f>IF(C619="","",C619&amp;"|"&amp;G619)</f>
        <v/>
      </c>
    </row>
    <row r="620">
      <c r="I620" t="str">
        <f>IF(C620="","",C620&amp;"|"&amp;G620)</f>
        <v/>
      </c>
    </row>
    <row r="621">
      <c r="I621" t="str">
        <f>IF(C621="","",C621&amp;"|"&amp;G621)</f>
        <v/>
      </c>
    </row>
    <row r="622">
      <c r="I622" t="str">
        <f>IF(C622="","",C622&amp;"|"&amp;G622)</f>
        <v/>
      </c>
    </row>
    <row r="623">
      <c r="I623" t="str">
        <f>IF(C623="","",C623&amp;"|"&amp;G623)</f>
        <v/>
      </c>
    </row>
    <row r="624">
      <c r="I624" t="str">
        <f>IF(C624="","",C624&amp;"|"&amp;G624)</f>
        <v/>
      </c>
    </row>
    <row r="625">
      <c r="I625" t="str">
        <f>IF(C625="","",C625&amp;"|"&amp;G625)</f>
        <v/>
      </c>
    </row>
    <row r="626">
      <c r="I626" t="str">
        <f>IF(C626="","",C626&amp;"|"&amp;G626)</f>
        <v/>
      </c>
    </row>
    <row r="627">
      <c r="I627" t="str">
        <f>IF(C627="","",C627&amp;"|"&amp;G627)</f>
        <v/>
      </c>
    </row>
    <row r="628">
      <c r="I628" t="str">
        <f>IF(C628="","",C628&amp;"|"&amp;G628)</f>
        <v/>
      </c>
    </row>
    <row r="629">
      <c r="I629" t="str">
        <f>IF(C629="","",C629&amp;"|"&amp;G629)</f>
        <v/>
      </c>
    </row>
    <row r="630">
      <c r="I630" t="str">
        <f>IF(C630="","",C630&amp;"|"&amp;G630)</f>
        <v/>
      </c>
    </row>
    <row r="631">
      <c r="I631" t="str">
        <f>IF(C631="","",C631&amp;"|"&amp;G631)</f>
        <v/>
      </c>
    </row>
    <row r="632">
      <c r="I632" t="str">
        <f>IF(C632="","",C632&amp;"|"&amp;G632)</f>
        <v/>
      </c>
    </row>
    <row r="633">
      <c r="I633" t="str">
        <f>IF(C633="","",C633&amp;"|"&amp;G633)</f>
        <v/>
      </c>
    </row>
    <row r="634">
      <c r="I634" t="str">
        <f>IF(C634="","",C634&amp;"|"&amp;G634)</f>
        <v/>
      </c>
    </row>
    <row r="635">
      <c r="I635" t="str">
        <f>IF(C635="","",C635&amp;"|"&amp;G635)</f>
        <v/>
      </c>
    </row>
    <row r="636">
      <c r="I636" t="str">
        <f>IF(C636="","",C636&amp;"|"&amp;G636)</f>
        <v/>
      </c>
    </row>
    <row r="637">
      <c r="I637" t="str">
        <f>IF(C637="","",C637&amp;"|"&amp;G637)</f>
        <v/>
      </c>
    </row>
    <row r="638">
      <c r="I638" t="str">
        <f>IF(C638="","",C638&amp;"|"&amp;G638)</f>
        <v/>
      </c>
    </row>
    <row r="639">
      <c r="I639" t="str">
        <f>IF(C639="","",C639&amp;"|"&amp;G639)</f>
        <v/>
      </c>
    </row>
    <row r="640">
      <c r="I640" t="str">
        <f>IF(C640="","",C640&amp;"|"&amp;G640)</f>
        <v/>
      </c>
    </row>
    <row r="641">
      <c r="I641" t="str">
        <f>IF(C641="","",C641&amp;"|"&amp;G641)</f>
        <v/>
      </c>
    </row>
    <row r="642">
      <c r="I642" t="str">
        <f>IF(C642="","",C642&amp;"|"&amp;G642)</f>
        <v/>
      </c>
    </row>
    <row r="643">
      <c r="I643" t="str">
        <f>IF(C643="","",C643&amp;"|"&amp;G643)</f>
        <v/>
      </c>
    </row>
    <row r="644">
      <c r="I644" t="str">
        <f>IF(C644="","",C644&amp;"|"&amp;G644)</f>
        <v/>
      </c>
    </row>
    <row r="645">
      <c r="I645" t="str">
        <f>IF(C645="","",C645&amp;"|"&amp;G645)</f>
        <v/>
      </c>
    </row>
    <row r="646">
      <c r="I646" t="str">
        <f>IF(C646="","",C646&amp;"|"&amp;G646)</f>
        <v/>
      </c>
    </row>
    <row r="647">
      <c r="I647" t="str">
        <f>IF(C647="","",C647&amp;"|"&amp;G647)</f>
        <v/>
      </c>
    </row>
    <row r="648">
      <c r="I648" t="str">
        <f>IF(C648="","",C648&amp;"|"&amp;G648)</f>
        <v/>
      </c>
    </row>
    <row r="649">
      <c r="I649" t="str">
        <f>IF(C649="","",C649&amp;"|"&amp;G649)</f>
        <v/>
      </c>
    </row>
    <row r="650">
      <c r="I650" t="str">
        <f>IF(C650="","",C650&amp;"|"&amp;G650)</f>
        <v/>
      </c>
    </row>
    <row r="651">
      <c r="I651" t="str">
        <f>IF(C651="","",C651&amp;"|"&amp;G651)</f>
        <v/>
      </c>
    </row>
    <row r="652">
      <c r="I652" t="str">
        <f>IF(C652="","",C652&amp;"|"&amp;G652)</f>
        <v/>
      </c>
    </row>
    <row r="653">
      <c r="I653" t="str">
        <f>IF(C653="","",C653&amp;"|"&amp;G653)</f>
        <v/>
      </c>
    </row>
    <row r="654">
      <c r="I654" t="str">
        <f>IF(C654="","",C654&amp;"|"&amp;G654)</f>
        <v/>
      </c>
    </row>
    <row r="655">
      <c r="I655" t="str">
        <f>IF(C655="","",C655&amp;"|"&amp;G655)</f>
        <v/>
      </c>
    </row>
    <row r="656">
      <c r="I656" t="str">
        <f>IF(C656="","",C656&amp;"|"&amp;G656)</f>
        <v/>
      </c>
    </row>
    <row r="657">
      <c r="I657" t="str">
        <f>IF(C657="","",C657&amp;"|"&amp;G657)</f>
        <v/>
      </c>
    </row>
    <row r="658">
      <c r="I658" t="str">
        <f>IF(C658="","",C658&amp;"|"&amp;G658)</f>
        <v/>
      </c>
    </row>
    <row r="659">
      <c r="I659" t="str">
        <f>IF(C659="","",C659&amp;"|"&amp;G659)</f>
        <v/>
      </c>
    </row>
    <row r="660">
      <c r="I660" t="str">
        <f>IF(C660="","",C660&amp;"|"&amp;G660)</f>
        <v/>
      </c>
    </row>
    <row r="661">
      <c r="I661" t="str">
        <f>IF(C661="","",C661&amp;"|"&amp;G661)</f>
        <v/>
      </c>
    </row>
    <row r="662">
      <c r="I662" t="str">
        <f>IF(C662="","",C662&amp;"|"&amp;G662)</f>
        <v/>
      </c>
    </row>
    <row r="663">
      <c r="I663" t="str">
        <f>IF(C663="","",C663&amp;"|"&amp;G663)</f>
        <v/>
      </c>
    </row>
    <row r="664">
      <c r="I664" t="str">
        <f>IF(C664="","",C664&amp;"|"&amp;G664)</f>
        <v/>
      </c>
    </row>
    <row r="665">
      <c r="I665" t="str">
        <f>IF(C665="","",C665&amp;"|"&amp;G665)</f>
        <v/>
      </c>
    </row>
    <row r="666">
      <c r="I666" t="str">
        <f>IF(C666="","",C666&amp;"|"&amp;G666)</f>
        <v/>
      </c>
    </row>
    <row r="667">
      <c r="I667" t="str">
        <f>IF(C667="","",C667&amp;"|"&amp;G667)</f>
        <v/>
      </c>
    </row>
    <row r="668">
      <c r="I668" t="str">
        <f>IF(C668="","",C668&amp;"|"&amp;G668)</f>
        <v/>
      </c>
    </row>
    <row r="669">
      <c r="I669" t="str">
        <f>IF(C669="","",C669&amp;"|"&amp;G669)</f>
        <v/>
      </c>
    </row>
    <row r="670">
      <c r="I670" t="str">
        <f>IF(C670="","",C670&amp;"|"&amp;G670)</f>
        <v/>
      </c>
    </row>
    <row r="671">
      <c r="I671" t="str">
        <f>IF(C671="","",C671&amp;"|"&amp;G671)</f>
        <v/>
      </c>
    </row>
    <row r="672">
      <c r="I672" t="str">
        <f>IF(C672="","",C672&amp;"|"&amp;G672)</f>
        <v/>
      </c>
    </row>
    <row r="673">
      <c r="I673" t="str">
        <f>IF(C673="","",C673&amp;"|"&amp;G673)</f>
        <v/>
      </c>
    </row>
    <row r="674">
      <c r="I674" t="str">
        <f>IF(C674="","",C674&amp;"|"&amp;G674)</f>
        <v/>
      </c>
    </row>
    <row r="675">
      <c r="I675" t="str">
        <f>IF(C675="","",C675&amp;"|"&amp;G675)</f>
        <v/>
      </c>
    </row>
    <row r="676">
      <c r="I676" t="str">
        <f>IF(C676="","",C676&amp;"|"&amp;G676)</f>
        <v/>
      </c>
    </row>
    <row r="677">
      <c r="I677" t="str">
        <f>IF(C677="","",C677&amp;"|"&amp;G677)</f>
        <v/>
      </c>
    </row>
    <row r="678">
      <c r="I678" t="str">
        <f>IF(C678="","",C678&amp;"|"&amp;G678)</f>
        <v/>
      </c>
    </row>
    <row r="679">
      <c r="I679" t="str">
        <f>IF(C679="","",C679&amp;"|"&amp;G679)</f>
        <v/>
      </c>
    </row>
    <row r="680">
      <c r="I680" t="str">
        <f>IF(C680="","",C680&amp;"|"&amp;G680)</f>
        <v/>
      </c>
    </row>
    <row r="681">
      <c r="I681" t="str">
        <f>IF(C681="","",C681&amp;"|"&amp;G681)</f>
        <v/>
      </c>
    </row>
    <row r="682">
      <c r="I682" t="str">
        <f>IF(C682="","",C682&amp;"|"&amp;G682)</f>
        <v/>
      </c>
    </row>
    <row r="683">
      <c r="I683" t="str">
        <f>IF(C683="","",C683&amp;"|"&amp;G683)</f>
        <v/>
      </c>
    </row>
    <row r="684">
      <c r="I684" t="str">
        <f>IF(C684="","",C684&amp;"|"&amp;G684)</f>
        <v/>
      </c>
    </row>
    <row r="685">
      <c r="I685" t="str">
        <f>IF(C685="","",C685&amp;"|"&amp;G685)</f>
        <v/>
      </c>
    </row>
    <row r="686">
      <c r="I686" t="str">
        <f>IF(C686="","",C686&amp;"|"&amp;G686)</f>
        <v/>
      </c>
    </row>
    <row r="687">
      <c r="I687" t="str">
        <f>IF(C687="","",C687&amp;"|"&amp;G687)</f>
        <v/>
      </c>
    </row>
    <row r="688">
      <c r="I688" t="str">
        <f>IF(C688="","",C688&amp;"|"&amp;G688)</f>
        <v/>
      </c>
    </row>
    <row r="689">
      <c r="I689" t="str">
        <f>IF(C689="","",C689&amp;"|"&amp;G689)</f>
        <v/>
      </c>
    </row>
    <row r="690">
      <c r="I690" t="str">
        <f>IF(C690="","",C690&amp;"|"&amp;G690)</f>
        <v/>
      </c>
    </row>
    <row r="691">
      <c r="I691" t="str">
        <f>IF(C691="","",C691&amp;"|"&amp;G691)</f>
        <v/>
      </c>
    </row>
    <row r="692">
      <c r="I692" t="str">
        <f>IF(C692="","",C692&amp;"|"&amp;G692)</f>
        <v/>
      </c>
    </row>
    <row r="693">
      <c r="I693" t="str">
        <f>IF(C693="","",C693&amp;"|"&amp;G693)</f>
        <v/>
      </c>
    </row>
    <row r="694">
      <c r="I694" t="str">
        <f>IF(C694="","",C694&amp;"|"&amp;G694)</f>
        <v/>
      </c>
    </row>
    <row r="695">
      <c r="I695" t="str">
        <f>IF(C695="","",C695&amp;"|"&amp;G695)</f>
        <v/>
      </c>
    </row>
    <row r="696">
      <c r="I696" t="str">
        <f>IF(C696="","",C696&amp;"|"&amp;G696)</f>
        <v/>
      </c>
    </row>
    <row r="697">
      <c r="I697" t="str">
        <f>IF(C697="","",C697&amp;"|"&amp;G697)</f>
        <v/>
      </c>
    </row>
    <row r="698">
      <c r="I698" t="str">
        <f>IF(C698="","",C698&amp;"|"&amp;G698)</f>
        <v/>
      </c>
    </row>
    <row r="699">
      <c r="I699" t="str">
        <f>IF(C699="","",C699&amp;"|"&amp;G699)</f>
        <v/>
      </c>
    </row>
    <row r="700">
      <c r="I700" t="str">
        <f>IF(C700="","",C700&amp;"|"&amp;G700)</f>
        <v/>
      </c>
    </row>
    <row r="701">
      <c r="I701" t="str">
        <f>IF(C701="","",C701&amp;"|"&amp;G701)</f>
        <v/>
      </c>
    </row>
    <row r="702">
      <c r="I702" t="str">
        <f>IF(C702="","",C702&amp;"|"&amp;G702)</f>
        <v/>
      </c>
    </row>
    <row r="703">
      <c r="I703" t="str">
        <f>IF(C703="","",C703&amp;"|"&amp;G703)</f>
        <v/>
      </c>
    </row>
    <row r="704">
      <c r="I704" t="str">
        <f>IF(C704="","",C704&amp;"|"&amp;G704)</f>
        <v/>
      </c>
    </row>
    <row r="705">
      <c r="I705" t="str">
        <f>IF(C705="","",C705&amp;"|"&amp;G705)</f>
        <v/>
      </c>
    </row>
    <row r="706">
      <c r="I706" t="str">
        <f>IF(C706="","",C706&amp;"|"&amp;G706)</f>
        <v/>
      </c>
    </row>
    <row r="707">
      <c r="I707" t="str">
        <f>IF(C707="","",C707&amp;"|"&amp;G707)</f>
        <v/>
      </c>
    </row>
    <row r="708">
      <c r="I708" t="str">
        <f>IF(C708="","",C708&amp;"|"&amp;G708)</f>
        <v/>
      </c>
    </row>
    <row r="709">
      <c r="I709" t="str">
        <f>IF(C709="","",C709&amp;"|"&amp;G709)</f>
        <v/>
      </c>
    </row>
    <row r="710">
      <c r="I710" t="str">
        <f>IF(C710="","",C710&amp;"|"&amp;G710)</f>
        <v/>
      </c>
    </row>
    <row r="711">
      <c r="I711" t="str">
        <f>IF(C711="","",C711&amp;"|"&amp;G711)</f>
        <v/>
      </c>
    </row>
    <row r="712">
      <c r="I712" t="str">
        <f>IF(C712="","",C712&amp;"|"&amp;G712)</f>
        <v/>
      </c>
    </row>
    <row r="713">
      <c r="I713" t="str">
        <f>IF(C713="","",C713&amp;"|"&amp;G713)</f>
        <v/>
      </c>
    </row>
    <row r="714">
      <c r="I714" t="str">
        <f>IF(C714="","",C714&amp;"|"&amp;G714)</f>
        <v/>
      </c>
    </row>
    <row r="715">
      <c r="I715" t="str">
        <f>IF(C715="","",C715&amp;"|"&amp;G715)</f>
        <v/>
      </c>
    </row>
    <row r="716">
      <c r="I716" t="str">
        <f>IF(C716="","",C716&amp;"|"&amp;G716)</f>
        <v/>
      </c>
    </row>
    <row r="717">
      <c r="I717" t="str">
        <f>IF(C717="","",C717&amp;"|"&amp;G717)</f>
        <v/>
      </c>
    </row>
    <row r="718">
      <c r="I718" t="str">
        <f>IF(C718="","",C718&amp;"|"&amp;G718)</f>
        <v/>
      </c>
    </row>
    <row r="719">
      <c r="I719" t="str">
        <f>IF(C719="","",C719&amp;"|"&amp;G719)</f>
        <v/>
      </c>
    </row>
    <row r="720">
      <c r="I720" t="str">
        <f>IF(C720="","",C720&amp;"|"&amp;G720)</f>
        <v/>
      </c>
    </row>
    <row r="721">
      <c r="I721" t="str">
        <f>IF(C721="","",C721&amp;"|"&amp;G721)</f>
        <v/>
      </c>
    </row>
    <row r="722">
      <c r="I722" t="str">
        <f>IF(C722="","",C722&amp;"|"&amp;G722)</f>
        <v/>
      </c>
    </row>
    <row r="723">
      <c r="I723" t="str">
        <f>IF(C723="","",C723&amp;"|"&amp;G723)</f>
        <v/>
      </c>
    </row>
    <row r="724">
      <c r="I724" t="str">
        <f>IF(C724="","",C724&amp;"|"&amp;G724)</f>
        <v/>
      </c>
    </row>
    <row r="725">
      <c r="I725" t="str">
        <f>IF(C725="","",C725&amp;"|"&amp;G725)</f>
        <v/>
      </c>
    </row>
    <row r="726">
      <c r="I726" t="str">
        <f>IF(C726="","",C726&amp;"|"&amp;G726)</f>
        <v/>
      </c>
    </row>
    <row r="727">
      <c r="I727" t="str">
        <f>IF(C727="","",C727&amp;"|"&amp;G727)</f>
        <v/>
      </c>
    </row>
    <row r="728">
      <c r="I728" t="str">
        <f>IF(C728="","",C728&amp;"|"&amp;G728)</f>
        <v/>
      </c>
    </row>
    <row r="729">
      <c r="I729" t="str">
        <f>IF(C729="","",C729&amp;"|"&amp;G729)</f>
        <v/>
      </c>
    </row>
    <row r="730">
      <c r="I730" t="str">
        <f>IF(C730="","",C730&amp;"|"&amp;G730)</f>
        <v/>
      </c>
    </row>
    <row r="731">
      <c r="I731" t="str">
        <f>IF(C731="","",C731&amp;"|"&amp;G731)</f>
        <v/>
      </c>
    </row>
    <row r="732">
      <c r="I732" t="str">
        <f>IF(C732="","",C732&amp;"|"&amp;G732)</f>
        <v/>
      </c>
    </row>
    <row r="733">
      <c r="I733" t="str">
        <f>IF(C733="","",C733&amp;"|"&amp;G733)</f>
        <v/>
      </c>
    </row>
    <row r="734">
      <c r="I734" t="str">
        <f>IF(C734="","",C734&amp;"|"&amp;G734)</f>
        <v/>
      </c>
    </row>
    <row r="735">
      <c r="I735" t="str">
        <f>IF(C735="","",C735&amp;"|"&amp;G735)</f>
        <v/>
      </c>
    </row>
    <row r="736">
      <c r="I736" t="str">
        <f>IF(C736="","",C736&amp;"|"&amp;G736)</f>
        <v/>
      </c>
    </row>
    <row r="737">
      <c r="I737" t="str">
        <f>IF(C737="","",C737&amp;"|"&amp;G737)</f>
        <v/>
      </c>
    </row>
    <row r="738">
      <c r="I738" t="str">
        <f>IF(C738="","",C738&amp;"|"&amp;G738)</f>
        <v/>
      </c>
    </row>
    <row r="739">
      <c r="I739" t="str">
        <f>IF(C739="","",C739&amp;"|"&amp;G739)</f>
        <v/>
      </c>
    </row>
    <row r="740">
      <c r="I740" t="str">
        <f>IF(C740="","",C740&amp;"|"&amp;G740)</f>
        <v/>
      </c>
    </row>
    <row r="741">
      <c r="I741" t="str">
        <f>IF(C741="","",C741&amp;"|"&amp;G741)</f>
        <v/>
      </c>
    </row>
    <row r="742">
      <c r="I742" t="str">
        <f>IF(C742="","",C742&amp;"|"&amp;G742)</f>
        <v/>
      </c>
    </row>
    <row r="743">
      <c r="I743" t="str">
        <f>IF(C743="","",C743&amp;"|"&amp;G743)</f>
        <v/>
      </c>
    </row>
    <row r="744">
      <c r="I744" t="str">
        <f>IF(C744="","",C744&amp;"|"&amp;G744)</f>
        <v/>
      </c>
    </row>
    <row r="745">
      <c r="I745" t="str">
        <f>IF(C745="","",C745&amp;"|"&amp;G745)</f>
        <v/>
      </c>
    </row>
    <row r="746">
      <c r="I746" t="str">
        <f>IF(C746="","",C746&amp;"|"&amp;G746)</f>
        <v/>
      </c>
    </row>
    <row r="747">
      <c r="I747" t="str">
        <f>IF(C747="","",C747&amp;"|"&amp;G747)</f>
        <v/>
      </c>
    </row>
    <row r="748">
      <c r="I748" t="str">
        <f>IF(C748="","",C748&amp;"|"&amp;G748)</f>
        <v/>
      </c>
    </row>
    <row r="749">
      <c r="I749" t="str">
        <f>IF(C749="","",C749&amp;"|"&amp;G749)</f>
        <v/>
      </c>
    </row>
    <row r="750">
      <c r="I750" t="str">
        <f>IF(C750="","",C750&amp;"|"&amp;G750)</f>
        <v/>
      </c>
    </row>
    <row r="751">
      <c r="I751" t="str">
        <f>IF(C751="","",C751&amp;"|"&amp;G751)</f>
        <v/>
      </c>
    </row>
    <row r="752">
      <c r="I752" t="str">
        <f>IF(C752="","",C752&amp;"|"&amp;G752)</f>
        <v/>
      </c>
    </row>
    <row r="753">
      <c r="I753" t="str">
        <f>IF(C753="","",C753&amp;"|"&amp;G753)</f>
        <v/>
      </c>
    </row>
    <row r="754">
      <c r="I754" t="str">
        <f>IF(C754="","",C754&amp;"|"&amp;G754)</f>
        <v/>
      </c>
    </row>
    <row r="755">
      <c r="I755" t="str">
        <f>IF(C755="","",C755&amp;"|"&amp;G755)</f>
        <v/>
      </c>
    </row>
    <row r="756">
      <c r="I756" t="str">
        <f>IF(C756="","",C756&amp;"|"&amp;G756)</f>
        <v/>
      </c>
    </row>
    <row r="757">
      <c r="I757" t="str">
        <f>IF(C757="","",C757&amp;"|"&amp;G757)</f>
        <v/>
      </c>
    </row>
    <row r="758">
      <c r="I758" t="str">
        <f>IF(C758="","",C758&amp;"|"&amp;G758)</f>
        <v/>
      </c>
    </row>
    <row r="759">
      <c r="I759" t="str">
        <f>IF(C759="","",C759&amp;"|"&amp;G759)</f>
        <v/>
      </c>
    </row>
    <row r="760">
      <c r="I760" t="str">
        <f>IF(C760="","",C760&amp;"|"&amp;G760)</f>
        <v/>
      </c>
    </row>
    <row r="761">
      <c r="I761" t="str">
        <f>IF(C761="","",C761&amp;"|"&amp;G761)</f>
        <v/>
      </c>
    </row>
    <row r="762">
      <c r="I762" t="str">
        <f>IF(C762="","",C762&amp;"|"&amp;G762)</f>
        <v/>
      </c>
    </row>
    <row r="763">
      <c r="I763" t="str">
        <f>IF(C763="","",C763&amp;"|"&amp;G763)</f>
        <v/>
      </c>
    </row>
    <row r="764">
      <c r="I764" t="str">
        <f>IF(C764="","",C764&amp;"|"&amp;G764)</f>
        <v/>
      </c>
    </row>
    <row r="765">
      <c r="I765" t="str">
        <f>IF(C765="","",C765&amp;"|"&amp;G765)</f>
        <v/>
      </c>
    </row>
    <row r="766">
      <c r="I766" t="str">
        <f>IF(C766="","",C766&amp;"|"&amp;G766)</f>
        <v/>
      </c>
    </row>
    <row r="767">
      <c r="I767" t="str">
        <f>IF(C767="","",C767&amp;"|"&amp;G767)</f>
        <v/>
      </c>
    </row>
    <row r="768">
      <c r="I768" t="str">
        <f>IF(C768="","",C768&amp;"|"&amp;G768)</f>
        <v/>
      </c>
    </row>
    <row r="769">
      <c r="I769" t="str">
        <f>IF(C769="","",C769&amp;"|"&amp;G769)</f>
        <v/>
      </c>
    </row>
    <row r="770">
      <c r="I770" t="str">
        <f>IF(C770="","",C770&amp;"|"&amp;G770)</f>
        <v/>
      </c>
    </row>
    <row r="771">
      <c r="I771" t="str">
        <f>IF(C771="","",C771&amp;"|"&amp;G771)</f>
        <v/>
      </c>
    </row>
    <row r="772">
      <c r="I772" t="str">
        <f>IF(C772="","",C772&amp;"|"&amp;G772)</f>
        <v/>
      </c>
    </row>
    <row r="773">
      <c r="I773" t="str">
        <f>IF(C773="","",C773&amp;"|"&amp;G773)</f>
        <v/>
      </c>
    </row>
    <row r="774">
      <c r="I774" t="str">
        <f>IF(C774="","",C774&amp;"|"&amp;G774)</f>
        <v/>
      </c>
    </row>
    <row r="775">
      <c r="I775" t="str">
        <f>IF(C775="","",C775&amp;"|"&amp;G775)</f>
        <v/>
      </c>
    </row>
    <row r="776">
      <c r="I776" t="str">
        <f>IF(C776="","",C776&amp;"|"&amp;G776)</f>
        <v/>
      </c>
    </row>
    <row r="777">
      <c r="I777" t="str">
        <f>IF(C777="","",C777&amp;"|"&amp;G777)</f>
        <v/>
      </c>
    </row>
    <row r="778">
      <c r="I778" t="str">
        <f>IF(C778="","",C778&amp;"|"&amp;G778)</f>
        <v/>
      </c>
    </row>
    <row r="779">
      <c r="I779" t="str">
        <f>IF(C779="","",C779&amp;"|"&amp;G779)</f>
        <v/>
      </c>
    </row>
    <row r="780">
      <c r="I780" t="str">
        <f>IF(C780="","",C780&amp;"|"&amp;G780)</f>
        <v/>
      </c>
    </row>
    <row r="781">
      <c r="I781" t="str">
        <f>IF(C781="","",C781&amp;"|"&amp;G781)</f>
        <v/>
      </c>
    </row>
    <row r="782">
      <c r="I782" t="str">
        <f>IF(C782="","",C782&amp;"|"&amp;G782)</f>
        <v/>
      </c>
    </row>
    <row r="783">
      <c r="I783" t="str">
        <f>IF(C783="","",C783&amp;"|"&amp;G783)</f>
        <v/>
      </c>
    </row>
    <row r="784">
      <c r="I784" t="str">
        <f>IF(C784="","",C784&amp;"|"&amp;G784)</f>
        <v/>
      </c>
    </row>
    <row r="785">
      <c r="I785" t="str">
        <f>IF(C785="","",C785&amp;"|"&amp;G785)</f>
        <v/>
      </c>
    </row>
    <row r="786">
      <c r="I786" t="str">
        <f>IF(C786="","",C786&amp;"|"&amp;G786)</f>
        <v/>
      </c>
    </row>
    <row r="787">
      <c r="I787" t="str">
        <f>IF(C787="","",C787&amp;"|"&amp;G787)</f>
        <v/>
      </c>
    </row>
    <row r="788">
      <c r="I788" t="str">
        <f>IF(C788="","",C788&amp;"|"&amp;G788)</f>
        <v/>
      </c>
    </row>
    <row r="789">
      <c r="I789" t="str">
        <f>IF(C789="","",C789&amp;"|"&amp;G789)</f>
        <v/>
      </c>
    </row>
    <row r="790">
      <c r="I790" t="str">
        <f>IF(C790="","",C790&amp;"|"&amp;G790)</f>
        <v/>
      </c>
    </row>
    <row r="791">
      <c r="I791" t="str">
        <f>IF(C791="","",C791&amp;"|"&amp;G791)</f>
        <v/>
      </c>
    </row>
    <row r="792">
      <c r="I792" t="str">
        <f>IF(C792="","",C792&amp;"|"&amp;G792)</f>
        <v/>
      </c>
    </row>
    <row r="793">
      <c r="I793" t="str">
        <f>IF(C793="","",C793&amp;"|"&amp;G793)</f>
        <v/>
      </c>
    </row>
    <row r="794">
      <c r="I794" t="str">
        <f>IF(C794="","",C794&amp;"|"&amp;G794)</f>
        <v/>
      </c>
    </row>
    <row r="795">
      <c r="I795" t="str">
        <f>IF(C795="","",C795&amp;"|"&amp;G795)</f>
        <v/>
      </c>
    </row>
    <row r="796">
      <c r="I796" t="str">
        <f>IF(C796="","",C796&amp;"|"&amp;G796)</f>
        <v/>
      </c>
    </row>
    <row r="797">
      <c r="I797" t="str">
        <f>IF(C797="","",C797&amp;"|"&amp;G797)</f>
        <v/>
      </c>
    </row>
    <row r="798">
      <c r="I798" t="str">
        <f>IF(C798="","",C798&amp;"|"&amp;G798)</f>
        <v/>
      </c>
    </row>
    <row r="799">
      <c r="I799" t="str">
        <f>IF(C799="","",C799&amp;"|"&amp;G799)</f>
        <v/>
      </c>
    </row>
    <row r="800">
      <c r="I800" t="str">
        <f>IF(C800="","",C800&amp;"|"&amp;G800)</f>
        <v/>
      </c>
    </row>
    <row r="801">
      <c r="I801" t="str">
        <f>IF(C801="","",C801&amp;"|"&amp;G801)</f>
        <v/>
      </c>
    </row>
    <row r="802">
      <c r="I802" t="str">
        <f>IF(C802="","",C802&amp;"|"&amp;G802)</f>
        <v/>
      </c>
    </row>
    <row r="803">
      <c r="I803" t="str">
        <f>IF(C803="","",C803&amp;"|"&amp;G803)</f>
        <v/>
      </c>
    </row>
    <row r="804">
      <c r="I804" t="str">
        <f>IF(C804="","",C804&amp;"|"&amp;G804)</f>
        <v/>
      </c>
    </row>
    <row r="805">
      <c r="I805" t="str">
        <f>IF(C805="","",C805&amp;"|"&amp;G805)</f>
        <v/>
      </c>
    </row>
    <row r="806">
      <c r="I806" t="str">
        <f>IF(C806="","",C806&amp;"|"&amp;G806)</f>
        <v/>
      </c>
    </row>
    <row r="807">
      <c r="I807" t="str">
        <f>IF(C807="","",C807&amp;"|"&amp;G807)</f>
        <v/>
      </c>
    </row>
    <row r="808">
      <c r="I808" t="str">
        <f>IF(C808="","",C808&amp;"|"&amp;G808)</f>
        <v/>
      </c>
    </row>
    <row r="809">
      <c r="I809" t="str">
        <f>IF(C809="","",C809&amp;"|"&amp;G809)</f>
        <v/>
      </c>
    </row>
    <row r="810">
      <c r="I810" t="str">
        <f>IF(C810="","",C810&amp;"|"&amp;G810)</f>
        <v/>
      </c>
    </row>
    <row r="811">
      <c r="I811" t="str">
        <f>IF(C811="","",C811&amp;"|"&amp;G811)</f>
        <v/>
      </c>
    </row>
    <row r="812">
      <c r="I812" t="str">
        <f>IF(C812="","",C812&amp;"|"&amp;G812)</f>
        <v/>
      </c>
    </row>
    <row r="813">
      <c r="I813" t="str">
        <f>IF(C813="","",C813&amp;"|"&amp;G813)</f>
        <v/>
      </c>
    </row>
    <row r="814">
      <c r="I814" t="str">
        <f>IF(C814="","",C814&amp;"|"&amp;G814)</f>
        <v/>
      </c>
    </row>
    <row r="815">
      <c r="I815" t="str">
        <f>IF(C815="","",C815&amp;"|"&amp;G815)</f>
        <v/>
      </c>
    </row>
    <row r="816">
      <c r="I816" t="str">
        <f>IF(C816="","",C816&amp;"|"&amp;G816)</f>
        <v/>
      </c>
    </row>
    <row r="817">
      <c r="I817" t="str">
        <f>IF(C817="","",C817&amp;"|"&amp;G817)</f>
        <v/>
      </c>
    </row>
    <row r="818">
      <c r="I818" t="str">
        <f>IF(C818="","",C818&amp;"|"&amp;G818)</f>
        <v/>
      </c>
    </row>
    <row r="819">
      <c r="I819" t="str">
        <f>IF(C819="","",C819&amp;"|"&amp;G819)</f>
        <v/>
      </c>
    </row>
    <row r="820">
      <c r="I820" t="str">
        <f>IF(C820="","",C820&amp;"|"&amp;G820)</f>
        <v/>
      </c>
    </row>
    <row r="821">
      <c r="I821" t="str">
        <f>IF(C821="","",C821&amp;"|"&amp;G821)</f>
        <v/>
      </c>
    </row>
    <row r="822">
      <c r="I822" t="str">
        <f>IF(C822="","",C822&amp;"|"&amp;G822)</f>
        <v/>
      </c>
    </row>
    <row r="823">
      <c r="I823" t="str">
        <f>IF(C823="","",C823&amp;"|"&amp;G823)</f>
        <v/>
      </c>
    </row>
    <row r="824">
      <c r="I824" t="str">
        <f>IF(C824="","",C824&amp;"|"&amp;G824)</f>
        <v/>
      </c>
    </row>
    <row r="825">
      <c r="I825" t="str">
        <f>IF(C825="","",C825&amp;"|"&amp;G825)</f>
        <v/>
      </c>
    </row>
    <row r="826">
      <c r="I826" t="str">
        <f>IF(C826="","",C826&amp;"|"&amp;G826)</f>
        <v/>
      </c>
    </row>
    <row r="827">
      <c r="I827" t="str">
        <f>IF(C827="","",C827&amp;"|"&amp;G827)</f>
        <v/>
      </c>
    </row>
    <row r="828">
      <c r="I828" t="str">
        <f>IF(C828="","",C828&amp;"|"&amp;G828)</f>
        <v/>
      </c>
    </row>
    <row r="829">
      <c r="I829" t="str">
        <f>IF(C829="","",C829&amp;"|"&amp;G829)</f>
        <v/>
      </c>
    </row>
    <row r="830">
      <c r="I830" t="str">
        <f>IF(C830="","",C830&amp;"|"&amp;G830)</f>
        <v/>
      </c>
    </row>
    <row r="831">
      <c r="I831" t="str">
        <f>IF(C831="","",C831&amp;"|"&amp;G831)</f>
        <v/>
      </c>
    </row>
    <row r="832">
      <c r="I832" t="str">
        <f>IF(C832="","",C832&amp;"|"&amp;G832)</f>
        <v/>
      </c>
    </row>
    <row r="833">
      <c r="I833" t="str">
        <f>IF(C833="","",C833&amp;"|"&amp;G833)</f>
        <v/>
      </c>
    </row>
    <row r="834">
      <c r="I834" t="str">
        <f>IF(C834="","",C834&amp;"|"&amp;G834)</f>
        <v/>
      </c>
    </row>
    <row r="835">
      <c r="I835" t="str">
        <f>IF(C835="","",C835&amp;"|"&amp;G835)</f>
        <v/>
      </c>
    </row>
    <row r="836">
      <c r="I836" t="str">
        <f>IF(C836="","",C836&amp;"|"&amp;G836)</f>
        <v/>
      </c>
    </row>
    <row r="837">
      <c r="I837" t="str">
        <f>IF(C837="","",C837&amp;"|"&amp;G837)</f>
        <v/>
      </c>
    </row>
    <row r="838">
      <c r="I838" t="str">
        <f>IF(C838="","",C838&amp;"|"&amp;G838)</f>
        <v/>
      </c>
    </row>
    <row r="839">
      <c r="I839" t="str">
        <f>IF(C839="","",C839&amp;"|"&amp;G839)</f>
        <v/>
      </c>
    </row>
    <row r="840">
      <c r="I840" t="str">
        <f>IF(C840="","",C840&amp;"|"&amp;G840)</f>
        <v/>
      </c>
    </row>
    <row r="841">
      <c r="I841" t="str">
        <f>IF(C841="","",C841&amp;"|"&amp;G841)</f>
        <v/>
      </c>
    </row>
    <row r="842">
      <c r="I842" t="str">
        <f>IF(C842="","",C842&amp;"|"&amp;G842)</f>
        <v/>
      </c>
    </row>
    <row r="843">
      <c r="I843" t="str">
        <f>IF(C843="","",C843&amp;"|"&amp;G843)</f>
        <v/>
      </c>
    </row>
    <row r="844">
      <c r="I844" t="str">
        <f>IF(C844="","",C844&amp;"|"&amp;G844)</f>
        <v/>
      </c>
    </row>
    <row r="845">
      <c r="I845" t="str">
        <f>IF(C845="","",C845&amp;"|"&amp;G845)</f>
        <v/>
      </c>
    </row>
    <row r="846">
      <c r="I846" t="str">
        <f>IF(C846="","",C846&amp;"|"&amp;G846)</f>
        <v/>
      </c>
    </row>
    <row r="847">
      <c r="I847" t="str">
        <f>IF(C847="","",C847&amp;"|"&amp;G847)</f>
        <v/>
      </c>
    </row>
    <row r="848">
      <c r="I848" t="str">
        <f>IF(C848="","",C848&amp;"|"&amp;G848)</f>
        <v/>
      </c>
    </row>
    <row r="849">
      <c r="I849" t="str">
        <f>IF(C849="","",C849&amp;"|"&amp;G849)</f>
        <v/>
      </c>
    </row>
    <row r="850">
      <c r="I850" t="str">
        <f>IF(C850="","",C850&amp;"|"&amp;G850)</f>
        <v/>
      </c>
    </row>
    <row r="851">
      <c r="I851" t="str">
        <f>IF(C851="","",C851&amp;"|"&amp;G851)</f>
        <v/>
      </c>
    </row>
    <row r="852">
      <c r="I852" t="str">
        <f>IF(C852="","",C852&amp;"|"&amp;G852)</f>
        <v/>
      </c>
    </row>
    <row r="853">
      <c r="I853" t="str">
        <f>IF(C853="","",C853&amp;"|"&amp;G853)</f>
        <v/>
      </c>
    </row>
    <row r="854">
      <c r="I854" t="str">
        <f>IF(C854="","",C854&amp;"|"&amp;G854)</f>
        <v/>
      </c>
    </row>
    <row r="855">
      <c r="I855" t="str">
        <f>IF(C855="","",C855&amp;"|"&amp;G855)</f>
        <v/>
      </c>
    </row>
    <row r="856">
      <c r="I856" t="str">
        <f>IF(C856="","",C856&amp;"|"&amp;G856)</f>
        <v/>
      </c>
    </row>
    <row r="857">
      <c r="I857" t="str">
        <f>IF(C857="","",C857&amp;"|"&amp;G857)</f>
        <v/>
      </c>
    </row>
    <row r="858">
      <c r="I858" t="str">
        <f>IF(C858="","",C858&amp;"|"&amp;G858)</f>
        <v/>
      </c>
    </row>
    <row r="859">
      <c r="I859" t="str">
        <f>IF(C859="","",C859&amp;"|"&amp;G859)</f>
        <v/>
      </c>
    </row>
    <row r="860">
      <c r="I860" t="str">
        <f>IF(C860="","",C860&amp;"|"&amp;G860)</f>
        <v/>
      </c>
    </row>
    <row r="861">
      <c r="I861" t="str">
        <f>IF(C861="","",C861&amp;"|"&amp;G861)</f>
        <v/>
      </c>
    </row>
    <row r="862">
      <c r="I862" t="str">
        <f>IF(C862="","",C862&amp;"|"&amp;G862)</f>
        <v/>
      </c>
    </row>
    <row r="863">
      <c r="I863" t="str">
        <f>IF(C863="","",C863&amp;"|"&amp;G863)</f>
        <v/>
      </c>
    </row>
    <row r="864">
      <c r="I864" t="str">
        <f>IF(C864="","",C864&amp;"|"&amp;G864)</f>
        <v/>
      </c>
    </row>
    <row r="865">
      <c r="I865" t="str">
        <f>IF(C865="","",C865&amp;"|"&amp;G865)</f>
        <v/>
      </c>
    </row>
    <row r="866">
      <c r="I866" t="str">
        <f>IF(C866="","",C866&amp;"|"&amp;G866)</f>
        <v/>
      </c>
    </row>
    <row r="867">
      <c r="I867" t="str">
        <f>IF(C867="","",C867&amp;"|"&amp;G867)</f>
        <v/>
      </c>
    </row>
    <row r="868">
      <c r="I868" t="str">
        <f>IF(C868="","",C868&amp;"|"&amp;G868)</f>
        <v/>
      </c>
    </row>
    <row r="869">
      <c r="I869" t="str">
        <f>IF(C869="","",C869&amp;"|"&amp;G869)</f>
        <v/>
      </c>
    </row>
    <row r="870">
      <c r="I870" t="str">
        <f>IF(C870="","",C870&amp;"|"&amp;G870)</f>
        <v/>
      </c>
    </row>
    <row r="871">
      <c r="I871" t="str">
        <f>IF(C871="","",C871&amp;"|"&amp;G871)</f>
        <v/>
      </c>
    </row>
    <row r="872">
      <c r="I872" t="str">
        <f>IF(C872="","",C872&amp;"|"&amp;G872)</f>
        <v/>
      </c>
    </row>
    <row r="873">
      <c r="I873" t="str">
        <f>IF(C873="","",C873&amp;"|"&amp;G873)</f>
        <v/>
      </c>
    </row>
    <row r="874">
      <c r="I874" t="str">
        <f>IF(C874="","",C874&amp;"|"&amp;G874)</f>
        <v/>
      </c>
    </row>
    <row r="875">
      <c r="I875" t="str">
        <f>IF(C875="","",C875&amp;"|"&amp;G875)</f>
        <v/>
      </c>
    </row>
    <row r="876">
      <c r="I876" t="str">
        <f>IF(C876="","",C876&amp;"|"&amp;G876)</f>
        <v/>
      </c>
    </row>
    <row r="877">
      <c r="I877" t="str">
        <f>IF(C877="","",C877&amp;"|"&amp;G877)</f>
        <v/>
      </c>
    </row>
    <row r="878">
      <c r="I878" t="str">
        <f>IF(C878="","",C878&amp;"|"&amp;G878)</f>
        <v/>
      </c>
    </row>
    <row r="879">
      <c r="I879" t="str">
        <f>IF(C879="","",C879&amp;"|"&amp;G879)</f>
        <v/>
      </c>
    </row>
    <row r="880">
      <c r="I880" t="str">
        <f>IF(C880="","",C880&amp;"|"&amp;G880)</f>
        <v/>
      </c>
    </row>
    <row r="881">
      <c r="I881" t="str">
        <f>IF(C881="","",C881&amp;"|"&amp;G881)</f>
        <v/>
      </c>
    </row>
    <row r="882">
      <c r="I882" t="str">
        <f>IF(C882="","",C882&amp;"|"&amp;G882)</f>
        <v/>
      </c>
    </row>
    <row r="883">
      <c r="I883" t="str">
        <f>IF(C883="","",C883&amp;"|"&amp;G883)</f>
        <v/>
      </c>
    </row>
    <row r="884">
      <c r="I884" t="str">
        <f>IF(C884="","",C884&amp;"|"&amp;G884)</f>
        <v/>
      </c>
    </row>
    <row r="885">
      <c r="I885" t="str">
        <f>IF(C885="","",C885&amp;"|"&amp;G885)</f>
        <v/>
      </c>
    </row>
    <row r="886">
      <c r="I886" t="str">
        <f>IF(C886="","",C886&amp;"|"&amp;G886)</f>
        <v/>
      </c>
    </row>
    <row r="887">
      <c r="I887" t="str">
        <f>IF(C887="","",C887&amp;"|"&amp;G887)</f>
        <v/>
      </c>
    </row>
    <row r="888">
      <c r="I888" t="str">
        <f>IF(C888="","",C888&amp;"|"&amp;G888)</f>
        <v/>
      </c>
    </row>
    <row r="889">
      <c r="I889" t="str">
        <f>IF(C889="","",C889&amp;"|"&amp;G889)</f>
        <v/>
      </c>
    </row>
    <row r="890">
      <c r="I890" t="str">
        <f>IF(C890="","",C890&amp;"|"&amp;G890)</f>
        <v/>
      </c>
    </row>
    <row r="891">
      <c r="I891" t="str">
        <f>IF(C891="","",C891&amp;"|"&amp;G891)</f>
        <v/>
      </c>
    </row>
    <row r="892">
      <c r="I892" t="str">
        <f>IF(C892="","",C892&amp;"|"&amp;G892)</f>
        <v/>
      </c>
    </row>
    <row r="893">
      <c r="I893" t="str">
        <f>IF(C893="","",C893&amp;"|"&amp;G893)</f>
        <v/>
      </c>
    </row>
    <row r="894">
      <c r="I894" t="str">
        <f>IF(C894="","",C894&amp;"|"&amp;G894)</f>
        <v/>
      </c>
    </row>
    <row r="895">
      <c r="I895" t="str">
        <f>IF(C895="","",C895&amp;"|"&amp;G895)</f>
        <v/>
      </c>
    </row>
    <row r="896">
      <c r="I896" t="str">
        <f>IF(C896="","",C896&amp;"|"&amp;G896)</f>
        <v/>
      </c>
    </row>
    <row r="897">
      <c r="I897" t="str">
        <f>IF(C897="","",C897&amp;"|"&amp;G897)</f>
        <v/>
      </c>
    </row>
    <row r="898">
      <c r="I898" t="str">
        <f>IF(C898="","",C898&amp;"|"&amp;G898)</f>
        <v/>
      </c>
    </row>
    <row r="899">
      <c r="I899" t="str">
        <f>IF(C899="","",C899&amp;"|"&amp;G899)</f>
        <v/>
      </c>
    </row>
    <row r="900">
      <c r="I900" t="str">
        <f>IF(C900="","",C900&amp;"|"&amp;G900)</f>
        <v/>
      </c>
    </row>
    <row r="901">
      <c r="I901" t="str">
        <f>IF(C901="","",C901&amp;"|"&amp;G901)</f>
        <v/>
      </c>
    </row>
    <row r="902">
      <c r="I902" t="str">
        <f>IF(C902="","",C902&amp;"|"&amp;G902)</f>
        <v/>
      </c>
    </row>
    <row r="903">
      <c r="I903" t="str">
        <f>IF(C903="","",C903&amp;"|"&amp;G903)</f>
        <v/>
      </c>
    </row>
    <row r="904">
      <c r="I904" t="str">
        <f>IF(C904="","",C904&amp;"|"&amp;G904)</f>
        <v/>
      </c>
    </row>
    <row r="905">
      <c r="I905" t="str">
        <f>IF(C905="","",C905&amp;"|"&amp;G905)</f>
        <v/>
      </c>
    </row>
    <row r="906">
      <c r="I906" t="str">
        <f>IF(C906="","",C906&amp;"|"&amp;G906)</f>
        <v/>
      </c>
    </row>
    <row r="907">
      <c r="I907" t="str">
        <f>IF(C907="","",C907&amp;"|"&amp;G907)</f>
        <v/>
      </c>
    </row>
    <row r="908">
      <c r="I908" t="str">
        <f>IF(C908="","",C908&amp;"|"&amp;G908)</f>
        <v/>
      </c>
    </row>
    <row r="909">
      <c r="I909" t="str">
        <f>IF(C909="","",C909&amp;"|"&amp;G909)</f>
        <v/>
      </c>
    </row>
    <row r="910">
      <c r="I910" t="str">
        <f>IF(C910="","",C910&amp;"|"&amp;G910)</f>
        <v/>
      </c>
    </row>
    <row r="911">
      <c r="I911" t="str">
        <f>IF(C911="","",C911&amp;"|"&amp;G911)</f>
        <v/>
      </c>
    </row>
    <row r="912">
      <c r="I912" t="str">
        <f>IF(C912="","",C912&amp;"|"&amp;G912)</f>
        <v/>
      </c>
    </row>
    <row r="913">
      <c r="I913" t="str">
        <f>IF(C913="","",C913&amp;"|"&amp;G913)</f>
        <v/>
      </c>
    </row>
    <row r="914">
      <c r="I914" t="str">
        <f>IF(C914="","",C914&amp;"|"&amp;G914)</f>
        <v/>
      </c>
    </row>
    <row r="915">
      <c r="I915" t="str">
        <f>IF(C915="","",C915&amp;"|"&amp;G915)</f>
        <v/>
      </c>
    </row>
    <row r="916">
      <c r="I916" t="str">
        <f>IF(C916="","",C916&amp;"|"&amp;G916)</f>
        <v/>
      </c>
    </row>
    <row r="917">
      <c r="I917" t="str">
        <f>IF(C917="","",C917&amp;"|"&amp;G917)</f>
        <v/>
      </c>
    </row>
    <row r="918">
      <c r="I918" t="str">
        <f>IF(C918="","",C918&amp;"|"&amp;G918)</f>
        <v/>
      </c>
    </row>
    <row r="919">
      <c r="I919" t="str">
        <f>IF(C919="","",C919&amp;"|"&amp;G919)</f>
        <v/>
      </c>
    </row>
    <row r="920">
      <c r="I920" t="str">
        <f>IF(C920="","",C920&amp;"|"&amp;G920)</f>
        <v/>
      </c>
    </row>
    <row r="921">
      <c r="I921" t="str">
        <f>IF(C921="","",C921&amp;"|"&amp;G921)</f>
        <v/>
      </c>
    </row>
    <row r="922">
      <c r="I922" t="str">
        <f>IF(C922="","",C922&amp;"|"&amp;G922)</f>
        <v/>
      </c>
    </row>
    <row r="923">
      <c r="I923" t="str">
        <f>IF(C923="","",C923&amp;"|"&amp;G923)</f>
        <v/>
      </c>
    </row>
    <row r="924">
      <c r="I924" t="str">
        <f>IF(C924="","",C924&amp;"|"&amp;G924)</f>
        <v/>
      </c>
    </row>
    <row r="925">
      <c r="I925" t="str">
        <f>IF(C925="","",C925&amp;"|"&amp;G925)</f>
        <v/>
      </c>
    </row>
    <row r="926">
      <c r="I926" t="str">
        <f>IF(C926="","",C926&amp;"|"&amp;G926)</f>
        <v/>
      </c>
    </row>
    <row r="927">
      <c r="I927" t="str">
        <f>IF(C927="","",C927&amp;"|"&amp;G927)</f>
        <v/>
      </c>
    </row>
    <row r="928">
      <c r="I928" t="str">
        <f>IF(C928="","",C928&amp;"|"&amp;G928)</f>
        <v/>
      </c>
    </row>
    <row r="929">
      <c r="I929" t="str">
        <f>IF(C929="","",C929&amp;"|"&amp;G929)</f>
        <v/>
      </c>
    </row>
    <row r="930">
      <c r="I930" t="str">
        <f>IF(C930="","",C930&amp;"|"&amp;G930)</f>
        <v/>
      </c>
    </row>
    <row r="931">
      <c r="I931" t="str">
        <f>IF(C931="","",C931&amp;"|"&amp;G931)</f>
        <v/>
      </c>
    </row>
    <row r="932">
      <c r="I932" t="str">
        <f>IF(C932="","",C932&amp;"|"&amp;G932)</f>
        <v/>
      </c>
    </row>
    <row r="933">
      <c r="I933" t="str">
        <f>IF(C933="","",C933&amp;"|"&amp;G933)</f>
        <v/>
      </c>
    </row>
    <row r="934">
      <c r="I934" t="str">
        <f>IF(C934="","",C934&amp;"|"&amp;G934)</f>
        <v/>
      </c>
    </row>
    <row r="935">
      <c r="I935" t="str">
        <f>IF(C935="","",C935&amp;"|"&amp;G935)</f>
        <v/>
      </c>
    </row>
    <row r="936">
      <c r="I936" t="str">
        <f>IF(C936="","",C936&amp;"|"&amp;G936)</f>
        <v/>
      </c>
    </row>
    <row r="937">
      <c r="I937" t="str">
        <f>IF(C937="","",C937&amp;"|"&amp;G937)</f>
        <v/>
      </c>
    </row>
    <row r="938">
      <c r="I938" t="str">
        <f>IF(C938="","",C938&amp;"|"&amp;G938)</f>
        <v/>
      </c>
    </row>
    <row r="939">
      <c r="I939" t="str">
        <f>IF(C939="","",C939&amp;"|"&amp;G939)</f>
        <v/>
      </c>
    </row>
    <row r="940">
      <c r="I940" t="str">
        <f>IF(C940="","",C940&amp;"|"&amp;G940)</f>
        <v/>
      </c>
    </row>
    <row r="941">
      <c r="I941" t="str">
        <f>IF(C941="","",C941&amp;"|"&amp;G941)</f>
        <v/>
      </c>
    </row>
    <row r="942">
      <c r="I942" t="str">
        <f>IF(C942="","",C942&amp;"|"&amp;G942)</f>
        <v/>
      </c>
    </row>
    <row r="943">
      <c r="I943" t="str">
        <f>IF(C943="","",C943&amp;"|"&amp;G943)</f>
        <v/>
      </c>
    </row>
    <row r="944">
      <c r="I944" t="str">
        <f>IF(C944="","",C944&amp;"|"&amp;G944)</f>
        <v/>
      </c>
    </row>
    <row r="945">
      <c r="I945" t="str">
        <f>IF(C945="","",C945&amp;"|"&amp;G945)</f>
        <v/>
      </c>
    </row>
    <row r="946">
      <c r="I946" t="str">
        <f>IF(C946="","",C946&amp;"|"&amp;G946)</f>
        <v/>
      </c>
    </row>
    <row r="947">
      <c r="I947" t="str">
        <f>IF(C947="","",C947&amp;"|"&amp;G947)</f>
        <v/>
      </c>
    </row>
    <row r="948">
      <c r="I948" t="str">
        <f>IF(C948="","",C948&amp;"|"&amp;G948)</f>
        <v/>
      </c>
    </row>
    <row r="949">
      <c r="I949" t="str">
        <f>IF(C949="","",C949&amp;"|"&amp;G949)</f>
        <v/>
      </c>
    </row>
    <row r="950">
      <c r="I950" t="str">
        <f>IF(C950="","",C950&amp;"|"&amp;G950)</f>
        <v/>
      </c>
    </row>
    <row r="951">
      <c r="I951" t="str">
        <f>IF(C951="","",C951&amp;"|"&amp;G951)</f>
        <v/>
      </c>
    </row>
    <row r="952">
      <c r="I952" t="str">
        <f>IF(C952="","",C952&amp;"|"&amp;G952)</f>
        <v/>
      </c>
    </row>
    <row r="953">
      <c r="I953" t="str">
        <f>IF(C953="","",C953&amp;"|"&amp;G953)</f>
        <v/>
      </c>
    </row>
    <row r="954">
      <c r="I954" t="str">
        <f>IF(C954="","",C954&amp;"|"&amp;G954)</f>
        <v/>
      </c>
    </row>
    <row r="955">
      <c r="I955" t="str">
        <f>IF(C955="","",C955&amp;"|"&amp;G955)</f>
        <v/>
      </c>
    </row>
    <row r="956">
      <c r="I956" t="str">
        <f>IF(C956="","",C956&amp;"|"&amp;G956)</f>
        <v/>
      </c>
    </row>
    <row r="957">
      <c r="I957" t="str">
        <f>IF(C957="","",C957&amp;"|"&amp;G957)</f>
        <v/>
      </c>
    </row>
    <row r="958">
      <c r="I958" t="str">
        <f>IF(C958="","",C958&amp;"|"&amp;G958)</f>
        <v/>
      </c>
    </row>
    <row r="959">
      <c r="I959" t="str">
        <f>IF(C959="","",C959&amp;"|"&amp;G959)</f>
        <v/>
      </c>
    </row>
    <row r="960">
      <c r="I960" t="str">
        <f>IF(C960="","",C960&amp;"|"&amp;G960)</f>
        <v/>
      </c>
    </row>
    <row r="961">
      <c r="I961" t="str">
        <f>IF(C961="","",C961&amp;"|"&amp;G961)</f>
        <v/>
      </c>
    </row>
    <row r="962">
      <c r="I962" t="str">
        <f>IF(C962="","",C962&amp;"|"&amp;G962)</f>
        <v/>
      </c>
    </row>
    <row r="963">
      <c r="I963" t="str">
        <f>IF(C963="","",C963&amp;"|"&amp;G963)</f>
        <v/>
      </c>
    </row>
    <row r="964">
      <c r="I964" t="str">
        <f>IF(C964="","",C964&amp;"|"&amp;G964)</f>
        <v/>
      </c>
    </row>
    <row r="965">
      <c r="I965" t="str">
        <f>IF(C965="","",C965&amp;"|"&amp;G965)</f>
        <v/>
      </c>
    </row>
    <row r="966">
      <c r="I966" t="str">
        <f>IF(C966="","",C966&amp;"|"&amp;G966)</f>
        <v/>
      </c>
    </row>
    <row r="967">
      <c r="I967" t="str">
        <f>IF(C967="","",C967&amp;"|"&amp;G967)</f>
        <v/>
      </c>
    </row>
    <row r="968">
      <c r="I968" t="str">
        <f>IF(C968="","",C968&amp;"|"&amp;G968)</f>
        <v/>
      </c>
    </row>
    <row r="969">
      <c r="I969" t="str">
        <f>IF(C969="","",C969&amp;"|"&amp;G969)</f>
        <v/>
      </c>
    </row>
    <row r="970">
      <c r="I970" t="str">
        <f>IF(C970="","",C970&amp;"|"&amp;G970)</f>
        <v/>
      </c>
    </row>
    <row r="971">
      <c r="I971" t="str">
        <f>IF(C971="","",C971&amp;"|"&amp;G971)</f>
        <v/>
      </c>
    </row>
    <row r="972">
      <c r="I972" t="str">
        <f>IF(C972="","",C972&amp;"|"&amp;G972)</f>
        <v/>
      </c>
    </row>
    <row r="973">
      <c r="I973" t="str">
        <f>IF(C973="","",C973&amp;"|"&amp;G973)</f>
        <v/>
      </c>
    </row>
    <row r="974">
      <c r="I974" t="str">
        <f>IF(C974="","",C974&amp;"|"&amp;G974)</f>
        <v/>
      </c>
    </row>
    <row r="975">
      <c r="I975" t="str">
        <f>IF(C975="","",C975&amp;"|"&amp;G975)</f>
        <v/>
      </c>
    </row>
    <row r="976">
      <c r="I976" t="str">
        <f>IF(C976="","",C976&amp;"|"&amp;G976)</f>
        <v/>
      </c>
    </row>
    <row r="977">
      <c r="I977" t="str">
        <f>IF(C977="","",C977&amp;"|"&amp;G977)</f>
        <v/>
      </c>
    </row>
    <row r="978">
      <c r="I978" t="str">
        <f>IF(C978="","",C978&amp;"|"&amp;G978)</f>
        <v/>
      </c>
    </row>
    <row r="979">
      <c r="I979" t="str">
        <f>IF(C979="","",C979&amp;"|"&amp;G979)</f>
        <v/>
      </c>
    </row>
    <row r="980">
      <c r="I980" t="str">
        <f>IF(C980="","",C980&amp;"|"&amp;G980)</f>
        <v/>
      </c>
    </row>
    <row r="981">
      <c r="I981" t="str">
        <f>IF(C981="","",C981&amp;"|"&amp;G981)</f>
        <v/>
      </c>
    </row>
    <row r="982">
      <c r="I982" t="str">
        <f>IF(C982="","",C982&amp;"|"&amp;G982)</f>
        <v/>
      </c>
    </row>
    <row r="983">
      <c r="I983" t="str">
        <f>IF(C983="","",C983&amp;"|"&amp;G983)</f>
        <v/>
      </c>
    </row>
    <row r="984">
      <c r="I984" t="str">
        <f>IF(C984="","",C984&amp;"|"&amp;G984)</f>
        <v/>
      </c>
    </row>
    <row r="985">
      <c r="I985" t="str">
        <f>IF(C985="","",C985&amp;"|"&amp;G985)</f>
        <v/>
      </c>
    </row>
    <row r="986">
      <c r="I986" t="str">
        <f>IF(C986="","",C986&amp;"|"&amp;G986)</f>
        <v/>
      </c>
    </row>
    <row r="987">
      <c r="I987" t="str">
        <f>IF(C987="","",C987&amp;"|"&amp;G987)</f>
        <v/>
      </c>
    </row>
    <row r="988">
      <c r="I988" t="str">
        <f>IF(C988="","",C988&amp;"|"&amp;G988)</f>
        <v/>
      </c>
    </row>
    <row r="989">
      <c r="I989" t="str">
        <f>IF(C989="","",C989&amp;"|"&amp;G989)</f>
        <v/>
      </c>
    </row>
    <row r="990">
      <c r="I990" t="str">
        <f>IF(C990="","",C990&amp;"|"&amp;G990)</f>
        <v/>
      </c>
    </row>
    <row r="991">
      <c r="I991" t="str">
        <f>IF(C991="","",C991&amp;"|"&amp;G991)</f>
        <v/>
      </c>
    </row>
    <row r="992">
      <c r="I992" t="str">
        <f>IF(C992="","",C992&amp;"|"&amp;G992)</f>
        <v/>
      </c>
    </row>
    <row r="993">
      <c r="I993" t="str">
        <f>IF(C993="","",C993&amp;"|"&amp;G993)</f>
        <v/>
      </c>
    </row>
    <row r="994">
      <c r="I994" t="str">
        <f>IF(C994="","",C994&amp;"|"&amp;G994)</f>
        <v/>
      </c>
    </row>
    <row r="995">
      <c r="I995" t="str">
        <f>IF(C995="","",C995&amp;"|"&amp;G995)</f>
        <v/>
      </c>
    </row>
    <row r="996">
      <c r="I996" t="str">
        <f>IF(C996="","",C996&amp;"|"&amp;G996)</f>
        <v/>
      </c>
    </row>
    <row r="997">
      <c r="I997" t="str">
        <f>IF(C997="","",C997&amp;"|"&amp;G997)</f>
        <v/>
      </c>
    </row>
    <row r="998">
      <c r="I998" t="str">
        <f>IF(C998="","",C998&amp;"|"&amp;G998)</f>
        <v/>
      </c>
    </row>
    <row r="999">
      <c r="I999" t="str">
        <f>IF(C999="","",C999&amp;"|"&amp;G999)</f>
        <v/>
      </c>
    </row>
    <row r="1000">
      <c r="I1000" t="str">
        <f>IF(C1000="","",C1000&amp;"|"&amp;G1000)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7"/>
  <sheetViews>
    <sheetView showGridLines="1" tabSelected="0" workbookViewId="0">
      <pane xSplit="2" ySplit="4" topLeftCell="C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44" customWidth="1" min="3" max="3"/>
    <col width="32" customWidth="1" min="4" max="4"/>
    <col width="40" customWidth="1" min="5" max="5"/>
    <col width="15" customWidth="1" min="6" max="6"/>
    <col width="19" customWidth="1" min="7" max="7"/>
    <col width="19" customWidth="1" min="8" max="8"/>
    <col width="13" customWidth="1" min="9" max="9"/>
    <col width="9" customWidth="1" min="10" max="10"/>
    <col width="13" customWidth="1" min="11" max="11"/>
    <col width="12" customWidth="1" min="12" max="12"/>
  </cols>
  <sheetData>
    <row r="1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  <c r="L4" s="3" t="inlineStr">
        <is>
          <t>N° de intentos</t>
        </is>
      </c>
    </row>
    <row r="5">
      <c r="A5" s="4" t="str">
        <f>'Base Oficial'!A5</f>
        <v>977</v>
      </c>
      <c r="B5" s="6" t="str">
        <f>'Base Oficial'!B5</f>
        <v>NELSON ULISES CAMPOS FLORES </v>
      </c>
      <c r="C5" s="6" t="str">
        <f>'Base Oficial'!F5</f>
        <v>GERENCIA GENERAL</v>
      </c>
      <c r="D5" s="6" t="str">
        <f>'Base Oficial'!G5</f>
        <v>Gerencia General</v>
      </c>
      <c r="E5" s="6" t="str">
        <f>'Base Oficial'!D5</f>
        <v>GERENTE GENERAL</v>
      </c>
      <c r="F5" s="4" t="str">
        <f>IF(COUNTIFS('Base Exámenes'!$C$5:$C$1000, A5, 'Base Exámenes'!$E$5:$E$1000, "&lt;&gt;")&gt;0, "Completado", "Pendiente")</f>
        <v>Pendiente</v>
      </c>
      <c r="G5" s="27" t="str">
        <f>IFERROR(INDEX('Base Exámenes'!$D$5:$D$1000, MATCH(A5&amp;"|"&amp;J5, 'Base Exámenes'!$I$5:$I$1000, 0)), "")</f>
        <v/>
      </c>
      <c r="H5" s="27" t="str">
        <f>IFERROR(INDEX('Base Exámenes'!$E$5:$E$1000, MATCH(A5&amp;"|"&amp;J5, 'Base Exámenes'!$I$5:$I$1000, 0)), "")</f>
        <v/>
      </c>
      <c r="I5" s="26" t="str">
        <f>IFERROR(INDEX('Base Exámenes'!$F$5:$F$1000, MATCH(A5&amp;"|"&amp;J5, 'Base Exámenes'!$I$5:$I$1000, 0)), "")</f>
        <v/>
      </c>
      <c r="J5" s="6" t="str">
        <f>IF(F5="Completado", _xlfn.MAXIFS('Base Exámenes'!$G$5:$G$1000, 'Base Exámenes'!$C$5:$C$1000, A5), "")</f>
        <v/>
      </c>
      <c r="K5" s="6" t="str">
        <f>IFERROR(INDEX('Base Exámenes'!$H$5:$H$1000, MATCH(A5&amp;"|"&amp;J5, 'Base Exámenes'!$I$5:$I$1000, 0)), "anonymous")</f>
        <v>anonymous</v>
      </c>
      <c r="L5" s="95">
        <f>COUNTIF('Base Exámenes'!$C$5:$C$1000, A5)</f>
        <v>0</v>
      </c>
    </row>
    <row r="6">
      <c r="A6" s="4" t="str">
        <f>'Base Oficial'!A6</f>
        <v>349</v>
      </c>
      <c r="B6" s="6" t="str">
        <f>'Base Oficial'!B6</f>
        <v>CARLA EUGENIA HERNANDEZ MENJIVAR</v>
      </c>
      <c r="C6" s="6" t="str">
        <f>'Base Oficial'!F6</f>
        <v>GERENCIA  ADMINISTRATIVA</v>
      </c>
      <c r="D6" s="6" t="str">
        <f>'Base Oficial'!G6</f>
        <v>Gerencia Administrativa</v>
      </c>
      <c r="E6" s="6" t="str">
        <f>'Base Oficial'!D6</f>
        <v>GERENTE  ADMINISTRATIVA</v>
      </c>
      <c r="F6" s="4" t="str">
        <f>IF(COUNTIFS('Base Exámenes'!$C$5:$C$1000, A6, 'Base Exámenes'!$E$5:$E$1000, "&lt;&gt;")&gt;0, "Completado", "Pendiente")</f>
        <v>Completado</v>
      </c>
      <c r="G6" s="27">
        <f>IFERROR(INDEX('Base Exámenes'!$D$5:$D$1000, MATCH(A6&amp;"|"&amp;J6, 'Base Exámenes'!$I$5:$I$1000, 0)), "")</f>
        <v>46297.636770833335</v>
      </c>
      <c r="H6" s="27">
        <f>IFERROR(INDEX('Base Exámenes'!$E$5:$E$1000, MATCH(A6&amp;"|"&amp;J6, 'Base Exámenes'!$I$5:$I$1000, 0)), "")</f>
        <v>46297.63836805556</v>
      </c>
      <c r="I6" s="26">
        <f>IFERROR(INDEX('Base Exámenes'!$F$5:$F$1000, MATCH(A6&amp;"|"&amp;J6, 'Base Exámenes'!$I$5:$I$1000, 0)), "")</f>
        <v>2.3</v>
      </c>
      <c r="J6" s="6">
        <f>IF(F6="Completado", _xlfn.MAXIFS('Base Exámenes'!$G$5:$G$1000, 'Base Exámenes'!$C$5:$C$1000, A6), "")</f>
        <v>100</v>
      </c>
      <c r="K6" s="6" t="str">
        <f>IFERROR(INDEX('Base Exámenes'!$H$5:$H$1000, MATCH(A6&amp;"|"&amp;J6, 'Base Exámenes'!$I$5:$I$1000, 0)), "anonymous")</f>
        <v>anonymous</v>
      </c>
      <c r="L6" s="95">
        <f>COUNTIF('Base Exámenes'!$C$5:$C$1000, A6)</f>
        <v>1</v>
      </c>
    </row>
    <row r="7">
      <c r="A7" s="4" t="str">
        <f>'Base Oficial'!A7</f>
        <v>41</v>
      </c>
      <c r="B7" s="6" t="str">
        <f>'Base Oficial'!B7</f>
        <v>ROQUE RAFAEL REYES ESPINAL </v>
      </c>
      <c r="C7" s="6" t="str">
        <f>'Base Oficial'!F7</f>
        <v>GERENCIA DE OPERACIONES</v>
      </c>
      <c r="D7" s="6" t="str">
        <f>'Base Oficial'!G7</f>
        <v>Gerencia de Operaciones</v>
      </c>
      <c r="E7" s="6" t="str">
        <f>'Base Oficial'!D7</f>
        <v>GERENTE DE OPERACIONES</v>
      </c>
      <c r="F7" s="4" t="str">
        <f>IF(COUNTIFS('Base Exámenes'!$C$5:$C$1000, A7, 'Base Exámenes'!$E$5:$E$1000, "&lt;&gt;")&gt;0, "Completado", "Pendiente")</f>
        <v>Pendiente</v>
      </c>
      <c r="G7" s="27" t="str">
        <f>IFERROR(INDEX('Base Exámenes'!$D$5:$D$1000, MATCH(A7&amp;"|"&amp;J7, 'Base Exámenes'!$I$5:$I$1000, 0)), "")</f>
        <v/>
      </c>
      <c r="H7" s="27" t="str">
        <f>IFERROR(INDEX('Base Exámenes'!$E$5:$E$1000, MATCH(A7&amp;"|"&amp;J7, 'Base Exámenes'!$I$5:$I$1000, 0)), "")</f>
        <v/>
      </c>
      <c r="I7" s="26" t="str">
        <f>IFERROR(INDEX('Base Exámenes'!$F$5:$F$1000, MATCH(A7&amp;"|"&amp;J7, 'Base Exámenes'!$I$5:$I$1000, 0)), "")</f>
        <v/>
      </c>
      <c r="J7" s="6" t="str">
        <f>IF(F7="Completado", _xlfn.MAXIFS('Base Exámenes'!$G$5:$G$1000, 'Base Exámenes'!$C$5:$C$1000, A7), "")</f>
        <v/>
      </c>
      <c r="K7" s="6" t="str">
        <f>IFERROR(INDEX('Base Exámenes'!$H$5:$H$1000, MATCH(A7&amp;"|"&amp;J7, 'Base Exámenes'!$I$5:$I$1000, 0)), "anonymous")</f>
        <v>anonymous</v>
      </c>
      <c r="L7" s="95">
        <f>COUNTIF('Base Exámenes'!$C$5:$C$1000, A7)</f>
        <v>0</v>
      </c>
    </row>
    <row r="8">
      <c r="A8" s="4" t="str">
        <f>'Base Oficial'!A8</f>
        <v>524</v>
      </c>
      <c r="B8" s="6" t="str">
        <f>'Base Oficial'!B8</f>
        <v>JOSE AUGUSTO DE LA O GALLEGOS </v>
      </c>
      <c r="C8" s="6" t="str">
        <f>'Base Oficial'!F8</f>
        <v>GERENCIA DE FINANZAS Y PLANIFICACIÓN</v>
      </c>
      <c r="D8" s="6" t="str">
        <f>'Base Oficial'!G8</f>
        <v>Gerencia de Finanzas y Planificación</v>
      </c>
      <c r="E8" s="6" t="str">
        <f>'Base Oficial'!D8</f>
        <v>GERENTE DE FINANZAS Y PLANIFICACION</v>
      </c>
      <c r="F8" s="4" t="str">
        <f>IF(COUNTIFS('Base Exámenes'!$C$5:$C$1000, A8, 'Base Exámenes'!$E$5:$E$1000, "&lt;&gt;")&gt;0, "Completado", "Pendiente")</f>
        <v>Completado</v>
      </c>
      <c r="G8" s="27">
        <f>IFERROR(INDEX('Base Exámenes'!$D$5:$D$1000, MATCH(A8&amp;"|"&amp;J8, 'Base Exámenes'!$I$5:$I$1000, 0)), "")</f>
        <v>46296.42706018518</v>
      </c>
      <c r="H8" s="27">
        <f>IFERROR(INDEX('Base Exámenes'!$E$5:$E$1000, MATCH(A8&amp;"|"&amp;J8, 'Base Exámenes'!$I$5:$I$1000, 0)), "")</f>
        <v>46296.429560185185</v>
      </c>
      <c r="I8" s="26">
        <f>IFERROR(INDEX('Base Exámenes'!$F$5:$F$1000, MATCH(A8&amp;"|"&amp;J8, 'Base Exámenes'!$I$5:$I$1000, 0)), "")</f>
        <v>3.6</v>
      </c>
      <c r="J8" s="6">
        <f>IF(F8="Completado", _xlfn.MAXIFS('Base Exámenes'!$G$5:$G$1000, 'Base Exámenes'!$C$5:$C$1000, A8), "")</f>
        <v>100</v>
      </c>
      <c r="K8" s="6" t="str">
        <f>IFERROR(INDEX('Base Exámenes'!$H$5:$H$1000, MATCH(A8&amp;"|"&amp;J8, 'Base Exámenes'!$I$5:$I$1000, 0)), "anonymous")</f>
        <v>anonymous</v>
      </c>
      <c r="L8" s="95">
        <f>COUNTIF('Base Exámenes'!$C$5:$C$1000, A8)</f>
        <v>1</v>
      </c>
    </row>
    <row r="9">
      <c r="A9" s="4" t="str">
        <f>'Base Oficial'!A9</f>
        <v>878</v>
      </c>
      <c r="B9" s="6" t="str">
        <f>'Base Oficial'!B9</f>
        <v>ALEX VIRGILIO  AGUILAR ARIAS  </v>
      </c>
      <c r="C9" s="6" t="str">
        <f>'Base Oficial'!F9</f>
        <v>GERENCIA DE SISTEMAS</v>
      </c>
      <c r="D9" s="6" t="str">
        <f>'Base Oficial'!G9</f>
        <v>Gerencia de Sistemas</v>
      </c>
      <c r="E9" s="6" t="str">
        <f>'Base Oficial'!D9</f>
        <v>GERENTE DE SISTEMAS</v>
      </c>
      <c r="F9" s="4" t="str">
        <f>IF(COUNTIFS('Base Exámenes'!$C$5:$C$1000, A9, 'Base Exámenes'!$E$5:$E$1000, "&lt;&gt;")&gt;0, "Completado", "Pendiente")</f>
        <v>Pendiente</v>
      </c>
      <c r="G9" s="27" t="str">
        <f>IFERROR(INDEX('Base Exámenes'!$D$5:$D$1000, MATCH(A9&amp;"|"&amp;J9, 'Base Exámenes'!$I$5:$I$1000, 0)), "")</f>
        <v/>
      </c>
      <c r="H9" s="27" t="str">
        <f>IFERROR(INDEX('Base Exámenes'!$E$5:$E$1000, MATCH(A9&amp;"|"&amp;J9, 'Base Exámenes'!$I$5:$I$1000, 0)), "")</f>
        <v/>
      </c>
      <c r="I9" s="26" t="str">
        <f>IFERROR(INDEX('Base Exámenes'!$F$5:$F$1000, MATCH(A9&amp;"|"&amp;J9, 'Base Exámenes'!$I$5:$I$1000, 0)), "")</f>
        <v/>
      </c>
      <c r="J9" s="6" t="str">
        <f>IF(F9="Completado", _xlfn.MAXIFS('Base Exámenes'!$G$5:$G$1000, 'Base Exámenes'!$C$5:$C$1000, A9), "")</f>
        <v/>
      </c>
      <c r="K9" s="6" t="str">
        <f>IFERROR(INDEX('Base Exámenes'!$H$5:$H$1000, MATCH(A9&amp;"|"&amp;J9, 'Base Exámenes'!$I$5:$I$1000, 0)), "anonymous")</f>
        <v>anonymous</v>
      </c>
      <c r="L9" s="95">
        <f>COUNTIF('Base Exámenes'!$C$5:$C$1000, A9)</f>
        <v>0</v>
      </c>
    </row>
    <row r="10">
      <c r="A10" s="4" t="str">
        <f>'Base Oficial'!A10</f>
        <v>862</v>
      </c>
      <c r="B10" s="6" t="str">
        <f>'Base Oficial'!B10</f>
        <v>GEORGI ROBERTO CASTILLO CHACON </v>
      </c>
      <c r="C10" s="6" t="str">
        <f>'Base Oficial'!F10</f>
        <v>OFICIALIA DE CUMPLIMIENTO</v>
      </c>
      <c r="D10" s="6" t="str">
        <f>'Base Oficial'!G10</f>
        <v>Gerencia de Oficialía de Cumplimiento</v>
      </c>
      <c r="E10" s="6" t="str">
        <f>'Base Oficial'!D10</f>
        <v>GERENTE DE OFICIALIA DE CUMPLIMIENTO</v>
      </c>
      <c r="F10" s="4" t="str">
        <f>IF(COUNTIFS('Base Exámenes'!$C$5:$C$1000, A10, 'Base Exámenes'!$E$5:$E$1000, "&lt;&gt;")&gt;0, "Completado", "Pendiente")</f>
        <v>Completado</v>
      </c>
      <c r="G10" s="27">
        <f>IFERROR(INDEX('Base Exámenes'!$D$5:$D$1000, MATCH(A10&amp;"|"&amp;J10, 'Base Exámenes'!$I$5:$I$1000, 0)), "")</f>
        <v>46296.47011574074</v>
      </c>
      <c r="H10" s="27">
        <f>IFERROR(INDEX('Base Exámenes'!$E$5:$E$1000, MATCH(A10&amp;"|"&amp;J10, 'Base Exámenes'!$I$5:$I$1000, 0)), "")</f>
        <v>46296.47738425926</v>
      </c>
      <c r="I10" s="26">
        <f>IFERROR(INDEX('Base Exámenes'!$F$5:$F$1000, MATCH(A10&amp;"|"&amp;J10, 'Base Exámenes'!$I$5:$I$1000, 0)), "")</f>
        <v>10.4666666666667</v>
      </c>
      <c r="J10" s="6">
        <f>IF(F10="Completado", _xlfn.MAXIFS('Base Exámenes'!$G$5:$G$1000, 'Base Exámenes'!$C$5:$C$1000, A10), "")</f>
        <v>100</v>
      </c>
      <c r="K10" s="6" t="str">
        <f>IFERROR(INDEX('Base Exámenes'!$H$5:$H$1000, MATCH(A10&amp;"|"&amp;J10, 'Base Exámenes'!$I$5:$I$1000, 0)), "anonymous")</f>
        <v>anonymous</v>
      </c>
      <c r="L10" s="95">
        <f>COUNTIF('Base Exámenes'!$C$5:$C$1000, A10)</f>
        <v>1</v>
      </c>
    </row>
    <row r="11">
      <c r="A11" s="4" t="str">
        <f>'Base Oficial'!A11</f>
        <v>741</v>
      </c>
      <c r="B11" s="6" t="str">
        <f>'Base Oficial'!B11</f>
        <v>JOSE HUMBERTO BARILLAS BURGOS </v>
      </c>
      <c r="C11" s="6" t="str">
        <f>'Base Oficial'!F11</f>
        <v>GERENCIA DE NEGOCIOS</v>
      </c>
      <c r="D11" s="6" t="str">
        <f>'Base Oficial'!G11</f>
        <v>Gerencia de Negocios</v>
      </c>
      <c r="E11" s="6" t="str">
        <f>'Base Oficial'!D11</f>
        <v>GERENTE DE NEGOCIOS</v>
      </c>
      <c r="F11" s="4" t="str">
        <f>IF(COUNTIFS('Base Exámenes'!$C$5:$C$1000, A11, 'Base Exámenes'!$E$5:$E$1000, "&lt;&gt;")&gt;0, "Completado", "Pendiente")</f>
        <v>Pendiente</v>
      </c>
      <c r="G11" s="27" t="str">
        <f>IFERROR(INDEX('Base Exámenes'!$D$5:$D$1000, MATCH(A11&amp;"|"&amp;J11, 'Base Exámenes'!$I$5:$I$1000, 0)), "")</f>
        <v/>
      </c>
      <c r="H11" s="27" t="str">
        <f>IFERROR(INDEX('Base Exámenes'!$E$5:$E$1000, MATCH(A11&amp;"|"&amp;J11, 'Base Exámenes'!$I$5:$I$1000, 0)), "")</f>
        <v/>
      </c>
      <c r="I11" s="26" t="str">
        <f>IFERROR(INDEX('Base Exámenes'!$F$5:$F$1000, MATCH(A11&amp;"|"&amp;J11, 'Base Exámenes'!$I$5:$I$1000, 0)), "")</f>
        <v/>
      </c>
      <c r="J11" s="6" t="str">
        <f>IF(F11="Completado", _xlfn.MAXIFS('Base Exámenes'!$G$5:$G$1000, 'Base Exámenes'!$C$5:$C$1000, A11), "")</f>
        <v/>
      </c>
      <c r="K11" s="6" t="str">
        <f>IFERROR(INDEX('Base Exámenes'!$H$5:$H$1000, MATCH(A11&amp;"|"&amp;J11, 'Base Exámenes'!$I$5:$I$1000, 0)), "anonymous")</f>
        <v>anonymous</v>
      </c>
      <c r="L11" s="95">
        <f>COUNTIF('Base Exámenes'!$C$5:$C$1000, A11)</f>
        <v>0</v>
      </c>
    </row>
    <row r="12">
      <c r="A12" s="4" t="str">
        <f>'Base Oficial'!A12</f>
        <v>570</v>
      </c>
      <c r="B12" s="6" t="str">
        <f>'Base Oficial'!B12</f>
        <v>ANDREA VICTORIA MAYORGA RODRIGUEZ </v>
      </c>
      <c r="C12" s="6" t="str">
        <f>'Base Oficial'!F12</f>
        <v>GERENCIA LEGAL Y DE CUMPLIMIENTO NORMATIVO</v>
      </c>
      <c r="D12" s="6" t="str">
        <f>'Base Oficial'!G12</f>
        <v>Gerencia Legal y Cumplimiento Normativo</v>
      </c>
      <c r="E12" s="6" t="str">
        <f>'Base Oficial'!D12</f>
        <v>GERENTE LEGAL Y DE CUMPLIMIENTO NORMATIVO</v>
      </c>
      <c r="F12" s="4" t="str">
        <f>IF(COUNTIFS('Base Exámenes'!$C$5:$C$1000, A12, 'Base Exámenes'!$E$5:$E$1000, "&lt;&gt;")&gt;0, "Completado", "Pendiente")</f>
        <v>Completado</v>
      </c>
      <c r="G12" s="27">
        <f>IFERROR(INDEX('Base Exámenes'!$D$5:$D$1000, MATCH(A12&amp;"|"&amp;J12, 'Base Exámenes'!$I$5:$I$1000, 0)), "")</f>
        <v>46304.69274305556</v>
      </c>
      <c r="H12" s="27">
        <f>IFERROR(INDEX('Base Exámenes'!$E$5:$E$1000, MATCH(A12&amp;"|"&amp;J12, 'Base Exámenes'!$I$5:$I$1000, 0)), "")</f>
        <v>46304.69452546296</v>
      </c>
      <c r="I12" s="26">
        <f>IFERROR(INDEX('Base Exámenes'!$F$5:$F$1000, MATCH(A12&amp;"|"&amp;J12, 'Base Exámenes'!$I$5:$I$1000, 0)), "")</f>
        <v>2.56666666666667</v>
      </c>
      <c r="J12" s="6">
        <f>IF(F12="Completado", _xlfn.MAXIFS('Base Exámenes'!$G$5:$G$1000, 'Base Exámenes'!$C$5:$C$1000, A12), "")</f>
        <v>100</v>
      </c>
      <c r="K12" s="6" t="str">
        <f>IFERROR(INDEX('Base Exámenes'!$H$5:$H$1000, MATCH(A12&amp;"|"&amp;J12, 'Base Exámenes'!$I$5:$I$1000, 0)), "anonymous")</f>
        <v>anonymous</v>
      </c>
      <c r="L12" s="95">
        <f>COUNTIF('Base Exámenes'!$C$5:$C$1000, A12)</f>
        <v>1</v>
      </c>
    </row>
    <row r="13">
      <c r="A13" s="4" t="str">
        <f>'Base Oficial'!A13</f>
        <v>17</v>
      </c>
      <c r="B13" s="6" t="str">
        <f>'Base Oficial'!B13</f>
        <v>ANTONIA SARAI BELTRAN CARBALLO</v>
      </c>
      <c r="C13" s="6" t="str">
        <f>'Base Oficial'!F13</f>
        <v>GERENCIA GENERAL</v>
      </c>
      <c r="D13" s="6" t="str">
        <f>'Base Oficial'!G13</f>
        <v>Gerencia General</v>
      </c>
      <c r="E13" s="6" t="str">
        <f>'Base Oficial'!D13</f>
        <v>ASISTENTE ADMINISTRATIVO DE GERENCIA GENERAL</v>
      </c>
      <c r="F13" s="4" t="str">
        <f>IF(COUNTIFS('Base Exámenes'!$C$5:$C$1000, A13, 'Base Exámenes'!$E$5:$E$1000, "&lt;&gt;")&gt;0, "Completado", "Pendiente")</f>
        <v>Completado</v>
      </c>
      <c r="G13" s="27">
        <f>IFERROR(INDEX('Base Exámenes'!$D$5:$D$1000, MATCH(A13&amp;"|"&amp;J13, 'Base Exámenes'!$I$5:$I$1000, 0)), "")</f>
        <v>46305.40667824074</v>
      </c>
      <c r="H13" s="27">
        <f>IFERROR(INDEX('Base Exámenes'!$E$5:$E$1000, MATCH(A13&amp;"|"&amp;J13, 'Base Exámenes'!$I$5:$I$1000, 0)), "")</f>
        <v>46305.40980324074</v>
      </c>
      <c r="I13" s="26">
        <f>IFERROR(INDEX('Base Exámenes'!$F$5:$F$1000, MATCH(A13&amp;"|"&amp;J13, 'Base Exámenes'!$I$5:$I$1000, 0)), "")</f>
        <v>4.5</v>
      </c>
      <c r="J13" s="6">
        <f>IF(F13="Completado", _xlfn.MAXIFS('Base Exámenes'!$G$5:$G$1000, 'Base Exámenes'!$C$5:$C$1000, A13), "")</f>
        <v>100</v>
      </c>
      <c r="K13" s="6" t="str">
        <f>IFERROR(INDEX('Base Exámenes'!$H$5:$H$1000, MATCH(A13&amp;"|"&amp;J13, 'Base Exámenes'!$I$5:$I$1000, 0)), "anonymous")</f>
        <v>anonymous</v>
      </c>
      <c r="L13" s="95">
        <f>COUNTIF('Base Exámenes'!$C$5:$C$1000, A13)</f>
        <v>1</v>
      </c>
    </row>
    <row r="14">
      <c r="A14" s="4" t="str">
        <f>'Base Oficial'!A14</f>
        <v>290</v>
      </c>
      <c r="B14" s="6" t="str">
        <f>'Base Oficial'!B14</f>
        <v>MELVIN ENRIQUE PORTILLO VALLE </v>
      </c>
      <c r="C14" s="6" t="str">
        <f>'Base Oficial'!F14</f>
        <v>ADMINISTRACION DE RIESGOS</v>
      </c>
      <c r="D14" s="6" t="str">
        <f>'Base Oficial'!G14</f>
        <v>Gerencia General</v>
      </c>
      <c r="E14" s="6" t="str">
        <f>'Base Oficial'!D14</f>
        <v>ANALISTA DE RIESGOS FINANCIEROS</v>
      </c>
      <c r="F14" s="4" t="str">
        <f>IF(COUNTIFS('Base Exámenes'!$C$5:$C$1000, A14, 'Base Exámenes'!$E$5:$E$1000, "&lt;&gt;")&gt;0, "Completado", "Pendiente")</f>
        <v>Completado</v>
      </c>
      <c r="G14" s="27">
        <f>IFERROR(INDEX('Base Exámenes'!$D$5:$D$1000, MATCH(A14&amp;"|"&amp;J14, 'Base Exámenes'!$I$5:$I$1000, 0)), "")</f>
        <v>46304.406875</v>
      </c>
      <c r="H14" s="27">
        <f>IFERROR(INDEX('Base Exámenes'!$E$5:$E$1000, MATCH(A14&amp;"|"&amp;J14, 'Base Exámenes'!$I$5:$I$1000, 0)), "")</f>
        <v>46304.40962962963</v>
      </c>
      <c r="I14" s="26">
        <f>IFERROR(INDEX('Base Exámenes'!$F$5:$F$1000, MATCH(A14&amp;"|"&amp;J14, 'Base Exámenes'!$I$5:$I$1000, 0)), "")</f>
        <v>3.96666666666667</v>
      </c>
      <c r="J14" s="6">
        <f>IF(F14="Completado", _xlfn.MAXIFS('Base Exámenes'!$G$5:$G$1000, 'Base Exámenes'!$C$5:$C$1000, A14), "")</f>
        <v>100</v>
      </c>
      <c r="K14" s="6" t="str">
        <f>IFERROR(INDEX('Base Exámenes'!$H$5:$H$1000, MATCH(A14&amp;"|"&amp;J14, 'Base Exámenes'!$I$5:$I$1000, 0)), "anonymous")</f>
        <v>anonymous</v>
      </c>
      <c r="L14" s="95">
        <f>COUNTIF('Base Exámenes'!$C$5:$C$1000, A14)</f>
        <v>1</v>
      </c>
    </row>
    <row r="15">
      <c r="A15" s="4" t="str">
        <f>'Base Oficial'!A15</f>
        <v>408</v>
      </c>
      <c r="B15" s="6" t="str">
        <f>'Base Oficial'!B15</f>
        <v>SARA PATRICIA GONZALEZ JIMENEZ</v>
      </c>
      <c r="C15" s="6" t="str">
        <f>'Base Oficial'!F15</f>
        <v>ADMINISTRACION DE RIESGOS</v>
      </c>
      <c r="D15" s="6" t="str">
        <f>'Base Oficial'!G15</f>
        <v>Gerencia General</v>
      </c>
      <c r="E15" s="6" t="str">
        <f>'Base Oficial'!D15</f>
        <v>ASISTENTE TECNICO DE RIESGOS</v>
      </c>
      <c r="F15" s="4" t="str">
        <f>IF(COUNTIFS('Base Exámenes'!$C$5:$C$1000, A15, 'Base Exámenes'!$E$5:$E$1000, "&lt;&gt;")&gt;0, "Completado", "Pendiente")</f>
        <v>Completado</v>
      </c>
      <c r="G15" s="27">
        <f>IFERROR(INDEX('Base Exámenes'!$D$5:$D$1000, MATCH(A15&amp;"|"&amp;J15, 'Base Exámenes'!$I$5:$I$1000, 0)), "")</f>
        <v>46296.43667824074</v>
      </c>
      <c r="H15" s="27">
        <f>IFERROR(INDEX('Base Exámenes'!$E$5:$E$1000, MATCH(A15&amp;"|"&amp;J15, 'Base Exámenes'!$I$5:$I$1000, 0)), "")</f>
        <v>46296.438796296294</v>
      </c>
      <c r="I15" s="26">
        <f>IFERROR(INDEX('Base Exámenes'!$F$5:$F$1000, MATCH(A15&amp;"|"&amp;J15, 'Base Exámenes'!$I$5:$I$1000, 0)), "")</f>
        <v>3.05</v>
      </c>
      <c r="J15" s="6">
        <f>IF(F15="Completado", _xlfn.MAXIFS('Base Exámenes'!$G$5:$G$1000, 'Base Exámenes'!$C$5:$C$1000, A15), "")</f>
        <v>100</v>
      </c>
      <c r="K15" s="6" t="str">
        <f>IFERROR(INDEX('Base Exámenes'!$H$5:$H$1000, MATCH(A15&amp;"|"&amp;J15, 'Base Exámenes'!$I$5:$I$1000, 0)), "anonymous")</f>
        <v>anonymous</v>
      </c>
      <c r="L15" s="95">
        <f>COUNTIF('Base Exámenes'!$C$5:$C$1000, A15)</f>
        <v>1</v>
      </c>
    </row>
    <row r="16">
      <c r="A16" s="4" t="str">
        <f>'Base Oficial'!A16</f>
        <v>433</v>
      </c>
      <c r="B16" s="6" t="str">
        <f>'Base Oficial'!B16</f>
        <v>SILVIA IVETH MARTINEZ RAMIREZ</v>
      </c>
      <c r="C16" s="6" t="str">
        <f>'Base Oficial'!F16</f>
        <v>ADMINISTRACION DE RIESGOS</v>
      </c>
      <c r="D16" s="6" t="str">
        <f>'Base Oficial'!G16</f>
        <v>Gerencia General</v>
      </c>
      <c r="E16" s="6" t="str">
        <f>'Base Oficial'!D16</f>
        <v>ANALISTA DE RIESGO OPERACIONAL</v>
      </c>
      <c r="F16" s="4" t="str">
        <f>IF(COUNTIFS('Base Exámenes'!$C$5:$C$1000, A16, 'Base Exámenes'!$E$5:$E$1000, "&lt;&gt;")&gt;0, "Completado", "Pendiente")</f>
        <v>Completado</v>
      </c>
      <c r="G16" s="27">
        <f>IFERROR(INDEX('Base Exámenes'!$D$5:$D$1000, MATCH(A16&amp;"|"&amp;J16, 'Base Exámenes'!$I$5:$I$1000, 0)), "")</f>
        <v>46300.621516203704</v>
      </c>
      <c r="H16" s="27">
        <f>IFERROR(INDEX('Base Exámenes'!$E$5:$E$1000, MATCH(A16&amp;"|"&amp;J16, 'Base Exámenes'!$I$5:$I$1000, 0)), "")</f>
        <v>46300.6309837963</v>
      </c>
      <c r="I16" s="26">
        <f>IFERROR(INDEX('Base Exámenes'!$F$5:$F$1000, MATCH(A16&amp;"|"&amp;J16, 'Base Exámenes'!$I$5:$I$1000, 0)), "")</f>
        <v>13.6333333333333</v>
      </c>
      <c r="J16" s="6">
        <f>IF(F16="Completado", _xlfn.MAXIFS('Base Exámenes'!$G$5:$G$1000, 'Base Exámenes'!$C$5:$C$1000, A16), "")</f>
        <v>100</v>
      </c>
      <c r="K16" s="6" t="str">
        <f>IFERROR(INDEX('Base Exámenes'!$H$5:$H$1000, MATCH(A16&amp;"|"&amp;J16, 'Base Exámenes'!$I$5:$I$1000, 0)), "anonymous")</f>
        <v>anonymous</v>
      </c>
      <c r="L16" s="95">
        <f>COUNTIF('Base Exámenes'!$C$5:$C$1000, A16)</f>
        <v>1</v>
      </c>
    </row>
    <row r="17">
      <c r="A17" s="4" t="str">
        <f>'Base Oficial'!A17</f>
        <v>928</v>
      </c>
      <c r="B17" s="6" t="str">
        <f>'Base Oficial'!B17</f>
        <v>HENRRY DANIEL ESCAMILLA ZALDAÑA </v>
      </c>
      <c r="C17" s="6" t="str">
        <f>'Base Oficial'!F17</f>
        <v>ADMINISTRACION DE RIESGOS</v>
      </c>
      <c r="D17" s="6" t="str">
        <f>'Base Oficial'!G17</f>
        <v>Gerencia General</v>
      </c>
      <c r="E17" s="6" t="str">
        <f>'Base Oficial'!D17</f>
        <v>JEFE DE ADMINISTRACION DE RIESGOS</v>
      </c>
      <c r="F17" s="4" t="str">
        <f>IF(COUNTIFS('Base Exámenes'!$C$5:$C$1000, A17, 'Base Exámenes'!$E$5:$E$1000, "&lt;&gt;")&gt;0, "Completado", "Pendiente")</f>
        <v>Completado</v>
      </c>
      <c r="G17" s="27">
        <f>IFERROR(INDEX('Base Exámenes'!$D$5:$D$1000, MATCH(A17&amp;"|"&amp;J17, 'Base Exámenes'!$I$5:$I$1000, 0)), "")</f>
        <v>46305.39564814815</v>
      </c>
      <c r="H17" s="27">
        <f>IFERROR(INDEX('Base Exámenes'!$E$5:$E$1000, MATCH(A17&amp;"|"&amp;J17, 'Base Exámenes'!$I$5:$I$1000, 0)), "")</f>
        <v>46305.39865740741</v>
      </c>
      <c r="I17" s="26">
        <f>IFERROR(INDEX('Base Exámenes'!$F$5:$F$1000, MATCH(A17&amp;"|"&amp;J17, 'Base Exámenes'!$I$5:$I$1000, 0)), "")</f>
        <v>4.33333333333333</v>
      </c>
      <c r="J17" s="6">
        <f>IF(F17="Completado", _xlfn.MAXIFS('Base Exámenes'!$G$5:$G$1000, 'Base Exámenes'!$C$5:$C$1000, A17), "")</f>
        <v>100</v>
      </c>
      <c r="K17" s="6" t="str">
        <f>IFERROR(INDEX('Base Exámenes'!$H$5:$H$1000, MATCH(A17&amp;"|"&amp;J17, 'Base Exámenes'!$I$5:$I$1000, 0)), "anonymous")</f>
        <v>anonymous</v>
      </c>
      <c r="L17" s="95">
        <f>COUNTIF('Base Exámenes'!$C$5:$C$1000, A17)</f>
        <v>1</v>
      </c>
    </row>
    <row r="18">
      <c r="A18" s="4" t="str">
        <f>'Base Oficial'!A18</f>
        <v>318</v>
      </c>
      <c r="B18" s="6" t="str">
        <f>'Base Oficial'!B18</f>
        <v>CLAUDIA CAROLINA HENRIQUEZ VELASCO </v>
      </c>
      <c r="C18" s="6" t="str">
        <f>'Base Oficial'!F18</f>
        <v>DEPARTAMENTO DE PROCESOS</v>
      </c>
      <c r="D18" s="6" t="str">
        <f>'Base Oficial'!G18</f>
        <v>Gerencia General</v>
      </c>
      <c r="E18" s="6" t="str">
        <f>'Base Oficial'!D18</f>
        <v>JEFE DE PROCESOS</v>
      </c>
      <c r="F18" s="4" t="str">
        <f>IF(COUNTIFS('Base Exámenes'!$C$5:$C$1000, A18, 'Base Exámenes'!$E$5:$E$1000, "&lt;&gt;")&gt;0, "Completado", "Pendiente")</f>
        <v>Completado</v>
      </c>
      <c r="G18" s="27">
        <f>IFERROR(INDEX('Base Exámenes'!$D$5:$D$1000, MATCH(A18&amp;"|"&amp;J18, 'Base Exámenes'!$I$5:$I$1000, 0)), "")</f>
        <v>46296.436574074076</v>
      </c>
      <c r="H18" s="27">
        <f>IFERROR(INDEX('Base Exámenes'!$E$5:$E$1000, MATCH(A18&amp;"|"&amp;J18, 'Base Exámenes'!$I$5:$I$1000, 0)), "")</f>
        <v>46296.44149305556</v>
      </c>
      <c r="I18" s="26">
        <f>IFERROR(INDEX('Base Exámenes'!$F$5:$F$1000, MATCH(A18&amp;"|"&amp;J18, 'Base Exámenes'!$I$5:$I$1000, 0)), "")</f>
        <v>7.08333333333333</v>
      </c>
      <c r="J18" s="6">
        <f>IF(F18="Completado", _xlfn.MAXIFS('Base Exámenes'!$G$5:$G$1000, 'Base Exámenes'!$C$5:$C$1000, A18), "")</f>
        <v>100</v>
      </c>
      <c r="K18" s="6" t="str">
        <f>IFERROR(INDEX('Base Exámenes'!$H$5:$H$1000, MATCH(A18&amp;"|"&amp;J18, 'Base Exámenes'!$I$5:$I$1000, 0)), "anonymous")</f>
        <v>anonymous</v>
      </c>
      <c r="L18" s="95">
        <f>COUNTIF('Base Exámenes'!$C$5:$C$1000, A18)</f>
        <v>1</v>
      </c>
    </row>
    <row r="19">
      <c r="A19" s="4" t="str">
        <f>'Base Oficial'!A19</f>
        <v>817</v>
      </c>
      <c r="B19" s="6" t="str">
        <f>'Base Oficial'!B19</f>
        <v>MAURICIO EDGARDO MIRANDA CAMPOS </v>
      </c>
      <c r="C19" s="6" t="str">
        <f>'Base Oficial'!F19</f>
        <v>DEPARTAMENTO DE PROCESOS</v>
      </c>
      <c r="D19" s="6" t="str">
        <f>'Base Oficial'!G19</f>
        <v>Gerencia General</v>
      </c>
      <c r="E19" s="6" t="str">
        <f>'Base Oficial'!D19</f>
        <v>ANALISTA DE PROCESOS</v>
      </c>
      <c r="F19" s="4" t="str">
        <f>IF(COUNTIFS('Base Exámenes'!$C$5:$C$1000, A19, 'Base Exámenes'!$E$5:$E$1000, "&lt;&gt;")&gt;0, "Completado", "Pendiente")</f>
        <v>Completado</v>
      </c>
      <c r="G19" s="27">
        <f>IFERROR(INDEX('Base Exámenes'!$D$5:$D$1000, MATCH(A19&amp;"|"&amp;J19, 'Base Exámenes'!$I$5:$I$1000, 0)), "")</f>
        <v>46296.43665509259</v>
      </c>
      <c r="H19" s="27">
        <f>IFERROR(INDEX('Base Exámenes'!$E$5:$E$1000, MATCH(A19&amp;"|"&amp;J19, 'Base Exámenes'!$I$5:$I$1000, 0)), "")</f>
        <v>46296.44137731481</v>
      </c>
      <c r="I19" s="26">
        <f>IFERROR(INDEX('Base Exámenes'!$F$5:$F$1000, MATCH(A19&amp;"|"&amp;J19, 'Base Exámenes'!$I$5:$I$1000, 0)), "")</f>
        <v>6.8</v>
      </c>
      <c r="J19" s="6">
        <f>IF(F19="Completado", _xlfn.MAXIFS('Base Exámenes'!$G$5:$G$1000, 'Base Exámenes'!$C$5:$C$1000, A19), "")</f>
        <v>100</v>
      </c>
      <c r="K19" s="6" t="str">
        <f>IFERROR(INDEX('Base Exámenes'!$H$5:$H$1000, MATCH(A19&amp;"|"&amp;J19, 'Base Exámenes'!$I$5:$I$1000, 0)), "anonymous")</f>
        <v>anonymous</v>
      </c>
      <c r="L19" s="95">
        <f>COUNTIF('Base Exámenes'!$C$5:$C$1000, A19)</f>
        <v>1</v>
      </c>
    </row>
    <row r="20">
      <c r="A20" s="4" t="str">
        <f>'Base Oficial'!A20</f>
        <v>932</v>
      </c>
      <c r="B20" s="6" t="str">
        <f>'Base Oficial'!B20</f>
        <v>HECTOR SEBASTIAN LOPEZ GRANADOS </v>
      </c>
      <c r="C20" s="6" t="str">
        <f>'Base Oficial'!F20</f>
        <v>DEPARTAMENTO DE PROCESOS</v>
      </c>
      <c r="D20" s="6" t="str">
        <f>'Base Oficial'!G20</f>
        <v>Gerencia General</v>
      </c>
      <c r="E20" s="6" t="str">
        <f>'Base Oficial'!D20</f>
        <v>ASISTENTE TECNICO DE PROCESOS</v>
      </c>
      <c r="F20" s="4" t="str">
        <f>IF(COUNTIFS('Base Exámenes'!$C$5:$C$1000, A20, 'Base Exámenes'!$E$5:$E$1000, "&lt;&gt;")&gt;0, "Completado", "Pendiente")</f>
        <v>Completado</v>
      </c>
      <c r="G20" s="27">
        <f>IFERROR(INDEX('Base Exámenes'!$D$5:$D$1000, MATCH(A20&amp;"|"&amp;J20, 'Base Exámenes'!$I$5:$I$1000, 0)), "")</f>
        <v>46296.4371875</v>
      </c>
      <c r="H20" s="27">
        <f>IFERROR(INDEX('Base Exámenes'!$E$5:$E$1000, MATCH(A20&amp;"|"&amp;J20, 'Base Exámenes'!$I$5:$I$1000, 0)), "")</f>
        <v>46296.44143518519</v>
      </c>
      <c r="I20" s="26">
        <f>IFERROR(INDEX('Base Exámenes'!$F$5:$F$1000, MATCH(A20&amp;"|"&amp;J20, 'Base Exámenes'!$I$5:$I$1000, 0)), "")</f>
        <v>6.11666666666667</v>
      </c>
      <c r="J20" s="6">
        <f>IF(F20="Completado", _xlfn.MAXIFS('Base Exámenes'!$G$5:$G$1000, 'Base Exámenes'!$C$5:$C$1000, A20), "")</f>
        <v>100</v>
      </c>
      <c r="K20" s="6" t="str">
        <f>IFERROR(INDEX('Base Exámenes'!$H$5:$H$1000, MATCH(A20&amp;"|"&amp;J20, 'Base Exámenes'!$I$5:$I$1000, 0)), "anonymous")</f>
        <v>anonymous</v>
      </c>
      <c r="L20" s="95">
        <f>COUNTIF('Base Exámenes'!$C$5:$C$1000, A20)</f>
        <v>1</v>
      </c>
    </row>
    <row r="21">
      <c r="A21" s="4" t="str">
        <f>'Base Oficial'!A21</f>
        <v>710</v>
      </c>
      <c r="B21" s="6" t="str">
        <f>'Base Oficial'!B21</f>
        <v>MARIA AZUCENA BONILLA RIVERA </v>
      </c>
      <c r="C21" s="6" t="str">
        <f>'Base Oficial'!F21</f>
        <v>OFICIALIA DE SEGURIDAD DE LA INFORMACION</v>
      </c>
      <c r="D21" s="6" t="str">
        <f>'Base Oficial'!G21</f>
        <v>Gerencia General</v>
      </c>
      <c r="E21" s="6" t="str">
        <f>'Base Oficial'!D21</f>
        <v>OFICIAL DE SEGURIDAD DE LA INFORMACION</v>
      </c>
      <c r="F21" s="4" t="str">
        <f>IF(COUNTIFS('Base Exámenes'!$C$5:$C$1000, A21, 'Base Exámenes'!$E$5:$E$1000, "&lt;&gt;")&gt;0, "Completado", "Pendiente")</f>
        <v>Completado</v>
      </c>
      <c r="G21" s="27">
        <f>IFERROR(INDEX('Base Exámenes'!$D$5:$D$1000, MATCH(A21&amp;"|"&amp;J21, 'Base Exámenes'!$I$5:$I$1000, 0)), "")</f>
        <v>46296.44082175926</v>
      </c>
      <c r="H21" s="27">
        <f>IFERROR(INDEX('Base Exámenes'!$E$5:$E$1000, MATCH(A21&amp;"|"&amp;J21, 'Base Exámenes'!$I$5:$I$1000, 0)), "")</f>
        <v>46296.448969907404</v>
      </c>
      <c r="I21" s="26">
        <f>IFERROR(INDEX('Base Exámenes'!$F$5:$F$1000, MATCH(A21&amp;"|"&amp;J21, 'Base Exámenes'!$I$5:$I$1000, 0)), "")</f>
        <v>11.7333333333333</v>
      </c>
      <c r="J21" s="6">
        <f>IF(F21="Completado", _xlfn.MAXIFS('Base Exámenes'!$G$5:$G$1000, 'Base Exámenes'!$C$5:$C$1000, A21), "")</f>
        <v>100</v>
      </c>
      <c r="K21" s="6" t="str">
        <f>IFERROR(INDEX('Base Exámenes'!$H$5:$H$1000, MATCH(A21&amp;"|"&amp;J21, 'Base Exámenes'!$I$5:$I$1000, 0)), "anonymous")</f>
        <v>anonymous</v>
      </c>
      <c r="L21" s="95">
        <f>COUNTIF('Base Exámenes'!$C$5:$C$1000, A21)</f>
        <v>1</v>
      </c>
    </row>
    <row r="22">
      <c r="A22" s="4" t="str">
        <f>'Base Oficial'!A22</f>
        <v>907</v>
      </c>
      <c r="B22" s="6" t="str">
        <f>'Base Oficial'!B22</f>
        <v>JENNIFER GEORGINA ALVARADO HERNANDEZ</v>
      </c>
      <c r="C22" s="6" t="str">
        <f>'Base Oficial'!F22</f>
        <v>OFICIALIA DE SEGURIDAD DE LA INFORMACION</v>
      </c>
      <c r="D22" s="6" t="str">
        <f>'Base Oficial'!G22</f>
        <v>Gerencia General</v>
      </c>
      <c r="E22" s="6" t="str">
        <f>'Base Oficial'!D22</f>
        <v>ANALISTA DE MONITOREO DEL FRAUDE DIGITAL</v>
      </c>
      <c r="F22" s="4" t="str">
        <f>IF(COUNTIFS('Base Exámenes'!$C$5:$C$1000, A22, 'Base Exámenes'!$E$5:$E$1000, "&lt;&gt;")&gt;0, "Completado", "Pendiente")</f>
        <v>Completado</v>
      </c>
      <c r="G22" s="27">
        <f>IFERROR(INDEX('Base Exámenes'!$D$5:$D$1000, MATCH(A22&amp;"|"&amp;J22, 'Base Exámenes'!$I$5:$I$1000, 0)), "")</f>
        <v>46296.44221064815</v>
      </c>
      <c r="H22" s="27">
        <f>IFERROR(INDEX('Base Exámenes'!$E$5:$E$1000, MATCH(A22&amp;"|"&amp;J22, 'Base Exámenes'!$I$5:$I$1000, 0)), "")</f>
        <v>46296.44850694444</v>
      </c>
      <c r="I22" s="26">
        <f>IFERROR(INDEX('Base Exámenes'!$F$5:$F$1000, MATCH(A22&amp;"|"&amp;J22, 'Base Exámenes'!$I$5:$I$1000, 0)), "")</f>
        <v>9.06666666666667</v>
      </c>
      <c r="J22" s="6">
        <f>IF(F22="Completado", _xlfn.MAXIFS('Base Exámenes'!$G$5:$G$1000, 'Base Exámenes'!$C$5:$C$1000, A22), "")</f>
        <v>85</v>
      </c>
      <c r="K22" s="6" t="str">
        <f>IFERROR(INDEX('Base Exámenes'!$H$5:$H$1000, MATCH(A22&amp;"|"&amp;J22, 'Base Exámenes'!$I$5:$I$1000, 0)), "anonymous")</f>
        <v>anonymous</v>
      </c>
      <c r="L22" s="95">
        <f>COUNTIF('Base Exámenes'!$C$5:$C$1000, A22)</f>
        <v>1</v>
      </c>
    </row>
    <row r="23">
      <c r="A23" s="4" t="str">
        <f>'Base Oficial'!A23</f>
        <v>918</v>
      </c>
      <c r="B23" s="6" t="str">
        <f>'Base Oficial'!B23</f>
        <v>MARVIN ALONSO FRANCO RAMIREZ </v>
      </c>
      <c r="C23" s="6" t="str">
        <f>'Base Oficial'!F23</f>
        <v>OFICIALIA DE SEGURIDAD DE LA INFORMACION</v>
      </c>
      <c r="D23" s="6" t="str">
        <f>'Base Oficial'!G23</f>
        <v>Gerencia General</v>
      </c>
      <c r="E23" s="6" t="str">
        <f>'Base Oficial'!D23</f>
        <v>ANALISTA DE SEGURIDAD DE LA INFORMACION</v>
      </c>
      <c r="F23" s="4" t="str">
        <f>IF(COUNTIFS('Base Exámenes'!$C$5:$C$1000, A23, 'Base Exámenes'!$E$5:$E$1000, "&lt;&gt;")&gt;0, "Completado", "Pendiente")</f>
        <v>Completado</v>
      </c>
      <c r="G23" s="27">
        <f>IFERROR(INDEX('Base Exámenes'!$D$5:$D$1000, MATCH(A23&amp;"|"&amp;J23, 'Base Exámenes'!$I$5:$I$1000, 0)), "")</f>
        <v>46296.441828703704</v>
      </c>
      <c r="H23" s="27">
        <f>IFERROR(INDEX('Base Exámenes'!$E$5:$E$1000, MATCH(A23&amp;"|"&amp;J23, 'Base Exámenes'!$I$5:$I$1000, 0)), "")</f>
        <v>46296.44851851852</v>
      </c>
      <c r="I23" s="26">
        <f>IFERROR(INDEX('Base Exámenes'!$F$5:$F$1000, MATCH(A23&amp;"|"&amp;J23, 'Base Exámenes'!$I$5:$I$1000, 0)), "")</f>
        <v>9.63333333333333</v>
      </c>
      <c r="J23" s="6">
        <f>IF(F23="Completado", _xlfn.MAXIFS('Base Exámenes'!$G$5:$G$1000, 'Base Exámenes'!$C$5:$C$1000, A23), "")</f>
        <v>100</v>
      </c>
      <c r="K23" s="6" t="str">
        <f>IFERROR(INDEX('Base Exámenes'!$H$5:$H$1000, MATCH(A23&amp;"|"&amp;J23, 'Base Exámenes'!$I$5:$I$1000, 0)), "anonymous")</f>
        <v>anonymous</v>
      </c>
      <c r="L23" s="95">
        <f>COUNTIF('Base Exámenes'!$C$5:$C$1000, A23)</f>
        <v>1</v>
      </c>
    </row>
    <row r="24">
      <c r="A24" s="4" t="str">
        <f>'Base Oficial'!A24</f>
        <v>950</v>
      </c>
      <c r="B24" s="6" t="str">
        <f>'Base Oficial'!B24</f>
        <v>VALERIA MICHELLE  QUINTANILLA FLORES  </v>
      </c>
      <c r="C24" s="6" t="str">
        <f>'Base Oficial'!F24</f>
        <v>OFICIALIA DE SEGURIDAD DE LA INFORMACION</v>
      </c>
      <c r="D24" s="6" t="str">
        <f>'Base Oficial'!G24</f>
        <v>Gerencia General</v>
      </c>
      <c r="E24" s="6" t="str">
        <f>'Base Oficial'!D24</f>
        <v>ANALISTA TECNICO DE PROTECCION DE DATOS</v>
      </c>
      <c r="F24" s="4" t="str">
        <f>IF(COUNTIFS('Base Exámenes'!$C$5:$C$1000, A24, 'Base Exámenes'!$E$5:$E$1000, "&lt;&gt;")&gt;0, "Completado", "Pendiente")</f>
        <v>Completado</v>
      </c>
      <c r="G24" s="27">
        <f>IFERROR(INDEX('Base Exámenes'!$D$5:$D$1000, MATCH(A24&amp;"|"&amp;J24, 'Base Exámenes'!$I$5:$I$1000, 0)), "")</f>
        <v>46296.44081018519</v>
      </c>
      <c r="H24" s="27">
        <f>IFERROR(INDEX('Base Exámenes'!$E$5:$E$1000, MATCH(A24&amp;"|"&amp;J24, 'Base Exámenes'!$I$5:$I$1000, 0)), "")</f>
        <v>46296.44909722222</v>
      </c>
      <c r="I24" s="26">
        <f>IFERROR(INDEX('Base Exámenes'!$F$5:$F$1000, MATCH(A24&amp;"|"&amp;J24, 'Base Exámenes'!$I$5:$I$1000, 0)), "")</f>
        <v>11.9333333333333</v>
      </c>
      <c r="J24" s="6">
        <f>IF(F24="Completado", _xlfn.MAXIFS('Base Exámenes'!$G$5:$G$1000, 'Base Exámenes'!$C$5:$C$1000, A24), "")</f>
        <v>100</v>
      </c>
      <c r="K24" s="6" t="str">
        <f>IFERROR(INDEX('Base Exámenes'!$H$5:$H$1000, MATCH(A24&amp;"|"&amp;J24, 'Base Exámenes'!$I$5:$I$1000, 0)), "anonymous")</f>
        <v>anonymous</v>
      </c>
      <c r="L24" s="95">
        <f>COUNTIF('Base Exámenes'!$C$5:$C$1000, A24)</f>
        <v>1</v>
      </c>
    </row>
    <row r="25">
      <c r="A25" s="4" t="str">
        <f>'Base Oficial'!A25</f>
        <v>45</v>
      </c>
      <c r="B25" s="6" t="str">
        <f>'Base Oficial'!B25</f>
        <v>MARTA LILLIAN VIGIL QUIJANO</v>
      </c>
      <c r="C25" s="6" t="str">
        <f>'Base Oficial'!F25</f>
        <v>GERENCIA  ADMINISTRATIVA</v>
      </c>
      <c r="D25" s="6" t="str">
        <f>'Base Oficial'!G25</f>
        <v>Gerencia Administrativa</v>
      </c>
      <c r="E25" s="6" t="str">
        <f>'Base Oficial'!D25</f>
        <v>ASISTENTE ADMINISTRATIVO DE GERENCIA  ADMINISTRATIVA</v>
      </c>
      <c r="F25" s="4" t="str">
        <f>IF(COUNTIFS('Base Exámenes'!$C$5:$C$1000, A25, 'Base Exámenes'!$E$5:$E$1000, "&lt;&gt;")&gt;0, "Completado", "Pendiente")</f>
        <v>Completado</v>
      </c>
      <c r="G25" s="27">
        <f>IFERROR(INDEX('Base Exámenes'!$D$5:$D$1000, MATCH(A25&amp;"|"&amp;J25, 'Base Exámenes'!$I$5:$I$1000, 0)), "")</f>
        <v>46307.428460648145</v>
      </c>
      <c r="H25" s="27">
        <f>IFERROR(INDEX('Base Exámenes'!$E$5:$E$1000, MATCH(A25&amp;"|"&amp;J25, 'Base Exámenes'!$I$5:$I$1000, 0)), "")</f>
        <v>46307.43666666667</v>
      </c>
      <c r="I25" s="26">
        <f>IFERROR(INDEX('Base Exámenes'!$F$5:$F$1000, MATCH(A25&amp;"|"&amp;J25, 'Base Exámenes'!$I$5:$I$1000, 0)), "")</f>
        <v>11.8166666666667</v>
      </c>
      <c r="J25" s="6">
        <f>IF(F25="Completado", _xlfn.MAXIFS('Base Exámenes'!$G$5:$G$1000, 'Base Exámenes'!$C$5:$C$1000, A25), "")</f>
        <v>100</v>
      </c>
      <c r="K25" s="6" t="str">
        <f>IFERROR(INDEX('Base Exámenes'!$H$5:$H$1000, MATCH(A25&amp;"|"&amp;J25, 'Base Exámenes'!$I$5:$I$1000, 0)), "anonymous")</f>
        <v>anonymous</v>
      </c>
      <c r="L25" s="95">
        <f>COUNTIF('Base Exámenes'!$C$5:$C$1000, A25)</f>
        <v>1</v>
      </c>
    </row>
    <row r="26">
      <c r="A26" s="4" t="str">
        <f>'Base Oficial'!A26</f>
        <v>55</v>
      </c>
      <c r="B26" s="6" t="str">
        <f>'Base Oficial'!B26</f>
        <v>LEONEL EDGARDO SALAZAR RAMIREZ </v>
      </c>
      <c r="C26" s="6" t="str">
        <f>'Base Oficial'!F26</f>
        <v>DEPARTAMENTO DE SERVICIOS GENERALES</v>
      </c>
      <c r="D26" s="6" t="str">
        <f>'Base Oficial'!G26</f>
        <v>Gerencia Administrativa</v>
      </c>
      <c r="E26" s="6" t="str">
        <f>'Base Oficial'!D26</f>
        <v>MENSAJERO</v>
      </c>
      <c r="F26" s="4" t="str">
        <f>IF(COUNTIFS('Base Exámenes'!$C$5:$C$1000, A26, 'Base Exámenes'!$E$5:$E$1000, "&lt;&gt;")&gt;0, "Completado", "Pendiente")</f>
        <v>Completado</v>
      </c>
      <c r="G26" s="27">
        <f>IFERROR(INDEX('Base Exámenes'!$D$5:$D$1000, MATCH(A26&amp;"|"&amp;J26, 'Base Exámenes'!$I$5:$I$1000, 0)), "")</f>
        <v>46300.80671296296</v>
      </c>
      <c r="H26" s="27">
        <f>IFERROR(INDEX('Base Exámenes'!$E$5:$E$1000, MATCH(A26&amp;"|"&amp;J26, 'Base Exámenes'!$I$5:$I$1000, 0)), "")</f>
        <v>46300.81421296296</v>
      </c>
      <c r="I26" s="26">
        <f>IFERROR(INDEX('Base Exámenes'!$F$5:$F$1000, MATCH(A26&amp;"|"&amp;J26, 'Base Exámenes'!$I$5:$I$1000, 0)), "")</f>
        <v>10.8</v>
      </c>
      <c r="J26" s="6">
        <f>IF(F26="Completado", _xlfn.MAXIFS('Base Exámenes'!$G$5:$G$1000, 'Base Exámenes'!$C$5:$C$1000, A26), "")</f>
        <v>90</v>
      </c>
      <c r="K26" s="6" t="str">
        <f>IFERROR(INDEX('Base Exámenes'!$H$5:$H$1000, MATCH(A26&amp;"|"&amp;J26, 'Base Exámenes'!$I$5:$I$1000, 0)), "anonymous")</f>
        <v>anonymous</v>
      </c>
      <c r="L26" s="95">
        <f>COUNTIF('Base Exámenes'!$C$5:$C$1000, A26)</f>
        <v>1</v>
      </c>
    </row>
    <row r="27">
      <c r="A27" s="4" t="str">
        <f>'Base Oficial'!A27</f>
        <v>222</v>
      </c>
      <c r="B27" s="6" t="str">
        <f>'Base Oficial'!B27</f>
        <v>MARIA GUADALUPE MARTINEZ MURCIA </v>
      </c>
      <c r="C27" s="6" t="str">
        <f>'Base Oficial'!F27</f>
        <v>DEPARTAMENTO DE SERVICIOS GENERALES</v>
      </c>
      <c r="D27" s="6" t="str">
        <f>'Base Oficial'!G27</f>
        <v>Gerencia Administrativa</v>
      </c>
      <c r="E27" s="6" t="str">
        <f>'Base Oficial'!D27</f>
        <v>AUXILIAR DE COMPRAS</v>
      </c>
      <c r="F27" s="4" t="str">
        <f>IF(COUNTIFS('Base Exámenes'!$C$5:$C$1000, A27, 'Base Exámenes'!$E$5:$E$1000, "&lt;&gt;")&gt;0, "Completado", "Pendiente")</f>
        <v>Completado</v>
      </c>
      <c r="G27" s="27">
        <f>IFERROR(INDEX('Base Exámenes'!$D$5:$D$1000, MATCH(A27&amp;"|"&amp;J27, 'Base Exámenes'!$I$5:$I$1000, 0)), "")</f>
        <v>46300.65453703704</v>
      </c>
      <c r="H27" s="27">
        <f>IFERROR(INDEX('Base Exámenes'!$E$5:$E$1000, MATCH(A27&amp;"|"&amp;J27, 'Base Exámenes'!$I$5:$I$1000, 0)), "")</f>
        <v>46300.665671296294</v>
      </c>
      <c r="I27" s="26">
        <f>IFERROR(INDEX('Base Exámenes'!$F$5:$F$1000, MATCH(A27&amp;"|"&amp;J27, 'Base Exámenes'!$I$5:$I$1000, 0)), "")</f>
        <v>16.0333333333333</v>
      </c>
      <c r="J27" s="6">
        <f>IF(F27="Completado", _xlfn.MAXIFS('Base Exámenes'!$G$5:$G$1000, 'Base Exámenes'!$C$5:$C$1000, A27), "")</f>
        <v>100</v>
      </c>
      <c r="K27" s="6" t="str">
        <f>IFERROR(INDEX('Base Exámenes'!$H$5:$H$1000, MATCH(A27&amp;"|"&amp;J27, 'Base Exámenes'!$I$5:$I$1000, 0)), "anonymous")</f>
        <v>anonymous</v>
      </c>
      <c r="L27" s="95">
        <f>COUNTIF('Base Exámenes'!$C$5:$C$1000, A27)</f>
        <v>1</v>
      </c>
    </row>
    <row r="28">
      <c r="A28" s="4" t="str">
        <f>'Base Oficial'!A28</f>
        <v>224</v>
      </c>
      <c r="B28" s="6" t="str">
        <f>'Base Oficial'!B28</f>
        <v>JESUS REYES GUZMAN FUENTES </v>
      </c>
      <c r="C28" s="6" t="str">
        <f>'Base Oficial'!F28</f>
        <v>DEPARTAMENTO DE SERVICIOS GENERALES</v>
      </c>
      <c r="D28" s="6" t="str">
        <f>'Base Oficial'!G28</f>
        <v>Gerencia Administrativa</v>
      </c>
      <c r="E28" s="6" t="str">
        <f>'Base Oficial'!D28</f>
        <v>MENSAJERO</v>
      </c>
      <c r="F28" s="4" t="str">
        <f>IF(COUNTIFS('Base Exámenes'!$C$5:$C$1000, A28, 'Base Exámenes'!$E$5:$E$1000, "&lt;&gt;")&gt;0, "Completado", "Pendiente")</f>
        <v>Completado</v>
      </c>
      <c r="G28" s="27">
        <f>IFERROR(INDEX('Base Exámenes'!$D$5:$D$1000, MATCH(A28&amp;"|"&amp;J28, 'Base Exámenes'!$I$5:$I$1000, 0)), "")</f>
        <v>46297.834652777776</v>
      </c>
      <c r="H28" s="27">
        <f>IFERROR(INDEX('Base Exámenes'!$E$5:$E$1000, MATCH(A28&amp;"|"&amp;J28, 'Base Exámenes'!$I$5:$I$1000, 0)), "")</f>
        <v>46297.84905092593</v>
      </c>
      <c r="I28" s="26">
        <f>IFERROR(INDEX('Base Exámenes'!$F$5:$F$1000, MATCH(A28&amp;"|"&amp;J28, 'Base Exámenes'!$I$5:$I$1000, 0)), "")</f>
        <v>20.7333333333333</v>
      </c>
      <c r="J28" s="6">
        <f>IF(F28="Completado", _xlfn.MAXIFS('Base Exámenes'!$G$5:$G$1000, 'Base Exámenes'!$C$5:$C$1000, A28), "")</f>
        <v>80</v>
      </c>
      <c r="K28" s="6" t="str">
        <f>IFERROR(INDEX('Base Exámenes'!$H$5:$H$1000, MATCH(A28&amp;"|"&amp;J28, 'Base Exámenes'!$I$5:$I$1000, 0)), "anonymous")</f>
        <v>anonymous</v>
      </c>
      <c r="L28" s="95">
        <f>COUNTIF('Base Exámenes'!$C$5:$C$1000, A28)</f>
        <v>1</v>
      </c>
    </row>
    <row r="29">
      <c r="A29" s="4" t="str">
        <f>'Base Oficial'!A29</f>
        <v>387</v>
      </c>
      <c r="B29" s="6" t="str">
        <f>'Base Oficial'!B29</f>
        <v>CELINA CECILIA ANZORA BERNAL </v>
      </c>
      <c r="C29" s="6" t="str">
        <f>'Base Oficial'!F29</f>
        <v>DEPARTAMENTO DE SERVICIOS GENERALES</v>
      </c>
      <c r="D29" s="6" t="str">
        <f>'Base Oficial'!G29</f>
        <v>Gerencia Administrativa</v>
      </c>
      <c r="E29" s="6" t="str">
        <f>'Base Oficial'!D29</f>
        <v>SERVICIOS VARIOS</v>
      </c>
      <c r="F29" s="4" t="str">
        <f>IF(COUNTIFS('Base Exámenes'!$C$5:$C$1000, A29, 'Base Exámenes'!$E$5:$E$1000, "&lt;&gt;")&gt;0, "Completado", "Pendiente")</f>
        <v>Completado</v>
      </c>
      <c r="G29" s="27">
        <f>IFERROR(INDEX('Base Exámenes'!$D$5:$D$1000, MATCH(A29&amp;"|"&amp;J29, 'Base Exámenes'!$I$5:$I$1000, 0)), "")</f>
        <v>46298.41678240741</v>
      </c>
      <c r="H29" s="27">
        <f>IFERROR(INDEX('Base Exámenes'!$E$5:$E$1000, MATCH(A29&amp;"|"&amp;J29, 'Base Exámenes'!$I$5:$I$1000, 0)), "")</f>
        <v>46298.4184375</v>
      </c>
      <c r="I29" s="26">
        <f>IFERROR(INDEX('Base Exámenes'!$F$5:$F$1000, MATCH(A29&amp;"|"&amp;J29, 'Base Exámenes'!$I$5:$I$1000, 0)), "")</f>
        <v>2.38333333333333</v>
      </c>
      <c r="J29" s="6">
        <f>IF(F29="Completado", _xlfn.MAXIFS('Base Exámenes'!$G$5:$G$1000, 'Base Exámenes'!$C$5:$C$1000, A29), "")</f>
        <v>90</v>
      </c>
      <c r="K29" s="6" t="str">
        <f>IFERROR(INDEX('Base Exámenes'!$H$5:$H$1000, MATCH(A29&amp;"|"&amp;J29, 'Base Exámenes'!$I$5:$I$1000, 0)), "anonymous")</f>
        <v>anonymous</v>
      </c>
      <c r="L29" s="95">
        <f>COUNTIF('Base Exámenes'!$C$5:$C$1000, A29)</f>
        <v>1</v>
      </c>
    </row>
    <row r="30">
      <c r="A30" s="4" t="str">
        <f>'Base Oficial'!A30</f>
        <v>430</v>
      </c>
      <c r="B30" s="6" t="str">
        <f>'Base Oficial'!B30</f>
        <v>MARIO ROSALES VASQUEZ </v>
      </c>
      <c r="C30" s="6" t="str">
        <f>'Base Oficial'!F30</f>
        <v>DEPARTAMENTO DE SERVICIOS GENERALES</v>
      </c>
      <c r="D30" s="6" t="str">
        <f>'Base Oficial'!G30</f>
        <v>Gerencia Administrativa</v>
      </c>
      <c r="E30" s="6" t="str">
        <f>'Base Oficial'!D30</f>
        <v>MENSAJERO</v>
      </c>
      <c r="F30" s="4" t="str">
        <f>IF(COUNTIFS('Base Exámenes'!$C$5:$C$1000, A30, 'Base Exámenes'!$E$5:$E$1000, "&lt;&gt;")&gt;0, "Completado", "Pendiente")</f>
        <v>Completado</v>
      </c>
      <c r="G30" s="27">
        <f>IFERROR(INDEX('Base Exámenes'!$D$5:$D$1000, MATCH(A30&amp;"|"&amp;J30, 'Base Exámenes'!$I$5:$I$1000, 0)), "")</f>
        <v>46300.399930555555</v>
      </c>
      <c r="H30" s="27">
        <f>IFERROR(INDEX('Base Exámenes'!$E$5:$E$1000, MATCH(A30&amp;"|"&amp;J30, 'Base Exámenes'!$I$5:$I$1000, 0)), "")</f>
        <v>46300.40560185185</v>
      </c>
      <c r="I30" s="26">
        <f>IFERROR(INDEX('Base Exámenes'!$F$5:$F$1000, MATCH(A30&amp;"|"&amp;J30, 'Base Exámenes'!$I$5:$I$1000, 0)), "")</f>
        <v>8.16666666666667</v>
      </c>
      <c r="J30" s="6">
        <f>IF(F30="Completado", _xlfn.MAXIFS('Base Exámenes'!$G$5:$G$1000, 'Base Exámenes'!$C$5:$C$1000, A30), "")</f>
        <v>100</v>
      </c>
      <c r="K30" s="6" t="str">
        <f>IFERROR(INDEX('Base Exámenes'!$H$5:$H$1000, MATCH(A30&amp;"|"&amp;J30, 'Base Exámenes'!$I$5:$I$1000, 0)), "anonymous")</f>
        <v>anonymous</v>
      </c>
      <c r="L30" s="95">
        <f>COUNTIF('Base Exámenes'!$C$5:$C$1000, A30)</f>
        <v>2</v>
      </c>
    </row>
    <row r="31">
      <c r="A31" s="4" t="str">
        <f>'Base Oficial'!A31</f>
        <v>436</v>
      </c>
      <c r="B31" s="6" t="str">
        <f>'Base Oficial'!B31</f>
        <v>MAURICIO ANTONIO RAMIREZ PEREZ </v>
      </c>
      <c r="C31" s="6" t="str">
        <f>'Base Oficial'!F31</f>
        <v>DEPARTAMENTO DE SERVICIOS GENERALES</v>
      </c>
      <c r="D31" s="6" t="str">
        <f>'Base Oficial'!G31</f>
        <v>Gerencia Administrativa</v>
      </c>
      <c r="E31" s="6" t="str">
        <f>'Base Oficial'!D31</f>
        <v>AUXILIAR DE MANTENIMIENTO</v>
      </c>
      <c r="F31" s="4" t="str">
        <f>IF(COUNTIFS('Base Exámenes'!$C$5:$C$1000, A31, 'Base Exámenes'!$E$5:$E$1000, "&lt;&gt;")&gt;0, "Completado", "Pendiente")</f>
        <v>Completado</v>
      </c>
      <c r="G31" s="27">
        <f>IFERROR(INDEX('Base Exámenes'!$D$5:$D$1000, MATCH(A31&amp;"|"&amp;J31, 'Base Exámenes'!$I$5:$I$1000, 0)), "")</f>
        <v>46306.42859953704</v>
      </c>
      <c r="H31" s="27">
        <f>IFERROR(INDEX('Base Exámenes'!$E$5:$E$1000, MATCH(A31&amp;"|"&amp;J31, 'Base Exámenes'!$I$5:$I$1000, 0)), "")</f>
        <v>46306.43788194445</v>
      </c>
      <c r="I31" s="26">
        <f>IFERROR(INDEX('Base Exámenes'!$F$5:$F$1000, MATCH(A31&amp;"|"&amp;J31, 'Base Exámenes'!$I$5:$I$1000, 0)), "")</f>
        <v>13.3666666666667</v>
      </c>
      <c r="J31" s="6">
        <f>IF(F31="Completado", _xlfn.MAXIFS('Base Exámenes'!$G$5:$G$1000, 'Base Exámenes'!$C$5:$C$1000, A31), "")</f>
        <v>90</v>
      </c>
      <c r="K31" s="6" t="str">
        <f>IFERROR(INDEX('Base Exámenes'!$H$5:$H$1000, MATCH(A31&amp;"|"&amp;J31, 'Base Exámenes'!$I$5:$I$1000, 0)), "anonymous")</f>
        <v>anonymous</v>
      </c>
      <c r="L31" s="95">
        <f>COUNTIF('Base Exámenes'!$C$5:$C$1000, A31)</f>
        <v>1</v>
      </c>
    </row>
    <row r="32">
      <c r="A32" s="4" t="str">
        <f>'Base Oficial'!A32</f>
        <v>522</v>
      </c>
      <c r="B32" s="6" t="str">
        <f>'Base Oficial'!B32</f>
        <v>MARGARITA GUADALUPE  HENRIQUEZ ELIAS </v>
      </c>
      <c r="C32" s="6" t="str">
        <f>'Base Oficial'!F32</f>
        <v>DEPARTAMENTO DE SERVICIOS GENERALES</v>
      </c>
      <c r="D32" s="6" t="str">
        <f>'Base Oficial'!G32</f>
        <v>Gerencia Administrativa</v>
      </c>
      <c r="E32" s="6" t="str">
        <f>'Base Oficial'!D32</f>
        <v>SERVICIOS VARIOS</v>
      </c>
      <c r="F32" s="4" t="str">
        <f>IF(COUNTIFS('Base Exámenes'!$C$5:$C$1000, A32, 'Base Exámenes'!$E$5:$E$1000, "&lt;&gt;")&gt;0, "Completado", "Pendiente")</f>
        <v>Completado</v>
      </c>
      <c r="G32" s="27">
        <f>IFERROR(INDEX('Base Exámenes'!$D$5:$D$1000, MATCH(A32&amp;"|"&amp;J32, 'Base Exámenes'!$I$5:$I$1000, 0)), "")</f>
        <v>46297.84774305556</v>
      </c>
      <c r="H32" s="27">
        <f>IFERROR(INDEX('Base Exámenes'!$E$5:$E$1000, MATCH(A32&amp;"|"&amp;J32, 'Base Exámenes'!$I$5:$I$1000, 0)), "")</f>
        <v>46297.85355324074</v>
      </c>
      <c r="I32" s="26">
        <f>IFERROR(INDEX('Base Exámenes'!$F$5:$F$1000, MATCH(A32&amp;"|"&amp;J32, 'Base Exámenes'!$I$5:$I$1000, 0)), "")</f>
        <v>8.36666666666667</v>
      </c>
      <c r="J32" s="6">
        <f>IF(F32="Completado", _xlfn.MAXIFS('Base Exámenes'!$G$5:$G$1000, 'Base Exámenes'!$C$5:$C$1000, A32), "")</f>
        <v>85</v>
      </c>
      <c r="K32" s="6" t="str">
        <f>IFERROR(INDEX('Base Exámenes'!$H$5:$H$1000, MATCH(A32&amp;"|"&amp;J32, 'Base Exámenes'!$I$5:$I$1000, 0)), "anonymous")</f>
        <v>anonymous</v>
      </c>
      <c r="L32" s="95">
        <f>COUNTIF('Base Exámenes'!$C$5:$C$1000, A32)</f>
        <v>1</v>
      </c>
    </row>
    <row r="33">
      <c r="A33" s="4" t="str">
        <f>'Base Oficial'!A33</f>
        <v>587</v>
      </c>
      <c r="B33" s="6" t="str">
        <f>'Base Oficial'!B33</f>
        <v>JOSE ROSALIO GARCIA SOTO </v>
      </c>
      <c r="C33" s="6" t="str">
        <f>'Base Oficial'!F33</f>
        <v>DEPARTAMENTO DE SERVICIOS GENERALES</v>
      </c>
      <c r="D33" s="6" t="str">
        <f>'Base Oficial'!G33</f>
        <v>Gerencia Administrativa</v>
      </c>
      <c r="E33" s="6" t="str">
        <f>'Base Oficial'!D33</f>
        <v>JARDINERO</v>
      </c>
      <c r="F33" s="4" t="str">
        <f>IF(COUNTIFS('Base Exámenes'!$C$5:$C$1000, A33, 'Base Exámenes'!$E$5:$E$1000, "&lt;&gt;")&gt;0, "Completado", "Pendiente")</f>
        <v>Completado</v>
      </c>
      <c r="G33" s="27">
        <f>IFERROR(INDEX('Base Exámenes'!$D$5:$D$1000, MATCH(A33&amp;"|"&amp;J33, 'Base Exámenes'!$I$5:$I$1000, 0)), "")</f>
        <v>46298.40037037037</v>
      </c>
      <c r="H33" s="27">
        <f>IFERROR(INDEX('Base Exámenes'!$E$5:$E$1000, MATCH(A33&amp;"|"&amp;J33, 'Base Exámenes'!$I$5:$I$1000, 0)), "")</f>
        <v>46298.41559027778</v>
      </c>
      <c r="I33" s="26">
        <f>IFERROR(INDEX('Base Exámenes'!$F$5:$F$1000, MATCH(A33&amp;"|"&amp;J33, 'Base Exámenes'!$I$5:$I$1000, 0)), "")</f>
        <v>21.9166666666667</v>
      </c>
      <c r="J33" s="6">
        <f>IF(F33="Completado", _xlfn.MAXIFS('Base Exámenes'!$G$5:$G$1000, 'Base Exámenes'!$C$5:$C$1000, A33), "")</f>
        <v>90</v>
      </c>
      <c r="K33" s="6" t="str">
        <f>IFERROR(INDEX('Base Exámenes'!$H$5:$H$1000, MATCH(A33&amp;"|"&amp;J33, 'Base Exámenes'!$I$5:$I$1000, 0)), "anonymous")</f>
        <v>anonymous</v>
      </c>
      <c r="L33" s="95">
        <f>COUNTIF('Base Exámenes'!$C$5:$C$1000, A33)</f>
        <v>1</v>
      </c>
    </row>
    <row r="34">
      <c r="A34" s="4" t="str">
        <f>'Base Oficial'!A34</f>
        <v>599</v>
      </c>
      <c r="B34" s="6" t="str">
        <f>'Base Oficial'!B34</f>
        <v>MAIRA ELIZABETH PEREZ LEIVA</v>
      </c>
      <c r="C34" s="6" t="str">
        <f>'Base Oficial'!F34</f>
        <v>DEPARTAMENTO DE SERVICIOS GENERALES</v>
      </c>
      <c r="D34" s="6" t="str">
        <f>'Base Oficial'!G34</f>
        <v>Gerencia Administrativa</v>
      </c>
      <c r="E34" s="6" t="str">
        <f>'Base Oficial'!D34</f>
        <v>JEFE DE SERVICIOS GENERALES</v>
      </c>
      <c r="F34" s="4" t="str">
        <f>IF(COUNTIFS('Base Exámenes'!$C$5:$C$1000, A34, 'Base Exámenes'!$E$5:$E$1000, "&lt;&gt;")&gt;0, "Completado", "Pendiente")</f>
        <v>Completado</v>
      </c>
      <c r="G34" s="27">
        <f>IFERROR(INDEX('Base Exámenes'!$D$5:$D$1000, MATCH(A34&amp;"|"&amp;J34, 'Base Exámenes'!$I$5:$I$1000, 0)), "")</f>
        <v>46300.7419212963</v>
      </c>
      <c r="H34" s="27">
        <f>IFERROR(INDEX('Base Exámenes'!$E$5:$E$1000, MATCH(A34&amp;"|"&amp;J34, 'Base Exámenes'!$I$5:$I$1000, 0)), "")</f>
        <v>46300.748703703706</v>
      </c>
      <c r="I34" s="26">
        <f>IFERROR(INDEX('Base Exámenes'!$F$5:$F$1000, MATCH(A34&amp;"|"&amp;J34, 'Base Exámenes'!$I$5:$I$1000, 0)), "")</f>
        <v>9.76666666666667</v>
      </c>
      <c r="J34" s="6">
        <f>IF(F34="Completado", _xlfn.MAXIFS('Base Exámenes'!$G$5:$G$1000, 'Base Exámenes'!$C$5:$C$1000, A34), "")</f>
        <v>100</v>
      </c>
      <c r="K34" s="6" t="str">
        <f>IFERROR(INDEX('Base Exámenes'!$H$5:$H$1000, MATCH(A34&amp;"|"&amp;J34, 'Base Exámenes'!$I$5:$I$1000, 0)), "anonymous")</f>
        <v>anonymous</v>
      </c>
      <c r="L34" s="95">
        <f>COUNTIF('Base Exámenes'!$C$5:$C$1000, A34)</f>
        <v>1</v>
      </c>
    </row>
    <row r="35">
      <c r="A35" s="4" t="str">
        <f>'Base Oficial'!A35</f>
        <v>684</v>
      </c>
      <c r="B35" s="6" t="str">
        <f>'Base Oficial'!B35</f>
        <v>ILIANA CAROLINA FLAMENCO FLORES </v>
      </c>
      <c r="C35" s="6" t="str">
        <f>'Base Oficial'!F35</f>
        <v>DEPARTAMENTO DE SERVICIOS GENERALES</v>
      </c>
      <c r="D35" s="6" t="str">
        <f>'Base Oficial'!G35</f>
        <v>Gerencia Administrativa</v>
      </c>
      <c r="E35" s="6" t="str">
        <f>'Base Oficial'!D35</f>
        <v>SERVICIOS VARIOS</v>
      </c>
      <c r="F35" s="4" t="str">
        <f>IF(COUNTIFS('Base Exámenes'!$C$5:$C$1000, A35, 'Base Exámenes'!$E$5:$E$1000, "&lt;&gt;")&gt;0, "Completado", "Pendiente")</f>
        <v>Completado</v>
      </c>
      <c r="G35" s="27">
        <f>IFERROR(INDEX('Base Exámenes'!$D$5:$D$1000, MATCH(A35&amp;"|"&amp;J35, 'Base Exámenes'!$I$5:$I$1000, 0)), "")</f>
        <v>46298.29701388889</v>
      </c>
      <c r="H35" s="27">
        <f>IFERROR(INDEX('Base Exámenes'!$E$5:$E$1000, MATCH(A35&amp;"|"&amp;J35, 'Base Exámenes'!$I$5:$I$1000, 0)), "")</f>
        <v>46298.300208333334</v>
      </c>
      <c r="I35" s="26">
        <f>IFERROR(INDEX('Base Exámenes'!$F$5:$F$1000, MATCH(A35&amp;"|"&amp;J35, 'Base Exámenes'!$I$5:$I$1000, 0)), "")</f>
        <v>4.6</v>
      </c>
      <c r="J35" s="6">
        <f>IF(F35="Completado", _xlfn.MAXIFS('Base Exámenes'!$G$5:$G$1000, 'Base Exámenes'!$C$5:$C$1000, A35), "")</f>
        <v>80</v>
      </c>
      <c r="K35" s="6" t="str">
        <f>IFERROR(INDEX('Base Exámenes'!$H$5:$H$1000, MATCH(A35&amp;"|"&amp;J35, 'Base Exámenes'!$I$5:$I$1000, 0)), "anonymous")</f>
        <v>anonymous</v>
      </c>
      <c r="L35" s="95">
        <f>COUNTIF('Base Exámenes'!$C$5:$C$1000, A35)</f>
        <v>1</v>
      </c>
    </row>
    <row r="36">
      <c r="A36" s="4" t="str">
        <f>'Base Oficial'!A36</f>
        <v>803</v>
      </c>
      <c r="B36" s="6" t="str">
        <f>'Base Oficial'!B36</f>
        <v>CHRISTIAN GEORGE FIGUEROA BLANCO </v>
      </c>
      <c r="C36" s="6" t="str">
        <f>'Base Oficial'!F36</f>
        <v>DEPARTAMENTO DE SERVICIOS GENERALES</v>
      </c>
      <c r="D36" s="6" t="str">
        <f>'Base Oficial'!G36</f>
        <v>Gerencia Administrativa</v>
      </c>
      <c r="E36" s="6" t="str">
        <f>'Base Oficial'!D36</f>
        <v>MENSAJERO</v>
      </c>
      <c r="F36" s="4" t="str">
        <f>IF(COUNTIFS('Base Exámenes'!$C$5:$C$1000, A36, 'Base Exámenes'!$E$5:$E$1000, "&lt;&gt;")&gt;0, "Completado", "Pendiente")</f>
        <v>Completado</v>
      </c>
      <c r="G36" s="27">
        <f>IFERROR(INDEX('Base Exámenes'!$D$5:$D$1000, MATCH(A36&amp;"|"&amp;J36, 'Base Exámenes'!$I$5:$I$1000, 0)), "")</f>
        <v>46300.70214120371</v>
      </c>
      <c r="H36" s="27">
        <f>IFERROR(INDEX('Base Exámenes'!$E$5:$E$1000, MATCH(A36&amp;"|"&amp;J36, 'Base Exámenes'!$I$5:$I$1000, 0)), "")</f>
        <v>46300.70883101852</v>
      </c>
      <c r="I36" s="26">
        <f>IFERROR(INDEX('Base Exámenes'!$F$5:$F$1000, MATCH(A36&amp;"|"&amp;J36, 'Base Exámenes'!$I$5:$I$1000, 0)), "")</f>
        <v>9.63333333333333</v>
      </c>
      <c r="J36" s="6">
        <f>IF(F36="Completado", _xlfn.MAXIFS('Base Exámenes'!$G$5:$G$1000, 'Base Exámenes'!$C$5:$C$1000, A36), "")</f>
        <v>60</v>
      </c>
      <c r="K36" s="6" t="str">
        <f>IFERROR(INDEX('Base Exámenes'!$H$5:$H$1000, MATCH(A36&amp;"|"&amp;J36, 'Base Exámenes'!$I$5:$I$1000, 0)), "anonymous")</f>
        <v>anonymous</v>
      </c>
      <c r="L36" s="95">
        <f>COUNTIF('Base Exámenes'!$C$5:$C$1000, A36)</f>
        <v>1</v>
      </c>
    </row>
    <row r="37">
      <c r="A37" s="4" t="str">
        <f>'Base Oficial'!A37</f>
        <v>830</v>
      </c>
      <c r="B37" s="6" t="str">
        <f>'Base Oficial'!B37</f>
        <v>GERMAN ALBERTO  CAMPOS TORRES </v>
      </c>
      <c r="C37" s="6" t="str">
        <f>'Base Oficial'!F37</f>
        <v>DEPARTAMENTO DE SERVICIOS GENERALES</v>
      </c>
      <c r="D37" s="6" t="str">
        <f>'Base Oficial'!G37</f>
        <v>Gerencia Administrativa</v>
      </c>
      <c r="E37" s="6" t="str">
        <f>'Base Oficial'!D37</f>
        <v>TECNICO EN MANTENIMIENTO</v>
      </c>
      <c r="F37" s="4" t="str">
        <f>IF(COUNTIFS('Base Exámenes'!$C$5:$C$1000, A37, 'Base Exámenes'!$E$5:$E$1000, "&lt;&gt;")&gt;0, "Completado", "Pendiente")</f>
        <v>Completado</v>
      </c>
      <c r="G37" s="27">
        <f>IFERROR(INDEX('Base Exámenes'!$D$5:$D$1000, MATCH(A37&amp;"|"&amp;J37, 'Base Exámenes'!$I$5:$I$1000, 0)), "")</f>
        <v>46307.39894675926</v>
      </c>
      <c r="H37" s="27">
        <f>IFERROR(INDEX('Base Exámenes'!$E$5:$E$1000, MATCH(A37&amp;"|"&amp;J37, 'Base Exámenes'!$I$5:$I$1000, 0)), "")</f>
        <v>46307.402291666665</v>
      </c>
      <c r="I37" s="26">
        <f>IFERROR(INDEX('Base Exámenes'!$F$5:$F$1000, MATCH(A37&amp;"|"&amp;J37, 'Base Exámenes'!$I$5:$I$1000, 0)), "")</f>
        <v>4.81666666666667</v>
      </c>
      <c r="J37" s="6">
        <f>IF(F37="Completado", _xlfn.MAXIFS('Base Exámenes'!$G$5:$G$1000, 'Base Exámenes'!$C$5:$C$1000, A37), "")</f>
        <v>100</v>
      </c>
      <c r="K37" s="6" t="str">
        <f>IFERROR(INDEX('Base Exámenes'!$H$5:$H$1000, MATCH(A37&amp;"|"&amp;J37, 'Base Exámenes'!$I$5:$I$1000, 0)), "anonymous")</f>
        <v>anonymous</v>
      </c>
      <c r="L37" s="95">
        <f>COUNTIF('Base Exámenes'!$C$5:$C$1000, A37)</f>
        <v>2</v>
      </c>
    </row>
    <row r="38">
      <c r="A38" s="4" t="str">
        <f>'Base Oficial'!A38</f>
        <v>852</v>
      </c>
      <c r="B38" s="6" t="str">
        <f>'Base Oficial'!B38</f>
        <v>JONATHAN ENRIQUE  AQUINO SANCHEZ </v>
      </c>
      <c r="C38" s="6" t="str">
        <f>'Base Oficial'!F38</f>
        <v>DEPARTAMENTO DE SERVICIOS GENERALES</v>
      </c>
      <c r="D38" s="6" t="str">
        <f>'Base Oficial'!G38</f>
        <v>Gerencia Administrativa</v>
      </c>
      <c r="E38" s="6" t="str">
        <f>'Base Oficial'!D38</f>
        <v>SERVICIOS VARIOS</v>
      </c>
      <c r="F38" s="4" t="str">
        <f>IF(COUNTIFS('Base Exámenes'!$C$5:$C$1000, A38, 'Base Exámenes'!$E$5:$E$1000, "&lt;&gt;")&gt;0, "Completado", "Pendiente")</f>
        <v>Completado</v>
      </c>
      <c r="G38" s="27">
        <f>IFERROR(INDEX('Base Exámenes'!$D$5:$D$1000, MATCH(A38&amp;"|"&amp;J38, 'Base Exámenes'!$I$5:$I$1000, 0)), "")</f>
        <v>46300.52502314815</v>
      </c>
      <c r="H38" s="27">
        <f>IFERROR(INDEX('Base Exámenes'!$E$5:$E$1000, MATCH(A38&amp;"|"&amp;J38, 'Base Exámenes'!$I$5:$I$1000, 0)), "")</f>
        <v>46300.53921296296</v>
      </c>
      <c r="I38" s="26">
        <f>IFERROR(INDEX('Base Exámenes'!$F$5:$F$1000, MATCH(A38&amp;"|"&amp;J38, 'Base Exámenes'!$I$5:$I$1000, 0)), "")</f>
        <v>20.4333333333333</v>
      </c>
      <c r="J38" s="6">
        <f>IF(F38="Completado", _xlfn.MAXIFS('Base Exámenes'!$G$5:$G$1000, 'Base Exámenes'!$C$5:$C$1000, A38), "")</f>
        <v>90</v>
      </c>
      <c r="K38" s="6" t="str">
        <f>IFERROR(INDEX('Base Exámenes'!$H$5:$H$1000, MATCH(A38&amp;"|"&amp;J38, 'Base Exámenes'!$I$5:$I$1000, 0)), "anonymous")</f>
        <v>anonymous</v>
      </c>
      <c r="L38" s="95">
        <f>COUNTIF('Base Exámenes'!$C$5:$C$1000, A38)</f>
        <v>1</v>
      </c>
    </row>
    <row r="39">
      <c r="A39" s="4" t="str">
        <f>'Base Oficial'!A39</f>
        <v>875</v>
      </c>
      <c r="B39" s="6" t="str">
        <f>'Base Oficial'!B39</f>
        <v>BELLY EMERSON RIVERA ASCENCIO </v>
      </c>
      <c r="C39" s="6" t="str">
        <f>'Base Oficial'!F39</f>
        <v>DEPARTAMENTO DE SERVICIOS GENERALES</v>
      </c>
      <c r="D39" s="6" t="str">
        <f>'Base Oficial'!G39</f>
        <v>Gerencia Administrativa</v>
      </c>
      <c r="E39" s="6" t="str">
        <f>'Base Oficial'!D39</f>
        <v>SERVICIOS VARIOS</v>
      </c>
      <c r="F39" s="4" t="str">
        <f>IF(COUNTIFS('Base Exámenes'!$C$5:$C$1000, A39, 'Base Exámenes'!$E$5:$E$1000, "&lt;&gt;")&gt;0, "Completado", "Pendiente")</f>
        <v>Completado</v>
      </c>
      <c r="G39" s="27">
        <f>IFERROR(INDEX('Base Exámenes'!$D$5:$D$1000, MATCH(A39&amp;"|"&amp;J39, 'Base Exámenes'!$I$5:$I$1000, 0)), "")</f>
        <v>46298.40277777778</v>
      </c>
      <c r="H39" s="27">
        <f>IFERROR(INDEX('Base Exámenes'!$E$5:$E$1000, MATCH(A39&amp;"|"&amp;J39, 'Base Exámenes'!$I$5:$I$1000, 0)), "")</f>
        <v>46298.41583333333</v>
      </c>
      <c r="I39" s="26">
        <f>IFERROR(INDEX('Base Exámenes'!$F$5:$F$1000, MATCH(A39&amp;"|"&amp;J39, 'Base Exámenes'!$I$5:$I$1000, 0)), "")</f>
        <v>18.8</v>
      </c>
      <c r="J39" s="6">
        <f>IF(F39="Completado", _xlfn.MAXIFS('Base Exámenes'!$G$5:$G$1000, 'Base Exámenes'!$C$5:$C$1000, A39), "")</f>
        <v>100</v>
      </c>
      <c r="K39" s="6" t="str">
        <f>IFERROR(INDEX('Base Exámenes'!$H$5:$H$1000, MATCH(A39&amp;"|"&amp;J39, 'Base Exámenes'!$I$5:$I$1000, 0)), "anonymous")</f>
        <v>anonymous</v>
      </c>
      <c r="L39" s="95">
        <f>COUNTIF('Base Exámenes'!$C$5:$C$1000, A39)</f>
        <v>1</v>
      </c>
    </row>
    <row r="40">
      <c r="A40" s="4" t="str">
        <f>'Base Oficial'!A40</f>
        <v>926</v>
      </c>
      <c r="B40" s="6" t="str">
        <f>'Base Oficial'!B40</f>
        <v>ANDRES VLADIMIR LUNA GUEVARA </v>
      </c>
      <c r="C40" s="6" t="str">
        <f>'Base Oficial'!F40</f>
        <v>DEPARTAMENTO DE SERVICIOS GENERALES</v>
      </c>
      <c r="D40" s="6" t="str">
        <f>'Base Oficial'!G40</f>
        <v>Gerencia Administrativa</v>
      </c>
      <c r="E40" s="6" t="str">
        <f>'Base Oficial'!D40</f>
        <v>MENSAJERO</v>
      </c>
      <c r="F40" s="4" t="str">
        <f>IF(COUNTIFS('Base Exámenes'!$C$5:$C$1000, A40, 'Base Exámenes'!$E$5:$E$1000, "&lt;&gt;")&gt;0, "Completado", "Pendiente")</f>
        <v>Completado</v>
      </c>
      <c r="G40" s="27">
        <f>IFERROR(INDEX('Base Exámenes'!$D$5:$D$1000, MATCH(A40&amp;"|"&amp;J40, 'Base Exámenes'!$I$5:$I$1000, 0)), "")</f>
        <v>46300.60138888889</v>
      </c>
      <c r="H40" s="27">
        <f>IFERROR(INDEX('Base Exámenes'!$E$5:$E$1000, MATCH(A40&amp;"|"&amp;J40, 'Base Exámenes'!$I$5:$I$1000, 0)), "")</f>
        <v>46300.60789351852</v>
      </c>
      <c r="I40" s="26">
        <f>IFERROR(INDEX('Base Exámenes'!$F$5:$F$1000, MATCH(A40&amp;"|"&amp;J40, 'Base Exámenes'!$I$5:$I$1000, 0)), "")</f>
        <v>9.36666666666667</v>
      </c>
      <c r="J40" s="6">
        <f>IF(F40="Completado", _xlfn.MAXIFS('Base Exámenes'!$G$5:$G$1000, 'Base Exámenes'!$C$5:$C$1000, A40), "")</f>
        <v>90</v>
      </c>
      <c r="K40" s="6" t="str">
        <f>IFERROR(INDEX('Base Exámenes'!$H$5:$H$1000, MATCH(A40&amp;"|"&amp;J40, 'Base Exámenes'!$I$5:$I$1000, 0)), "anonymous")</f>
        <v>anonymous</v>
      </c>
      <c r="L40" s="95">
        <f>COUNTIF('Base Exámenes'!$C$5:$C$1000, A40)</f>
        <v>1</v>
      </c>
    </row>
    <row r="41">
      <c r="A41" s="4" t="str">
        <f>'Base Oficial'!A41</f>
        <v>959</v>
      </c>
      <c r="B41" s="6" t="str">
        <f>'Base Oficial'!B41</f>
        <v>XIOMARA JEANNETTE ESCOBAR PORTILLO </v>
      </c>
      <c r="C41" s="6" t="str">
        <f>'Base Oficial'!F41</f>
        <v>DEPARTAMENTO DE SERVICIOS GENERALES</v>
      </c>
      <c r="D41" s="6" t="str">
        <f>'Base Oficial'!G41</f>
        <v>Gerencia Administrativa</v>
      </c>
      <c r="E41" s="6" t="str">
        <f>'Base Oficial'!D41</f>
        <v>SERVICIOS VARIOS</v>
      </c>
      <c r="F41" s="4" t="str">
        <f>IF(COUNTIFS('Base Exámenes'!$C$5:$C$1000, A41, 'Base Exámenes'!$E$5:$E$1000, "&lt;&gt;")&gt;0, "Completado", "Pendiente")</f>
        <v>Completado</v>
      </c>
      <c r="G41" s="27">
        <f>IFERROR(INDEX('Base Exámenes'!$D$5:$D$1000, MATCH(A41&amp;"|"&amp;J41, 'Base Exámenes'!$I$5:$I$1000, 0)), "")</f>
        <v>46297.771944444445</v>
      </c>
      <c r="H41" s="27">
        <f>IFERROR(INDEX('Base Exámenes'!$E$5:$E$1000, MATCH(A41&amp;"|"&amp;J41, 'Base Exámenes'!$I$5:$I$1000, 0)), "")</f>
        <v>46297.78946759259</v>
      </c>
      <c r="I41" s="26">
        <f>IFERROR(INDEX('Base Exámenes'!$F$5:$F$1000, MATCH(A41&amp;"|"&amp;J41, 'Base Exámenes'!$I$5:$I$1000, 0)), "")</f>
        <v>25.2333333333333</v>
      </c>
      <c r="J41" s="6">
        <f>IF(F41="Completado", _xlfn.MAXIFS('Base Exámenes'!$G$5:$G$1000, 'Base Exámenes'!$C$5:$C$1000, A41), "")</f>
        <v>90</v>
      </c>
      <c r="K41" s="6" t="str">
        <f>IFERROR(INDEX('Base Exámenes'!$H$5:$H$1000, MATCH(A41&amp;"|"&amp;J41, 'Base Exámenes'!$I$5:$I$1000, 0)), "anonymous")</f>
        <v>anonymous</v>
      </c>
      <c r="L41" s="95">
        <f>COUNTIF('Base Exámenes'!$C$5:$C$1000, A41)</f>
        <v>1</v>
      </c>
    </row>
    <row r="42">
      <c r="A42" s="4" t="str">
        <f>'Base Oficial'!A42</f>
        <v>972</v>
      </c>
      <c r="B42" s="6" t="str">
        <f>'Base Oficial'!B42</f>
        <v>GEOVANNY GABRIEL RODRIGUEZ SOLORZANO </v>
      </c>
      <c r="C42" s="6" t="str">
        <f>'Base Oficial'!F42</f>
        <v>DEPARTAMENTO DE SERVICIOS GENERALES</v>
      </c>
      <c r="D42" s="6" t="str">
        <f>'Base Oficial'!G42</f>
        <v>Gerencia Administrativa</v>
      </c>
      <c r="E42" s="6" t="str">
        <f>'Base Oficial'!D42</f>
        <v>AUXILIAR DE ACTIVO FIJO Y ALMACEN</v>
      </c>
      <c r="F42" s="4" t="str">
        <f>IF(COUNTIFS('Base Exámenes'!$C$5:$C$1000, A42, 'Base Exámenes'!$E$5:$E$1000, "&lt;&gt;")&gt;0, "Completado", "Pendiente")</f>
        <v>Completado</v>
      </c>
      <c r="G42" s="27">
        <f>IFERROR(INDEX('Base Exámenes'!$D$5:$D$1000, MATCH(A42&amp;"|"&amp;J42, 'Base Exámenes'!$I$5:$I$1000, 0)), "")</f>
        <v>46304.51767361111</v>
      </c>
      <c r="H42" s="27">
        <f>IFERROR(INDEX('Base Exámenes'!$E$5:$E$1000, MATCH(A42&amp;"|"&amp;J42, 'Base Exámenes'!$I$5:$I$1000, 0)), "")</f>
        <v>46304.520787037036</v>
      </c>
      <c r="I42" s="26">
        <f>IFERROR(INDEX('Base Exámenes'!$F$5:$F$1000, MATCH(A42&amp;"|"&amp;J42, 'Base Exámenes'!$I$5:$I$1000, 0)), "")</f>
        <v>4.48333333333333</v>
      </c>
      <c r="J42" s="6">
        <f>IF(F42="Completado", _xlfn.MAXIFS('Base Exámenes'!$G$5:$G$1000, 'Base Exámenes'!$C$5:$C$1000, A42), "")</f>
        <v>90</v>
      </c>
      <c r="K42" s="6" t="str">
        <f>IFERROR(INDEX('Base Exámenes'!$H$5:$H$1000, MATCH(A42&amp;"|"&amp;J42, 'Base Exámenes'!$I$5:$I$1000, 0)), "anonymous")</f>
        <v>anonymous</v>
      </c>
      <c r="L42" s="95">
        <f>COUNTIF('Base Exámenes'!$C$5:$C$1000, A42)</f>
        <v>1</v>
      </c>
    </row>
    <row r="43">
      <c r="A43" s="4" t="str">
        <f>'Base Oficial'!A43</f>
        <v>539</v>
      </c>
      <c r="B43" s="6" t="str">
        <f>'Base Oficial'!B43</f>
        <v>JESICA XIOMARA RAMOS PEÑA </v>
      </c>
      <c r="C43" s="6" t="str">
        <f>'Base Oficial'!F43</f>
        <v>DEPARTAMENTO DE CUSTODIA DE GARANTÍA Y VALORES</v>
      </c>
      <c r="D43" s="6" t="str">
        <f>'Base Oficial'!G43</f>
        <v>Gerencia Administrativa</v>
      </c>
      <c r="E43" s="6" t="str">
        <f>'Base Oficial'!D43</f>
        <v>JEFE DE CUSTODIA DE GARANTÍA Y VALORES</v>
      </c>
      <c r="F43" s="4" t="str">
        <f>IF(COUNTIFS('Base Exámenes'!$C$5:$C$1000, A43, 'Base Exámenes'!$E$5:$E$1000, "&lt;&gt;")&gt;0, "Completado", "Pendiente")</f>
        <v>Completado</v>
      </c>
      <c r="G43" s="27">
        <f>IFERROR(INDEX('Base Exámenes'!$D$5:$D$1000, MATCH(A43&amp;"|"&amp;J43, 'Base Exámenes'!$I$5:$I$1000, 0)), "")</f>
        <v>46304.701215277775</v>
      </c>
      <c r="H43" s="27">
        <f>IFERROR(INDEX('Base Exámenes'!$E$5:$E$1000, MATCH(A43&amp;"|"&amp;J43, 'Base Exámenes'!$I$5:$I$1000, 0)), "")</f>
        <v>46304.70379629629</v>
      </c>
      <c r="I43" s="26">
        <f>IFERROR(INDEX('Base Exámenes'!$F$5:$F$1000, MATCH(A43&amp;"|"&amp;J43, 'Base Exámenes'!$I$5:$I$1000, 0)), "")</f>
        <v>3.71666666666667</v>
      </c>
      <c r="J43" s="6">
        <f>IF(F43="Completado", _xlfn.MAXIFS('Base Exámenes'!$G$5:$G$1000, 'Base Exámenes'!$C$5:$C$1000, A43), "")</f>
        <v>100</v>
      </c>
      <c r="K43" s="6" t="str">
        <f>IFERROR(INDEX('Base Exámenes'!$H$5:$H$1000, MATCH(A43&amp;"|"&amp;J43, 'Base Exámenes'!$I$5:$I$1000, 0)), "anonymous")</f>
        <v>anonymous</v>
      </c>
      <c r="L43" s="95">
        <f>COUNTIF('Base Exámenes'!$C$5:$C$1000, A43)</f>
        <v>1</v>
      </c>
    </row>
    <row r="44">
      <c r="A44" s="4" t="str">
        <f>'Base Oficial'!A44</f>
        <v>678</v>
      </c>
      <c r="B44" s="6" t="str">
        <f>'Base Oficial'!B44</f>
        <v>CARLOS ALBERTO VELASQUEZ ALVARADO </v>
      </c>
      <c r="C44" s="6" t="str">
        <f>'Base Oficial'!F44</f>
        <v>DEPARTAMENTO DE CUSTODIA DE GARANTÍA Y VALORES</v>
      </c>
      <c r="D44" s="6" t="str">
        <f>'Base Oficial'!G44</f>
        <v>Gerencia Administrativa</v>
      </c>
      <c r="E44" s="6" t="str">
        <f>'Base Oficial'!D44</f>
        <v>ANALISTA DE ARCHIVO CENTRAL</v>
      </c>
      <c r="F44" s="4" t="str">
        <f>IF(COUNTIFS('Base Exámenes'!$C$5:$C$1000, A44, 'Base Exámenes'!$E$5:$E$1000, "&lt;&gt;")&gt;0, "Completado", "Pendiente")</f>
        <v>Completado</v>
      </c>
      <c r="G44" s="27">
        <f>IFERROR(INDEX('Base Exámenes'!$D$5:$D$1000, MATCH(A44&amp;"|"&amp;J44, 'Base Exámenes'!$I$5:$I$1000, 0)), "")</f>
        <v>46304.416041666664</v>
      </c>
      <c r="H44" s="27">
        <f>IFERROR(INDEX('Base Exámenes'!$E$5:$E$1000, MATCH(A44&amp;"|"&amp;J44, 'Base Exámenes'!$I$5:$I$1000, 0)), "")</f>
        <v>46304.422789351855</v>
      </c>
      <c r="I44" s="26">
        <f>IFERROR(INDEX('Base Exámenes'!$F$5:$F$1000, MATCH(A44&amp;"|"&amp;J44, 'Base Exámenes'!$I$5:$I$1000, 0)), "")</f>
        <v>9.71666666666667</v>
      </c>
      <c r="J44" s="6">
        <f>IF(F44="Completado", _xlfn.MAXIFS('Base Exámenes'!$G$5:$G$1000, 'Base Exámenes'!$C$5:$C$1000, A44), "")</f>
        <v>100</v>
      </c>
      <c r="K44" s="6" t="str">
        <f>IFERROR(INDEX('Base Exámenes'!$H$5:$H$1000, MATCH(A44&amp;"|"&amp;J44, 'Base Exámenes'!$I$5:$I$1000, 0)), "anonymous")</f>
        <v>anonymous</v>
      </c>
      <c r="L44" s="95">
        <f>COUNTIF('Base Exámenes'!$C$5:$C$1000, A44)</f>
        <v>1</v>
      </c>
    </row>
    <row r="45">
      <c r="A45" s="4" t="str">
        <f>'Base Oficial'!A45</f>
        <v>740</v>
      </c>
      <c r="B45" s="6" t="str">
        <f>'Base Oficial'!B45</f>
        <v>RAFAEL ERNESTO LOPEZ MARTINEZ </v>
      </c>
      <c r="C45" s="6" t="str">
        <f>'Base Oficial'!F45</f>
        <v>DEPARTAMENTO DE CUSTODIA DE GARANTÍA Y VALORES</v>
      </c>
      <c r="D45" s="6" t="str">
        <f>'Base Oficial'!G45</f>
        <v>Gerencia Administrativa</v>
      </c>
      <c r="E45" s="6" t="str">
        <f>'Base Oficial'!D45</f>
        <v>ASISTENTE ADMINISTRATIVO CUSTODIA DE GARANTIA Y VALORES</v>
      </c>
      <c r="F45" s="4" t="str">
        <f>IF(COUNTIFS('Base Exámenes'!$C$5:$C$1000, A45, 'Base Exámenes'!$E$5:$E$1000, "&lt;&gt;")&gt;0, "Completado", "Pendiente")</f>
        <v>Completado</v>
      </c>
      <c r="G45" s="27">
        <f>IFERROR(INDEX('Base Exámenes'!$D$5:$D$1000, MATCH(A45&amp;"|"&amp;J45, 'Base Exámenes'!$I$5:$I$1000, 0)), "")</f>
        <v>46304.68376157407</v>
      </c>
      <c r="H45" s="27">
        <f>IFERROR(INDEX('Base Exámenes'!$E$5:$E$1000, MATCH(A45&amp;"|"&amp;J45, 'Base Exámenes'!$I$5:$I$1000, 0)), "")</f>
        <v>46304.685949074075</v>
      </c>
      <c r="I45" s="26">
        <f>IFERROR(INDEX('Base Exámenes'!$F$5:$F$1000, MATCH(A45&amp;"|"&amp;J45, 'Base Exámenes'!$I$5:$I$1000, 0)), "")</f>
        <v>3.15</v>
      </c>
      <c r="J45" s="6">
        <f>IF(F45="Completado", _xlfn.MAXIFS('Base Exámenes'!$G$5:$G$1000, 'Base Exámenes'!$C$5:$C$1000, A45), "")</f>
        <v>100</v>
      </c>
      <c r="K45" s="6" t="str">
        <f>IFERROR(INDEX('Base Exámenes'!$H$5:$H$1000, MATCH(A45&amp;"|"&amp;J45, 'Base Exámenes'!$I$5:$I$1000, 0)), "anonymous")</f>
        <v>anonymous</v>
      </c>
      <c r="L45" s="95">
        <f>COUNTIF('Base Exámenes'!$C$5:$C$1000, A45)</f>
        <v>1</v>
      </c>
    </row>
    <row r="46">
      <c r="A46" s="4" t="str">
        <f>'Base Oficial'!A46</f>
        <v>934</v>
      </c>
      <c r="B46" s="6" t="str">
        <f>'Base Oficial'!B46</f>
        <v>JOSE FRANCISCO ZECEÑA MUÑOZ </v>
      </c>
      <c r="C46" s="6" t="str">
        <f>'Base Oficial'!F46</f>
        <v>DEPARTAMENTO DE CUSTODIA DE GARANTÍA Y VALORES</v>
      </c>
      <c r="D46" s="6" t="str">
        <f>'Base Oficial'!G46</f>
        <v>Gerencia Administrativa</v>
      </c>
      <c r="E46" s="6" t="str">
        <f>'Base Oficial'!D46</f>
        <v>AUXILIAR DE CUSTODIA  DE VALORES</v>
      </c>
      <c r="F46" s="4" t="str">
        <f>IF(COUNTIFS('Base Exámenes'!$C$5:$C$1000, A46, 'Base Exámenes'!$E$5:$E$1000, "&lt;&gt;")&gt;0, "Completado", "Pendiente")</f>
        <v>Completado</v>
      </c>
      <c r="G46" s="27">
        <f>IFERROR(INDEX('Base Exámenes'!$D$5:$D$1000, MATCH(A46&amp;"|"&amp;J46, 'Base Exámenes'!$I$5:$I$1000, 0)), "")</f>
        <v>46304.66388888889</v>
      </c>
      <c r="H46" s="27">
        <f>IFERROR(INDEX('Base Exámenes'!$E$5:$E$1000, MATCH(A46&amp;"|"&amp;J46, 'Base Exámenes'!$I$5:$I$1000, 0)), "")</f>
        <v>46304.67644675926</v>
      </c>
      <c r="I46" s="26">
        <f>IFERROR(INDEX('Base Exámenes'!$F$5:$F$1000, MATCH(A46&amp;"|"&amp;J46, 'Base Exámenes'!$I$5:$I$1000, 0)), "")</f>
        <v>18.0833333333333</v>
      </c>
      <c r="J46" s="6">
        <f>IF(F46="Completado", _xlfn.MAXIFS('Base Exámenes'!$G$5:$G$1000, 'Base Exámenes'!$C$5:$C$1000, A46), "")</f>
        <v>100</v>
      </c>
      <c r="K46" s="6" t="str">
        <f>IFERROR(INDEX('Base Exámenes'!$H$5:$H$1000, MATCH(A46&amp;"|"&amp;J46, 'Base Exámenes'!$I$5:$I$1000, 0)), "anonymous")</f>
        <v>anonymous</v>
      </c>
      <c r="L46" s="95">
        <f>COUNTIF('Base Exámenes'!$C$5:$C$1000, A46)</f>
        <v>1</v>
      </c>
    </row>
    <row r="47">
      <c r="A47" s="4" t="str">
        <f>'Base Oficial'!A47</f>
        <v>949</v>
      </c>
      <c r="B47" s="6" t="str">
        <f>'Base Oficial'!B47</f>
        <v>ALEJANDRO JOSE  ARGUETA  CORTEZ  </v>
      </c>
      <c r="C47" s="6" t="str">
        <f>'Base Oficial'!F47</f>
        <v>DEPARTAMENTO DE CUSTODIA DE GARANTÍA Y VALORES</v>
      </c>
      <c r="D47" s="6" t="str">
        <f>'Base Oficial'!G47</f>
        <v>Gerencia Administrativa</v>
      </c>
      <c r="E47" s="6" t="str">
        <f>'Base Oficial'!D47</f>
        <v>AUXILIAR DE CUSTODIA  DE VALORES</v>
      </c>
      <c r="F47" s="4" t="str">
        <f>IF(COUNTIFS('Base Exámenes'!$C$5:$C$1000, A47, 'Base Exámenes'!$E$5:$E$1000, "&lt;&gt;")&gt;0, "Completado", "Pendiente")</f>
        <v>Completado</v>
      </c>
      <c r="G47" s="27">
        <f>IFERROR(INDEX('Base Exámenes'!$D$5:$D$1000, MATCH(A47&amp;"|"&amp;J47, 'Base Exámenes'!$I$5:$I$1000, 0)), "")</f>
        <v>46304.681238425925</v>
      </c>
      <c r="H47" s="27">
        <f>IFERROR(INDEX('Base Exámenes'!$E$5:$E$1000, MATCH(A47&amp;"|"&amp;J47, 'Base Exámenes'!$I$5:$I$1000, 0)), "")</f>
        <v>46304.682708333334</v>
      </c>
      <c r="I47" s="26">
        <f>IFERROR(INDEX('Base Exámenes'!$F$5:$F$1000, MATCH(A47&amp;"|"&amp;J47, 'Base Exámenes'!$I$5:$I$1000, 0)), "")</f>
        <v>2.11666666666667</v>
      </c>
      <c r="J47" s="6">
        <f>IF(F47="Completado", _xlfn.MAXIFS('Base Exámenes'!$G$5:$G$1000, 'Base Exámenes'!$C$5:$C$1000, A47), "")</f>
        <v>100</v>
      </c>
      <c r="K47" s="6" t="str">
        <f>IFERROR(INDEX('Base Exámenes'!$H$5:$H$1000, MATCH(A47&amp;"|"&amp;J47, 'Base Exámenes'!$I$5:$I$1000, 0)), "anonymous")</f>
        <v>anonymous</v>
      </c>
      <c r="L47" s="95">
        <f>COUNTIF('Base Exámenes'!$C$5:$C$1000, A47)</f>
        <v>1</v>
      </c>
    </row>
    <row r="48">
      <c r="A48" s="4" t="str">
        <f>'Base Oficial'!A48</f>
        <v>973</v>
      </c>
      <c r="B48" s="6" t="str">
        <f>'Base Oficial'!B48</f>
        <v>HUGO ROLANDO VELASCO RIVERA </v>
      </c>
      <c r="C48" s="6" t="str">
        <f>'Base Oficial'!F48</f>
        <v>DEPARTAMENTO DE CUSTODIA DE GARANTÍA Y VALORES</v>
      </c>
      <c r="D48" s="6" t="str">
        <f>'Base Oficial'!G48</f>
        <v>Gerencia Administrativa</v>
      </c>
      <c r="E48" s="6" t="str">
        <f>'Base Oficial'!D48</f>
        <v>AUXILIAR DE CUSTODIA  DE VALORES</v>
      </c>
      <c r="F48" s="4" t="str">
        <f>IF(COUNTIFS('Base Exámenes'!$C$5:$C$1000, A48, 'Base Exámenes'!$E$5:$E$1000, "&lt;&gt;")&gt;0, "Completado", "Pendiente")</f>
        <v>Completado</v>
      </c>
      <c r="G48" s="27">
        <f>IFERROR(INDEX('Base Exámenes'!$D$5:$D$1000, MATCH(A48&amp;"|"&amp;J48, 'Base Exámenes'!$I$5:$I$1000, 0)), "")</f>
        <v>46298.500914351855</v>
      </c>
      <c r="H48" s="27">
        <f>IFERROR(INDEX('Base Exámenes'!$E$5:$E$1000, MATCH(A48&amp;"|"&amp;J48, 'Base Exámenes'!$I$5:$I$1000, 0)), "")</f>
        <v>46298.51430555555</v>
      </c>
      <c r="I48" s="26">
        <f>IFERROR(INDEX('Base Exámenes'!$F$5:$F$1000, MATCH(A48&amp;"|"&amp;J48, 'Base Exámenes'!$I$5:$I$1000, 0)), "")</f>
        <v>19.2833333333333</v>
      </c>
      <c r="J48" s="6">
        <f>IF(F48="Completado", _xlfn.MAXIFS('Base Exámenes'!$G$5:$G$1000, 'Base Exámenes'!$C$5:$C$1000, A48), "")</f>
        <v>100</v>
      </c>
      <c r="K48" s="6" t="str">
        <f>IFERROR(INDEX('Base Exámenes'!$H$5:$H$1000, MATCH(A48&amp;"|"&amp;J48, 'Base Exámenes'!$I$5:$I$1000, 0)), "anonymous")</f>
        <v>anonymous</v>
      </c>
      <c r="L48" s="95">
        <f>COUNTIF('Base Exámenes'!$C$5:$C$1000, A48)</f>
        <v>1</v>
      </c>
    </row>
    <row r="49">
      <c r="A49" s="4" t="str">
        <f>'Base Oficial'!A49</f>
        <v>65</v>
      </c>
      <c r="B49" s="6" t="str">
        <f>'Base Oficial'!B49</f>
        <v>DORA ALICIA CASTILLO </v>
      </c>
      <c r="C49" s="6" t="str">
        <f>'Base Oficial'!F49</f>
        <v>DEPARTAMENTO DE TALENTO HUMANO</v>
      </c>
      <c r="D49" s="6" t="str">
        <f>'Base Oficial'!G49</f>
        <v>Gerencia Administrativa</v>
      </c>
      <c r="E49" s="6" t="str">
        <f>'Base Oficial'!D49</f>
        <v>JEFE DE TALENTO HUMANO</v>
      </c>
      <c r="F49" s="4" t="str">
        <f>IF(COUNTIFS('Base Exámenes'!$C$5:$C$1000, A49, 'Base Exámenes'!$E$5:$E$1000, "&lt;&gt;")&gt;0, "Completado", "Pendiente")</f>
        <v>Pendiente</v>
      </c>
      <c r="G49" s="27" t="str">
        <f>IFERROR(INDEX('Base Exámenes'!$D$5:$D$1000, MATCH(A49&amp;"|"&amp;J49, 'Base Exámenes'!$I$5:$I$1000, 0)), "")</f>
        <v/>
      </c>
      <c r="H49" s="27" t="str">
        <f>IFERROR(INDEX('Base Exámenes'!$E$5:$E$1000, MATCH(A49&amp;"|"&amp;J49, 'Base Exámenes'!$I$5:$I$1000, 0)), "")</f>
        <v/>
      </c>
      <c r="I49" s="26" t="str">
        <f>IFERROR(INDEX('Base Exámenes'!$F$5:$F$1000, MATCH(A49&amp;"|"&amp;J49, 'Base Exámenes'!$I$5:$I$1000, 0)), "")</f>
        <v/>
      </c>
      <c r="J49" s="6" t="str">
        <f>IF(F49="Completado", _xlfn.MAXIFS('Base Exámenes'!$G$5:$G$1000, 'Base Exámenes'!$C$5:$C$1000, A49), "")</f>
        <v/>
      </c>
      <c r="K49" s="6" t="str">
        <f>IFERROR(INDEX('Base Exámenes'!$H$5:$H$1000, MATCH(A49&amp;"|"&amp;J49, 'Base Exámenes'!$I$5:$I$1000, 0)), "anonymous")</f>
        <v>anonymous</v>
      </c>
      <c r="L49" s="95">
        <f>COUNTIF('Base Exámenes'!$C$5:$C$1000, A49)</f>
        <v>0</v>
      </c>
    </row>
    <row r="50">
      <c r="A50" s="4" t="str">
        <f>'Base Oficial'!A50</f>
        <v>948</v>
      </c>
      <c r="B50" s="6" t="str">
        <f>'Base Oficial'!B50</f>
        <v>NELSON KILDER  QUIJADA ECHEVERRIA  </v>
      </c>
      <c r="C50" s="6" t="str">
        <f>'Base Oficial'!F50</f>
        <v>DEPARTAMENTO DE TALENTO HUMANO</v>
      </c>
      <c r="D50" s="6" t="str">
        <f>'Base Oficial'!G50</f>
        <v>Gerencia Administrativa</v>
      </c>
      <c r="E50" s="6" t="str">
        <f>'Base Oficial'!D50</f>
        <v>ASISTENTE TECNICO DE TALENTO HUMANO</v>
      </c>
      <c r="F50" s="4" t="str">
        <f>IF(COUNTIFS('Base Exámenes'!$C$5:$C$1000, A50, 'Base Exámenes'!$E$5:$E$1000, "&lt;&gt;")&gt;0, "Completado", "Pendiente")</f>
        <v>Completado</v>
      </c>
      <c r="G50" s="27">
        <f>IFERROR(INDEX('Base Exámenes'!$D$5:$D$1000, MATCH(A50&amp;"|"&amp;J50, 'Base Exámenes'!$I$5:$I$1000, 0)), "")</f>
        <v>46304.40207175926</v>
      </c>
      <c r="H50" s="27">
        <f>IFERROR(INDEX('Base Exámenes'!$E$5:$E$1000, MATCH(A50&amp;"|"&amp;J50, 'Base Exámenes'!$I$5:$I$1000, 0)), "")</f>
        <v>46304.406006944446</v>
      </c>
      <c r="I50" s="26">
        <f>IFERROR(INDEX('Base Exámenes'!$F$5:$F$1000, MATCH(A50&amp;"|"&amp;J50, 'Base Exámenes'!$I$5:$I$1000, 0)), "")</f>
        <v>5.66666666666667</v>
      </c>
      <c r="J50" s="6">
        <f>IF(F50="Completado", _xlfn.MAXIFS('Base Exámenes'!$G$5:$G$1000, 'Base Exámenes'!$C$5:$C$1000, A50), "")</f>
        <v>100</v>
      </c>
      <c r="K50" s="6" t="str">
        <f>IFERROR(INDEX('Base Exámenes'!$H$5:$H$1000, MATCH(A50&amp;"|"&amp;J50, 'Base Exámenes'!$I$5:$I$1000, 0)), "anonymous")</f>
        <v>anonymous</v>
      </c>
      <c r="L50" s="95">
        <f>COUNTIF('Base Exámenes'!$C$5:$C$1000, A50)</f>
        <v>1</v>
      </c>
    </row>
    <row r="51">
      <c r="A51" s="4" t="str">
        <f>'Base Oficial'!A51</f>
        <v>962</v>
      </c>
      <c r="B51" s="6" t="str">
        <f>'Base Oficial'!B51</f>
        <v>HELEN GLORIBEL PLATERO SANCHEZ </v>
      </c>
      <c r="C51" s="6" t="str">
        <f>'Base Oficial'!F51</f>
        <v>DEPARTAMENTO DE TALENTO HUMANO</v>
      </c>
      <c r="D51" s="6" t="str">
        <f>'Base Oficial'!G51</f>
        <v>Gerencia Administrativa</v>
      </c>
      <c r="E51" s="6" t="str">
        <f>'Base Oficial'!D51</f>
        <v>ANALISTA DE DESARROLLO ORGANIZACIONAL</v>
      </c>
      <c r="F51" s="4" t="str">
        <f>IF(COUNTIFS('Base Exámenes'!$C$5:$C$1000, A51, 'Base Exámenes'!$E$5:$E$1000, "&lt;&gt;")&gt;0, "Completado", "Pendiente")</f>
        <v>Completado</v>
      </c>
      <c r="G51" s="27">
        <f>IFERROR(INDEX('Base Exámenes'!$D$5:$D$1000, MATCH(A51&amp;"|"&amp;J51, 'Base Exámenes'!$I$5:$I$1000, 0)), "")</f>
        <v>46304.510462962964</v>
      </c>
      <c r="H51" s="27">
        <f>IFERROR(INDEX('Base Exámenes'!$E$5:$E$1000, MATCH(A51&amp;"|"&amp;J51, 'Base Exámenes'!$I$5:$I$1000, 0)), "")</f>
        <v>46304.52142361111</v>
      </c>
      <c r="I51" s="26">
        <f>IFERROR(INDEX('Base Exámenes'!$F$5:$F$1000, MATCH(A51&amp;"|"&amp;J51, 'Base Exámenes'!$I$5:$I$1000, 0)), "")</f>
        <v>15.7833333333333</v>
      </c>
      <c r="J51" s="6">
        <f>IF(F51="Completado", _xlfn.MAXIFS('Base Exámenes'!$G$5:$G$1000, 'Base Exámenes'!$C$5:$C$1000, A51), "")</f>
        <v>90</v>
      </c>
      <c r="K51" s="6" t="str">
        <f>IFERROR(INDEX('Base Exámenes'!$H$5:$H$1000, MATCH(A51&amp;"|"&amp;J51, 'Base Exámenes'!$I$5:$I$1000, 0)), "anonymous")</f>
        <v>anonymous</v>
      </c>
      <c r="L51" s="95">
        <f>COUNTIF('Base Exámenes'!$C$5:$C$1000, A51)</f>
        <v>1</v>
      </c>
    </row>
    <row r="52">
      <c r="A52" s="4" t="str">
        <f>'Base Oficial'!A52</f>
        <v>452</v>
      </c>
      <c r="B52" s="6" t="str">
        <f>'Base Oficial'!B52</f>
        <v>SERGIO ARTURO CALDERON SALAZAR </v>
      </c>
      <c r="C52" s="6" t="str">
        <f>'Base Oficial'!F52</f>
        <v>DEPARTAMENTO DE SEGURIDAD</v>
      </c>
      <c r="D52" s="6" t="str">
        <f>'Base Oficial'!G52</f>
        <v>Gerencia Administrativa</v>
      </c>
      <c r="E52" s="6" t="str">
        <f>'Base Oficial'!D52</f>
        <v>COORDINADOR DE SEGURIDAD</v>
      </c>
      <c r="F52" s="4" t="str">
        <f>IF(COUNTIFS('Base Exámenes'!$C$5:$C$1000, A52, 'Base Exámenes'!$E$5:$E$1000, "&lt;&gt;")&gt;0, "Completado", "Pendiente")</f>
        <v>Completado</v>
      </c>
      <c r="G52" s="27">
        <f>IFERROR(INDEX('Base Exámenes'!$D$5:$D$1000, MATCH(A52&amp;"|"&amp;J52, 'Base Exámenes'!$I$5:$I$1000, 0)), "")</f>
        <v>46296.45732638889</v>
      </c>
      <c r="H52" s="27">
        <f>IFERROR(INDEX('Base Exámenes'!$E$5:$E$1000, MATCH(A52&amp;"|"&amp;J52, 'Base Exámenes'!$I$5:$I$1000, 0)), "")</f>
        <v>46296.46072916667</v>
      </c>
      <c r="I52" s="26">
        <f>IFERROR(INDEX('Base Exámenes'!$F$5:$F$1000, MATCH(A52&amp;"|"&amp;J52, 'Base Exámenes'!$I$5:$I$1000, 0)), "")</f>
        <v>4.9</v>
      </c>
      <c r="J52" s="6">
        <f>IF(F52="Completado", _xlfn.MAXIFS('Base Exámenes'!$G$5:$G$1000, 'Base Exámenes'!$C$5:$C$1000, A52), "")</f>
        <v>90</v>
      </c>
      <c r="K52" s="6" t="str">
        <f>IFERROR(INDEX('Base Exámenes'!$H$5:$H$1000, MATCH(A52&amp;"|"&amp;J52, 'Base Exámenes'!$I$5:$I$1000, 0)), "anonymous")</f>
        <v>anonymous</v>
      </c>
      <c r="L52" s="95">
        <f>COUNTIF('Base Exámenes'!$C$5:$C$1000, A52)</f>
        <v>1</v>
      </c>
    </row>
    <row r="53">
      <c r="A53" s="4" t="str">
        <f>'Base Oficial'!A53</f>
        <v>901</v>
      </c>
      <c r="B53" s="6" t="str">
        <f>'Base Oficial'!B53</f>
        <v>CARLOS ALEJANDRO  MARAVILLA MENDEZ </v>
      </c>
      <c r="C53" s="6" t="str">
        <f>'Base Oficial'!F53</f>
        <v>DEPARTAMENTO DE SEGURIDAD</v>
      </c>
      <c r="D53" s="6" t="str">
        <f>'Base Oficial'!G53</f>
        <v>Gerencia Administrativa</v>
      </c>
      <c r="E53" s="6" t="str">
        <f>'Base Oficial'!D53</f>
        <v>OPERADOR DE MONITOREO DE LOS SISTEMAS DE SEGURIDAD</v>
      </c>
      <c r="F53" s="4" t="str">
        <f>IF(COUNTIFS('Base Exámenes'!$C$5:$C$1000, A53, 'Base Exámenes'!$E$5:$E$1000, "&lt;&gt;")&gt;0, "Completado", "Pendiente")</f>
        <v>Completado</v>
      </c>
      <c r="G53" s="27">
        <f>IFERROR(INDEX('Base Exámenes'!$D$5:$D$1000, MATCH(A53&amp;"|"&amp;J53, 'Base Exámenes'!$I$5:$I$1000, 0)), "")</f>
        <v>46296.454039351855</v>
      </c>
      <c r="H53" s="27">
        <f>IFERROR(INDEX('Base Exámenes'!$E$5:$E$1000, MATCH(A53&amp;"|"&amp;J53, 'Base Exámenes'!$I$5:$I$1000, 0)), "")</f>
        <v>46296.45633101852</v>
      </c>
      <c r="I53" s="26">
        <f>IFERROR(INDEX('Base Exámenes'!$F$5:$F$1000, MATCH(A53&amp;"|"&amp;J53, 'Base Exámenes'!$I$5:$I$1000, 0)), "")</f>
        <v>3.3</v>
      </c>
      <c r="J53" s="6">
        <f>IF(F53="Completado", _xlfn.MAXIFS('Base Exámenes'!$G$5:$G$1000, 'Base Exámenes'!$C$5:$C$1000, A53), "")</f>
        <v>100</v>
      </c>
      <c r="K53" s="6" t="str">
        <f>IFERROR(INDEX('Base Exámenes'!$H$5:$H$1000, MATCH(A53&amp;"|"&amp;J53, 'Base Exámenes'!$I$5:$I$1000, 0)), "anonymous")</f>
        <v>anonymous</v>
      </c>
      <c r="L53" s="95">
        <f>COUNTIF('Base Exámenes'!$C$5:$C$1000, A53)</f>
        <v>1</v>
      </c>
    </row>
    <row r="54">
      <c r="A54" s="4" t="str">
        <f>'Base Oficial'!A54</f>
        <v>590</v>
      </c>
      <c r="B54" s="6" t="str">
        <f>'Base Oficial'!B54</f>
        <v>LORENA ELIZABETH GALDAMEZ NUÑEZ </v>
      </c>
      <c r="C54" s="6" t="str">
        <f>'Base Oficial'!F54</f>
        <v>CLINICA EMPRESARIAL</v>
      </c>
      <c r="D54" s="6" t="str">
        <f>'Base Oficial'!G54</f>
        <v>Gerencia Administrativa</v>
      </c>
      <c r="E54" s="6" t="str">
        <f>'Base Oficial'!D54</f>
        <v>MEDICO</v>
      </c>
      <c r="F54" s="4" t="str">
        <f>IF(COUNTIFS('Base Exámenes'!$C$5:$C$1000, A54, 'Base Exámenes'!$E$5:$E$1000, "&lt;&gt;")&gt;0, "Completado", "Pendiente")</f>
        <v>Completado</v>
      </c>
      <c r="G54" s="27">
        <f>IFERROR(INDEX('Base Exámenes'!$D$5:$D$1000, MATCH(A54&amp;"|"&amp;J54, 'Base Exámenes'!$I$5:$I$1000, 0)), "")</f>
        <v>46305.40681712963</v>
      </c>
      <c r="H54" s="27">
        <f>IFERROR(INDEX('Base Exámenes'!$E$5:$E$1000, MATCH(A54&amp;"|"&amp;J54, 'Base Exámenes'!$I$5:$I$1000, 0)), "")</f>
        <v>46305.408738425926</v>
      </c>
      <c r="I54" s="26">
        <f>IFERROR(INDEX('Base Exámenes'!$F$5:$F$1000, MATCH(A54&amp;"|"&amp;J54, 'Base Exámenes'!$I$5:$I$1000, 0)), "")</f>
        <v>2.76666666666667</v>
      </c>
      <c r="J54" s="6">
        <f>IF(F54="Completado", _xlfn.MAXIFS('Base Exámenes'!$G$5:$G$1000, 'Base Exámenes'!$C$5:$C$1000, A54), "")</f>
        <v>100</v>
      </c>
      <c r="K54" s="6" t="str">
        <f>IFERROR(INDEX('Base Exámenes'!$H$5:$H$1000, MATCH(A54&amp;"|"&amp;J54, 'Base Exámenes'!$I$5:$I$1000, 0)), "anonymous")</f>
        <v>anonymous</v>
      </c>
      <c r="L54" s="95">
        <f>COUNTIF('Base Exámenes'!$C$5:$C$1000, A54)</f>
        <v>1</v>
      </c>
    </row>
    <row r="55">
      <c r="A55" s="4" t="str">
        <f>'Base Oficial'!A55</f>
        <v>609</v>
      </c>
      <c r="B55" s="6" t="str">
        <f>'Base Oficial'!B55</f>
        <v>GLADIS OSIRIS VALLE HERNANDEZ </v>
      </c>
      <c r="C55" s="6" t="str">
        <f>'Base Oficial'!F55</f>
        <v>CLINICA EMPRESARIAL</v>
      </c>
      <c r="D55" s="6" t="str">
        <f>'Base Oficial'!G55</f>
        <v>Gerencia Administrativa</v>
      </c>
      <c r="E55" s="6" t="str">
        <f>'Base Oficial'!D55</f>
        <v>ENFERMERA</v>
      </c>
      <c r="F55" s="4" t="str">
        <f>IF(COUNTIFS('Base Exámenes'!$C$5:$C$1000, A55, 'Base Exámenes'!$E$5:$E$1000, "&lt;&gt;")&gt;0, "Completado", "Pendiente")</f>
        <v>Completado</v>
      </c>
      <c r="G55" s="27">
        <f>IFERROR(INDEX('Base Exámenes'!$D$5:$D$1000, MATCH(A55&amp;"|"&amp;J55, 'Base Exámenes'!$I$5:$I$1000, 0)), "")</f>
        <v>46305.407789351855</v>
      </c>
      <c r="H55" s="27">
        <f>IFERROR(INDEX('Base Exámenes'!$E$5:$E$1000, MATCH(A55&amp;"|"&amp;J55, 'Base Exámenes'!$I$5:$I$1000, 0)), "")</f>
        <v>46305.41128472222</v>
      </c>
      <c r="I55" s="26">
        <f>IFERROR(INDEX('Base Exámenes'!$F$5:$F$1000, MATCH(A55&amp;"|"&amp;J55, 'Base Exámenes'!$I$5:$I$1000, 0)), "")</f>
        <v>5.0333333155</v>
      </c>
      <c r="J55" s="6">
        <f>IF(F55="Completado", _xlfn.MAXIFS('Base Exámenes'!$G$5:$G$1000, 'Base Exámenes'!$C$5:$C$1000, A55), "")</f>
        <v>100</v>
      </c>
      <c r="K55" s="6" t="str">
        <f>IFERROR(INDEX('Base Exámenes'!$H$5:$H$1000, MATCH(A55&amp;"|"&amp;J55, 'Base Exámenes'!$I$5:$I$1000, 0)), "anonymous")</f>
        <v>anonymous</v>
      </c>
      <c r="L55" s="95">
        <f>COUNTIF('Base Exámenes'!$C$5:$C$1000, A55)</f>
        <v>1</v>
      </c>
    </row>
    <row r="56">
      <c r="A56" s="4" t="str">
        <f>'Base Oficial'!A56</f>
        <v>847</v>
      </c>
      <c r="B56" s="6" t="str">
        <f>'Base Oficial'!B56</f>
        <v>ZULEYMA ALEJANDRA VASQUEZ  MARIN</v>
      </c>
      <c r="C56" s="6" t="str">
        <f>'Base Oficial'!F56</f>
        <v>DEPARTAMENTO DE EDUCACION Y RESPONSABILIDAD SOCIAL</v>
      </c>
      <c r="D56" s="6" t="str">
        <f>'Base Oficial'!G56</f>
        <v>Gerencia Administrativa</v>
      </c>
      <c r="E56" s="6" t="str">
        <f>'Base Oficial'!D56</f>
        <v>JEFE DE EDUCACION Y RESPONSABILIDAD SOCIAL</v>
      </c>
      <c r="F56" s="4" t="str">
        <f>IF(COUNTIFS('Base Exámenes'!$C$5:$C$1000, A56, 'Base Exámenes'!$E$5:$E$1000, "&lt;&gt;")&gt;0, "Completado", "Pendiente")</f>
        <v>Pendiente</v>
      </c>
      <c r="G56" s="27" t="str">
        <f>IFERROR(INDEX('Base Exámenes'!$D$5:$D$1000, MATCH(A56&amp;"|"&amp;J56, 'Base Exámenes'!$I$5:$I$1000, 0)), "")</f>
        <v/>
      </c>
      <c r="H56" s="27" t="str">
        <f>IFERROR(INDEX('Base Exámenes'!$E$5:$E$1000, MATCH(A56&amp;"|"&amp;J56, 'Base Exámenes'!$I$5:$I$1000, 0)), "")</f>
        <v/>
      </c>
      <c r="I56" s="26" t="str">
        <f>IFERROR(INDEX('Base Exámenes'!$F$5:$F$1000, MATCH(A56&amp;"|"&amp;J56, 'Base Exámenes'!$I$5:$I$1000, 0)), "")</f>
        <v/>
      </c>
      <c r="J56" s="6" t="str">
        <f>IF(F56="Completado", _xlfn.MAXIFS('Base Exámenes'!$G$5:$G$1000, 'Base Exámenes'!$C$5:$C$1000, A56), "")</f>
        <v/>
      </c>
      <c r="K56" s="6" t="str">
        <f>IFERROR(INDEX('Base Exámenes'!$H$5:$H$1000, MATCH(A56&amp;"|"&amp;J56, 'Base Exámenes'!$I$5:$I$1000, 0)), "anonymous")</f>
        <v>anonymous</v>
      </c>
      <c r="L56" s="95">
        <f>COUNTIF('Base Exámenes'!$C$5:$C$1000, A56)</f>
        <v>0</v>
      </c>
    </row>
    <row r="57">
      <c r="A57" s="4" t="str">
        <f>'Base Oficial'!A57</f>
        <v>853</v>
      </c>
      <c r="B57" s="6" t="str">
        <f>'Base Oficial'!B57</f>
        <v>STEPHANIE CAROLINA MALDONADO FLORES </v>
      </c>
      <c r="C57" s="6" t="str">
        <f>'Base Oficial'!F57</f>
        <v>DEPARTAMENTO DE EDUCACION Y RESPONSABILIDAD SOCIAL</v>
      </c>
      <c r="D57" s="6" t="str">
        <f>'Base Oficial'!G57</f>
        <v>Gerencia Administrativa</v>
      </c>
      <c r="E57" s="6" t="str">
        <f>'Base Oficial'!D57</f>
        <v>ASISTENTE TECNICO DEPARTAMENTO DE EDUCACION Y RESPONSABILIDA</v>
      </c>
      <c r="F57" s="4" t="str">
        <f>IF(COUNTIFS('Base Exámenes'!$C$5:$C$1000, A57, 'Base Exámenes'!$E$5:$E$1000, "&lt;&gt;")&gt;0, "Completado", "Pendiente")</f>
        <v>Completado</v>
      </c>
      <c r="G57" s="27">
        <f>IFERROR(INDEX('Base Exámenes'!$D$5:$D$1000, MATCH(A57&amp;"|"&amp;J57, 'Base Exámenes'!$I$5:$I$1000, 0)), "")</f>
        <v>46301.62170138889</v>
      </c>
      <c r="H57" s="27">
        <f>IFERROR(INDEX('Base Exámenes'!$E$5:$E$1000, MATCH(A57&amp;"|"&amp;J57, 'Base Exámenes'!$I$5:$I$1000, 0)), "")</f>
        <v>46301.64635416667</v>
      </c>
      <c r="I57" s="26">
        <f>IFERROR(INDEX('Base Exámenes'!$F$5:$F$1000, MATCH(A57&amp;"|"&amp;J57, 'Base Exámenes'!$I$5:$I$1000, 0)), "")</f>
        <v>35.5</v>
      </c>
      <c r="J57" s="6">
        <f>IF(F57="Completado", _xlfn.MAXIFS('Base Exámenes'!$G$5:$G$1000, 'Base Exámenes'!$C$5:$C$1000, A57), "")</f>
        <v>100</v>
      </c>
      <c r="K57" s="6" t="str">
        <f>IFERROR(INDEX('Base Exámenes'!$H$5:$H$1000, MATCH(A57&amp;"|"&amp;J57, 'Base Exámenes'!$I$5:$I$1000, 0)), "anonymous")</f>
        <v>anonymous</v>
      </c>
      <c r="L57" s="95">
        <f>COUNTIF('Base Exámenes'!$C$5:$C$1000, A57)</f>
        <v>1</v>
      </c>
    </row>
    <row r="58">
      <c r="A58" s="4" t="str">
        <f>'Base Oficial'!A58</f>
        <v>919</v>
      </c>
      <c r="B58" s="6" t="str">
        <f>'Base Oficial'!B58</f>
        <v>CARLOS EDUARDO SERVELLON PEREZ </v>
      </c>
      <c r="C58" s="6" t="str">
        <f>'Base Oficial'!F58</f>
        <v>DEPARTAMENTO DE EDUCACION Y RESPONSABILIDAD SOCIAL</v>
      </c>
      <c r="D58" s="6" t="str">
        <f>'Base Oficial'!G58</f>
        <v>Gerencia Administrativa</v>
      </c>
      <c r="E58" s="6" t="str">
        <f>'Base Oficial'!D58</f>
        <v>AUXILIAR DE EDUCACION Y RESPONSABILIDAD SOCIAL</v>
      </c>
      <c r="F58" s="4" t="str">
        <f>IF(COUNTIFS('Base Exámenes'!$C$5:$C$1000, A58, 'Base Exámenes'!$E$5:$E$1000, "&lt;&gt;")&gt;0, "Completado", "Pendiente")</f>
        <v>Pendiente</v>
      </c>
      <c r="G58" s="27" t="str">
        <f>IFERROR(INDEX('Base Exámenes'!$D$5:$D$1000, MATCH(A58&amp;"|"&amp;J58, 'Base Exámenes'!$I$5:$I$1000, 0)), "")</f>
        <v/>
      </c>
      <c r="H58" s="27" t="str">
        <f>IFERROR(INDEX('Base Exámenes'!$E$5:$E$1000, MATCH(A58&amp;"|"&amp;J58, 'Base Exámenes'!$I$5:$I$1000, 0)), "")</f>
        <v/>
      </c>
      <c r="I58" s="26" t="str">
        <f>IFERROR(INDEX('Base Exámenes'!$F$5:$F$1000, MATCH(A58&amp;"|"&amp;J58, 'Base Exámenes'!$I$5:$I$1000, 0)), "")</f>
        <v/>
      </c>
      <c r="J58" s="6" t="str">
        <f>IF(F58="Completado", _xlfn.MAXIFS('Base Exámenes'!$G$5:$G$1000, 'Base Exámenes'!$C$5:$C$1000, A58), "")</f>
        <v/>
      </c>
      <c r="K58" s="6" t="str">
        <f>IFERROR(INDEX('Base Exámenes'!$H$5:$H$1000, MATCH(A58&amp;"|"&amp;J58, 'Base Exámenes'!$I$5:$I$1000, 0)), "anonymous")</f>
        <v>anonymous</v>
      </c>
      <c r="L58" s="95">
        <f>COUNTIF('Base Exámenes'!$C$5:$C$1000, A58)</f>
        <v>0</v>
      </c>
    </row>
    <row r="59">
      <c r="A59" s="4" t="str">
        <f>'Base Oficial'!A59</f>
        <v>34</v>
      </c>
      <c r="B59" s="6" t="str">
        <f>'Base Oficial'!B59</f>
        <v>YENIS MARILU ESCOBAR SORTO </v>
      </c>
      <c r="C59" s="6" t="str">
        <f>'Base Oficial'!F59</f>
        <v>DEPARTAMENTO DE SOLUCIONES FINANCIERAS</v>
      </c>
      <c r="D59" s="6" t="str">
        <f>'Base Oficial'!G59</f>
        <v>Gerencia de Operaciones</v>
      </c>
      <c r="E59" s="6" t="str">
        <f>'Base Oficial'!D59</f>
        <v>EJECUTIVO DE SOLUCIONES FINANCIERAS</v>
      </c>
      <c r="F59" s="4" t="str">
        <f>IF(COUNTIFS('Base Exámenes'!$C$5:$C$1000, A59, 'Base Exámenes'!$E$5:$E$1000, "&lt;&gt;")&gt;0, "Completado", "Pendiente")</f>
        <v>Completado</v>
      </c>
      <c r="G59" s="27">
        <f>IFERROR(INDEX('Base Exámenes'!$D$5:$D$1000, MATCH(A59&amp;"|"&amp;J59, 'Base Exámenes'!$I$5:$I$1000, 0)), "")</f>
        <v>46309.34978009259</v>
      </c>
      <c r="H59" s="27">
        <f>IFERROR(INDEX('Base Exámenes'!$E$5:$E$1000, MATCH(A59&amp;"|"&amp;J59, 'Base Exámenes'!$I$5:$I$1000, 0)), "")</f>
        <v>46309.354155092595</v>
      </c>
      <c r="I59" s="26">
        <f>IFERROR(INDEX('Base Exámenes'!$F$5:$F$1000, MATCH(A59&amp;"|"&amp;J59, 'Base Exámenes'!$I$5:$I$1000, 0)), "")</f>
        <v>6.3</v>
      </c>
      <c r="J59" s="6">
        <f>IF(F59="Completado", _xlfn.MAXIFS('Base Exámenes'!$G$5:$G$1000, 'Base Exámenes'!$C$5:$C$1000, A59), "")</f>
        <v>70</v>
      </c>
      <c r="K59" s="6" t="str">
        <f>IFERROR(INDEX('Base Exámenes'!$H$5:$H$1000, MATCH(A59&amp;"|"&amp;J59, 'Base Exámenes'!$I$5:$I$1000, 0)), "anonymous")</f>
        <v>anonymous</v>
      </c>
      <c r="L59" s="95">
        <f>COUNTIF('Base Exámenes'!$C$5:$C$1000, A59)</f>
        <v>1</v>
      </c>
    </row>
    <row r="60">
      <c r="A60" s="4" t="str">
        <f>'Base Oficial'!A60</f>
        <v>182</v>
      </c>
      <c r="B60" s="6" t="str">
        <f>'Base Oficial'!B60</f>
        <v>ROSA ELIZABETH RIVAS AGUILUZ</v>
      </c>
      <c r="C60" s="6" t="str">
        <f>'Base Oficial'!F60</f>
        <v>DEPARTAMENTO DE SOLUCIONES FINANCIERAS</v>
      </c>
      <c r="D60" s="6" t="str">
        <f>'Base Oficial'!G60</f>
        <v>Gerencia de Operaciones</v>
      </c>
      <c r="E60" s="6" t="str">
        <f>'Base Oficial'!D60</f>
        <v>EJECUTIVO DE SOLUCIONES FINANCIERAS</v>
      </c>
      <c r="F60" s="4" t="str">
        <f>IF(COUNTIFS('Base Exámenes'!$C$5:$C$1000, A60, 'Base Exámenes'!$E$5:$E$1000, "&lt;&gt;")&gt;0, "Completado", "Pendiente")</f>
        <v>Completado</v>
      </c>
      <c r="G60" s="27">
        <f>IFERROR(INDEX('Base Exámenes'!$D$5:$D$1000, MATCH(A60&amp;"|"&amp;J60, 'Base Exámenes'!$I$5:$I$1000, 0)), "")</f>
        <v>46307.562476851854</v>
      </c>
      <c r="H60" s="27">
        <f>IFERROR(INDEX('Base Exámenes'!$E$5:$E$1000, MATCH(A60&amp;"|"&amp;J60, 'Base Exámenes'!$I$5:$I$1000, 0)), "")</f>
        <v>46307.56962962963</v>
      </c>
      <c r="I60" s="26">
        <f>IFERROR(INDEX('Base Exámenes'!$F$5:$F$1000, MATCH(A60&amp;"|"&amp;J60, 'Base Exámenes'!$I$5:$I$1000, 0)), "")</f>
        <v>10.3</v>
      </c>
      <c r="J60" s="6">
        <f>IF(F60="Completado", _xlfn.MAXIFS('Base Exámenes'!$G$5:$G$1000, 'Base Exámenes'!$C$5:$C$1000, A60), "")</f>
        <v>70</v>
      </c>
      <c r="K60" s="6" t="str">
        <f>IFERROR(INDEX('Base Exámenes'!$H$5:$H$1000, MATCH(A60&amp;"|"&amp;J60, 'Base Exámenes'!$I$5:$I$1000, 0)), "anonymous")</f>
        <v>anonymous</v>
      </c>
      <c r="L60" s="95">
        <f>COUNTIF('Base Exámenes'!$C$5:$C$1000, A60)</f>
        <v>1</v>
      </c>
    </row>
    <row r="61">
      <c r="A61" s="4" t="str">
        <f>'Base Oficial'!A61</f>
        <v>263</v>
      </c>
      <c r="B61" s="6" t="str">
        <f>'Base Oficial'!B61</f>
        <v>XOCHILT VERONICA NOUBLEAU </v>
      </c>
      <c r="C61" s="6" t="str">
        <f>'Base Oficial'!F61</f>
        <v>DEPARTAMENTO DE SOLUCIONES FINANCIERAS</v>
      </c>
      <c r="D61" s="6" t="str">
        <f>'Base Oficial'!G61</f>
        <v>Gerencia de Operaciones</v>
      </c>
      <c r="E61" s="6" t="str">
        <f>'Base Oficial'!D61</f>
        <v>EJECUTIVO DE SOLUCIONES FINANCIERAS</v>
      </c>
      <c r="F61" s="4" t="str">
        <f>IF(COUNTIFS('Base Exámenes'!$C$5:$C$1000, A61, 'Base Exámenes'!$E$5:$E$1000, "&lt;&gt;")&gt;0, "Completado", "Pendiente")</f>
        <v>Completado</v>
      </c>
      <c r="G61" s="27">
        <f>IFERROR(INDEX('Base Exámenes'!$D$5:$D$1000, MATCH(A61&amp;"|"&amp;J61, 'Base Exámenes'!$I$5:$I$1000, 0)), "")</f>
        <v>46307.59239583334</v>
      </c>
      <c r="H61" s="27">
        <f>IFERROR(INDEX('Base Exámenes'!$E$5:$E$1000, MATCH(A61&amp;"|"&amp;J61, 'Base Exámenes'!$I$5:$I$1000, 0)), "")</f>
        <v>46307.60011574074</v>
      </c>
      <c r="I61" s="26">
        <f>IFERROR(INDEX('Base Exámenes'!$F$5:$F$1000, MATCH(A61&amp;"|"&amp;J61, 'Base Exámenes'!$I$5:$I$1000, 0)), "")</f>
        <v>11.1166666666667</v>
      </c>
      <c r="J61" s="6">
        <f>IF(F61="Completado", _xlfn.MAXIFS('Base Exámenes'!$G$5:$G$1000, 'Base Exámenes'!$C$5:$C$1000, A61), "")</f>
        <v>100</v>
      </c>
      <c r="K61" s="6" t="str">
        <f>IFERROR(INDEX('Base Exámenes'!$H$5:$H$1000, MATCH(A61&amp;"|"&amp;J61, 'Base Exámenes'!$I$5:$I$1000, 0)), "anonymous")</f>
        <v>anonymous</v>
      </c>
      <c r="L61" s="95">
        <f>COUNTIF('Base Exámenes'!$C$5:$C$1000, A61)</f>
        <v>1</v>
      </c>
    </row>
    <row r="62">
      <c r="A62" s="4" t="str">
        <f>'Base Oficial'!A62</f>
        <v>289</v>
      </c>
      <c r="B62" s="6" t="str">
        <f>'Base Oficial'!B62</f>
        <v>ANA SILVIA MARTINEZ  RODRIGUEZ</v>
      </c>
      <c r="C62" s="6" t="str">
        <f>'Base Oficial'!F62</f>
        <v>DEPARTAMENTO DE SOLUCIONES FINANCIERAS</v>
      </c>
      <c r="D62" s="6" t="str">
        <f>'Base Oficial'!G62</f>
        <v>Gerencia de Operaciones</v>
      </c>
      <c r="E62" s="6" t="str">
        <f>'Base Oficial'!D62</f>
        <v>EJECUTIVO DE SOLUCIONES FINANCIERAS</v>
      </c>
      <c r="F62" s="4" t="str">
        <f>IF(COUNTIFS('Base Exámenes'!$C$5:$C$1000, A62, 'Base Exámenes'!$E$5:$E$1000, "&lt;&gt;")&gt;0, "Completado", "Pendiente")</f>
        <v>Completado</v>
      </c>
      <c r="G62" s="27">
        <f>IFERROR(INDEX('Base Exámenes'!$D$5:$D$1000, MATCH(A62&amp;"|"&amp;J62, 'Base Exámenes'!$I$5:$I$1000, 0)), "")</f>
        <v>46305.405277777776</v>
      </c>
      <c r="H62" s="27">
        <f>IFERROR(INDEX('Base Exámenes'!$E$5:$E$1000, MATCH(A62&amp;"|"&amp;J62, 'Base Exámenes'!$I$5:$I$1000, 0)), "")</f>
        <v>46305.41322916667</v>
      </c>
      <c r="I62" s="26">
        <f>IFERROR(INDEX('Base Exámenes'!$F$5:$F$1000, MATCH(A62&amp;"|"&amp;J62, 'Base Exámenes'!$I$5:$I$1000, 0)), "")</f>
        <v>11.45</v>
      </c>
      <c r="J62" s="6">
        <f>IF(F62="Completado", _xlfn.MAXIFS('Base Exámenes'!$G$5:$G$1000, 'Base Exámenes'!$C$5:$C$1000, A62), "")</f>
        <v>100</v>
      </c>
      <c r="K62" s="6" t="str">
        <f>IFERROR(INDEX('Base Exámenes'!$H$5:$H$1000, MATCH(A62&amp;"|"&amp;J62, 'Base Exámenes'!$I$5:$I$1000, 0)), "anonymous")</f>
        <v>anonymous</v>
      </c>
      <c r="L62" s="95">
        <f>COUNTIF('Base Exámenes'!$C$5:$C$1000, A62)</f>
        <v>1</v>
      </c>
    </row>
    <row r="63">
      <c r="A63" s="4" t="str">
        <f>'Base Oficial'!A63</f>
        <v>298</v>
      </c>
      <c r="B63" s="6" t="str">
        <f>'Base Oficial'!B63</f>
        <v>SANDRA GUADALUPE ROQUE SANCHEZ </v>
      </c>
      <c r="C63" s="6" t="str">
        <f>'Base Oficial'!F63</f>
        <v>DEPARTAMENTO DE SOLUCIONES FINANCIERAS</v>
      </c>
      <c r="D63" s="6" t="str">
        <f>'Base Oficial'!G63</f>
        <v>Gerencia de Operaciones</v>
      </c>
      <c r="E63" s="6" t="str">
        <f>'Base Oficial'!D63</f>
        <v>EJECUTIVO DE SOLUCIONES FINANCIERAS</v>
      </c>
      <c r="F63" s="4" t="str">
        <f>IF(COUNTIFS('Base Exámenes'!$C$5:$C$1000, A63, 'Base Exámenes'!$E$5:$E$1000, "&lt;&gt;")&gt;0, "Completado", "Pendiente")</f>
        <v>Completado</v>
      </c>
      <c r="G63" s="27">
        <f>IFERROR(INDEX('Base Exámenes'!$D$5:$D$1000, MATCH(A63&amp;"|"&amp;J63, 'Base Exámenes'!$I$5:$I$1000, 0)), "")</f>
        <v>46307.571122685185</v>
      </c>
      <c r="H63" s="27">
        <f>IFERROR(INDEX('Base Exámenes'!$E$5:$E$1000, MATCH(A63&amp;"|"&amp;J63, 'Base Exámenes'!$I$5:$I$1000, 0)), "")</f>
        <v>46307.58479166667</v>
      </c>
      <c r="I63" s="26">
        <f>IFERROR(INDEX('Base Exámenes'!$F$5:$F$1000, MATCH(A63&amp;"|"&amp;J63, 'Base Exámenes'!$I$5:$I$1000, 0)), "")</f>
        <v>19.6833333333333</v>
      </c>
      <c r="J63" s="6">
        <f>IF(F63="Completado", _xlfn.MAXIFS('Base Exámenes'!$G$5:$G$1000, 'Base Exámenes'!$C$5:$C$1000, A63), "")</f>
        <v>80</v>
      </c>
      <c r="K63" s="6" t="str">
        <f>IFERROR(INDEX('Base Exámenes'!$H$5:$H$1000, MATCH(A63&amp;"|"&amp;J63, 'Base Exámenes'!$I$5:$I$1000, 0)), "anonymous")</f>
        <v>anonymous</v>
      </c>
      <c r="L63" s="95">
        <f>COUNTIF('Base Exámenes'!$C$5:$C$1000, A63)</f>
        <v>1</v>
      </c>
    </row>
    <row r="64">
      <c r="A64" s="4" t="str">
        <f>'Base Oficial'!A64</f>
        <v>439</v>
      </c>
      <c r="B64" s="6" t="str">
        <f>'Base Oficial'!B64</f>
        <v>ILIANA DESIREE ALFARO </v>
      </c>
      <c r="C64" s="6" t="str">
        <f>'Base Oficial'!F64</f>
        <v>DEPARTAMENTO DE SOLUCIONES FINANCIERAS</v>
      </c>
      <c r="D64" s="6" t="str">
        <f>'Base Oficial'!G64</f>
        <v>Gerencia de Operaciones</v>
      </c>
      <c r="E64" s="6" t="str">
        <f>'Base Oficial'!D64</f>
        <v>EJECUTIVO DE SOLUCIONES FINANCIERAS</v>
      </c>
      <c r="F64" s="4" t="str">
        <f>IF(COUNTIFS('Base Exámenes'!$C$5:$C$1000, A64, 'Base Exámenes'!$E$5:$E$1000, "&lt;&gt;")&gt;0, "Completado", "Pendiente")</f>
        <v>Completado</v>
      </c>
      <c r="G64" s="27">
        <f>IFERROR(INDEX('Base Exámenes'!$D$5:$D$1000, MATCH(A64&amp;"|"&amp;J64, 'Base Exámenes'!$I$5:$I$1000, 0)), "")</f>
        <v>46304.3803587963</v>
      </c>
      <c r="H64" s="27">
        <f>IFERROR(INDEX('Base Exámenes'!$E$5:$E$1000, MATCH(A64&amp;"|"&amp;J64, 'Base Exámenes'!$I$5:$I$1000, 0)), "")</f>
        <v>46304.38547453703</v>
      </c>
      <c r="I64" s="26">
        <f>IFERROR(INDEX('Base Exámenes'!$F$5:$F$1000, MATCH(A64&amp;"|"&amp;J64, 'Base Exámenes'!$I$5:$I$1000, 0)), "")</f>
        <v>7.36666666666667</v>
      </c>
      <c r="J64" s="6">
        <f>IF(F64="Completado", _xlfn.MAXIFS('Base Exámenes'!$G$5:$G$1000, 'Base Exámenes'!$C$5:$C$1000, A64), "")</f>
        <v>80</v>
      </c>
      <c r="K64" s="6" t="str">
        <f>IFERROR(INDEX('Base Exámenes'!$H$5:$H$1000, MATCH(A64&amp;"|"&amp;J64, 'Base Exámenes'!$I$5:$I$1000, 0)), "anonymous")</f>
        <v>anonymous</v>
      </c>
      <c r="L64" s="95">
        <f>COUNTIF('Base Exámenes'!$C$5:$C$1000, A64)</f>
        <v>1</v>
      </c>
    </row>
    <row r="65">
      <c r="A65" s="4" t="str">
        <f>'Base Oficial'!A65</f>
        <v>472</v>
      </c>
      <c r="B65" s="6" t="str">
        <f>'Base Oficial'!B65</f>
        <v>CARLOS ROBERTO AGUILAR SANTOS </v>
      </c>
      <c r="C65" s="6" t="str">
        <f>'Base Oficial'!F65</f>
        <v>DEPARTAMENTO DE SOLUCIONES FINANCIERAS</v>
      </c>
      <c r="D65" s="6" t="str">
        <f>'Base Oficial'!G65</f>
        <v>Gerencia de Operaciones</v>
      </c>
      <c r="E65" s="6" t="str">
        <f>'Base Oficial'!D65</f>
        <v>JEFE DE SOLUCIONES FINANCIERAS</v>
      </c>
      <c r="F65" s="4" t="str">
        <f>IF(COUNTIFS('Base Exámenes'!$C$5:$C$1000, A65, 'Base Exámenes'!$E$5:$E$1000, "&lt;&gt;")&gt;0, "Completado", "Pendiente")</f>
        <v>Completado</v>
      </c>
      <c r="G65" s="27">
        <f>IFERROR(INDEX('Base Exámenes'!$D$5:$D$1000, MATCH(A65&amp;"|"&amp;J65, 'Base Exámenes'!$I$5:$I$1000, 0)), "")</f>
        <v>46304.373240740744</v>
      </c>
      <c r="H65" s="27">
        <f>IFERROR(INDEX('Base Exámenes'!$E$5:$E$1000, MATCH(A65&amp;"|"&amp;J65, 'Base Exámenes'!$I$5:$I$1000, 0)), "")</f>
        <v>46304.37534722222</v>
      </c>
      <c r="I65" s="26">
        <f>IFERROR(INDEX('Base Exámenes'!$F$5:$F$1000, MATCH(A65&amp;"|"&amp;J65, 'Base Exámenes'!$I$5:$I$1000, 0)), "")</f>
        <v>3.03333333333333</v>
      </c>
      <c r="J65" s="6">
        <f>IF(F65="Completado", _xlfn.MAXIFS('Base Exámenes'!$G$5:$G$1000, 'Base Exámenes'!$C$5:$C$1000, A65), "")</f>
        <v>100</v>
      </c>
      <c r="K65" s="6" t="str">
        <f>IFERROR(INDEX('Base Exámenes'!$H$5:$H$1000, MATCH(A65&amp;"|"&amp;J65, 'Base Exámenes'!$I$5:$I$1000, 0)), "anonymous")</f>
        <v>anonymous</v>
      </c>
      <c r="L65" s="95">
        <f>COUNTIF('Base Exámenes'!$C$5:$C$1000, A65)</f>
        <v>1</v>
      </c>
    </row>
    <row r="66">
      <c r="A66" s="4" t="str">
        <f>'Base Oficial'!A66</f>
        <v>528</v>
      </c>
      <c r="B66" s="6" t="str">
        <f>'Base Oficial'!B66</f>
        <v>ANA GRISELDA SIGÜENZA MARTINEZ </v>
      </c>
      <c r="C66" s="6" t="str">
        <f>'Base Oficial'!F66</f>
        <v>DEPARTAMENTO DE SOLUCIONES FINANCIERAS</v>
      </c>
      <c r="D66" s="6" t="str">
        <f>'Base Oficial'!G66</f>
        <v>Gerencia de Operaciones</v>
      </c>
      <c r="E66" s="6" t="str">
        <f>'Base Oficial'!D66</f>
        <v>AUXILIAR DE DEPARTAMENTO DE SOLUCIONES FINANCIERAS</v>
      </c>
      <c r="F66" s="4" t="str">
        <f>IF(COUNTIFS('Base Exámenes'!$C$5:$C$1000, A66, 'Base Exámenes'!$E$5:$E$1000, "&lt;&gt;")&gt;0, "Completado", "Pendiente")</f>
        <v>Completado</v>
      </c>
      <c r="G66" s="27">
        <f>IFERROR(INDEX('Base Exámenes'!$D$5:$D$1000, MATCH(A66&amp;"|"&amp;J66, 'Base Exámenes'!$I$5:$I$1000, 0)), "")</f>
        <v>46305.53150462963</v>
      </c>
      <c r="H66" s="27">
        <f>IFERROR(INDEX('Base Exámenes'!$E$5:$E$1000, MATCH(A66&amp;"|"&amp;J66, 'Base Exámenes'!$I$5:$I$1000, 0)), "")</f>
        <v>46305.54105324074</v>
      </c>
      <c r="I66" s="26">
        <f>IFERROR(INDEX('Base Exámenes'!$F$5:$F$1000, MATCH(A66&amp;"|"&amp;J66, 'Base Exámenes'!$I$5:$I$1000, 0)), "")</f>
        <v>13.75</v>
      </c>
      <c r="J66" s="6">
        <f>IF(F66="Completado", _xlfn.MAXIFS('Base Exámenes'!$G$5:$G$1000, 'Base Exámenes'!$C$5:$C$1000, A66), "")</f>
        <v>100</v>
      </c>
      <c r="K66" s="6" t="str">
        <f>IFERROR(INDEX('Base Exámenes'!$H$5:$H$1000, MATCH(A66&amp;"|"&amp;J66, 'Base Exámenes'!$I$5:$I$1000, 0)), "anonymous")</f>
        <v>anonymous</v>
      </c>
      <c r="L66" s="95">
        <f>COUNTIF('Base Exámenes'!$C$5:$C$1000, A66)</f>
        <v>1</v>
      </c>
    </row>
    <row r="67">
      <c r="A67" s="4" t="str">
        <f>'Base Oficial'!A67</f>
        <v>573</v>
      </c>
      <c r="B67" s="6" t="str">
        <f>'Base Oficial'!B67</f>
        <v>JUAN PABLO HENRIQUEZ RAMIREZ </v>
      </c>
      <c r="C67" s="6" t="str">
        <f>'Base Oficial'!F67</f>
        <v>DEPARTAMENTO DE SOLUCIONES FINANCIERAS</v>
      </c>
      <c r="D67" s="6" t="str">
        <f>'Base Oficial'!G67</f>
        <v>Gerencia de Operaciones</v>
      </c>
      <c r="E67" s="6" t="str">
        <f>'Base Oficial'!D67</f>
        <v>EJECUTIVO DE SOLUCIONES FINANCIERAS</v>
      </c>
      <c r="F67" s="4" t="str">
        <f>IF(COUNTIFS('Base Exámenes'!$C$5:$C$1000, A67, 'Base Exámenes'!$E$5:$E$1000, "&lt;&gt;")&gt;0, "Completado", "Pendiente")</f>
        <v>Completado</v>
      </c>
      <c r="G67" s="27">
        <f>IFERROR(INDEX('Base Exámenes'!$D$5:$D$1000, MATCH(A67&amp;"|"&amp;J67, 'Base Exámenes'!$I$5:$I$1000, 0)), "")</f>
        <v>46309.38109953704</v>
      </c>
      <c r="H67" s="27">
        <f>IFERROR(INDEX('Base Exámenes'!$E$5:$E$1000, MATCH(A67&amp;"|"&amp;J67, 'Base Exámenes'!$I$5:$I$1000, 0)), "")</f>
        <v>46309.38841435185</v>
      </c>
      <c r="I67" s="26">
        <f>IFERROR(INDEX('Base Exámenes'!$F$5:$F$1000, MATCH(A67&amp;"|"&amp;J67, 'Base Exámenes'!$I$5:$I$1000, 0)), "")</f>
        <v>10.5333333333333</v>
      </c>
      <c r="J67" s="6">
        <f>IF(F67="Completado", _xlfn.MAXIFS('Base Exámenes'!$G$5:$G$1000, 'Base Exámenes'!$C$5:$C$1000, A67), "")</f>
        <v>90</v>
      </c>
      <c r="K67" s="6" t="str">
        <f>IFERROR(INDEX('Base Exámenes'!$H$5:$H$1000, MATCH(A67&amp;"|"&amp;J67, 'Base Exámenes'!$I$5:$I$1000, 0)), "anonymous")</f>
        <v>anonymous</v>
      </c>
      <c r="L67" s="95">
        <f>COUNTIF('Base Exámenes'!$C$5:$C$1000, A67)</f>
        <v>1</v>
      </c>
    </row>
    <row r="68">
      <c r="A68" s="4" t="str">
        <f>'Base Oficial'!A68</f>
        <v>885</v>
      </c>
      <c r="B68" s="6" t="str">
        <f>'Base Oficial'!B68</f>
        <v>ALBA BEATRIZ MELENDEZ PRUDENCIO </v>
      </c>
      <c r="C68" s="6" t="str">
        <f>'Base Oficial'!F68</f>
        <v>DEPARTAMENTO DE SOLUCIONES FINANCIERAS</v>
      </c>
      <c r="D68" s="6" t="str">
        <f>'Base Oficial'!G68</f>
        <v>Gerencia de Operaciones</v>
      </c>
      <c r="E68" s="6" t="str">
        <f>'Base Oficial'!D68</f>
        <v>ASISTENTE DE RECUPERACION JUDICIAL Y CARTERA CASTIGADA</v>
      </c>
      <c r="F68" s="4" t="str">
        <f>IF(COUNTIFS('Base Exámenes'!$C$5:$C$1000, A68, 'Base Exámenes'!$E$5:$E$1000, "&lt;&gt;")&gt;0, "Completado", "Pendiente")</f>
        <v>Pendiente</v>
      </c>
      <c r="G68" s="27" t="str">
        <f>IFERROR(INDEX('Base Exámenes'!$D$5:$D$1000, MATCH(A68&amp;"|"&amp;J68, 'Base Exámenes'!$I$5:$I$1000, 0)), "")</f>
        <v/>
      </c>
      <c r="H68" s="27" t="str">
        <f>IFERROR(INDEX('Base Exámenes'!$E$5:$E$1000, MATCH(A68&amp;"|"&amp;J68, 'Base Exámenes'!$I$5:$I$1000, 0)), "")</f>
        <v/>
      </c>
      <c r="I68" s="26" t="str">
        <f>IFERROR(INDEX('Base Exámenes'!$F$5:$F$1000, MATCH(A68&amp;"|"&amp;J68, 'Base Exámenes'!$I$5:$I$1000, 0)), "")</f>
        <v/>
      </c>
      <c r="J68" s="6" t="str">
        <f>IF(F68="Completado", _xlfn.MAXIFS('Base Exámenes'!$G$5:$G$1000, 'Base Exámenes'!$C$5:$C$1000, A68), "")</f>
        <v/>
      </c>
      <c r="K68" s="6" t="str">
        <f>IFERROR(INDEX('Base Exámenes'!$H$5:$H$1000, MATCH(A68&amp;"|"&amp;J68, 'Base Exámenes'!$I$5:$I$1000, 0)), "anonymous")</f>
        <v>anonymous</v>
      </c>
      <c r="L68" s="95">
        <f>COUNTIF('Base Exámenes'!$C$5:$C$1000, A68)</f>
        <v>0</v>
      </c>
    </row>
    <row r="69">
      <c r="A69" s="4" t="str">
        <f>'Base Oficial'!A69</f>
        <v>389</v>
      </c>
      <c r="B69" s="6" t="str">
        <f>'Base Oficial'!B69</f>
        <v>CLAUDIA CAROLINA HERNANDEZ DE PAZ </v>
      </c>
      <c r="C69" s="6" t="str">
        <f>'Base Oficial'!F69</f>
        <v>DEPARTAMENTO DE TARJETA DE CREDITO Y DEBITO</v>
      </c>
      <c r="D69" s="6" t="str">
        <f>'Base Oficial'!G69</f>
        <v>Gerencia de Operaciones</v>
      </c>
      <c r="E69" s="6" t="str">
        <f>'Base Oficial'!D69</f>
        <v>ASISTENTE TECNICO DE INTERCAMBIO DE TARJETAS</v>
      </c>
      <c r="F69" s="4" t="str">
        <f>IF(COUNTIFS('Base Exámenes'!$C$5:$C$1000, A69, 'Base Exámenes'!$E$5:$E$1000, "&lt;&gt;")&gt;0, "Completado", "Pendiente")</f>
        <v>Pendiente</v>
      </c>
      <c r="G69" s="27" t="str">
        <f>IFERROR(INDEX('Base Exámenes'!$D$5:$D$1000, MATCH(A69&amp;"|"&amp;J69, 'Base Exámenes'!$I$5:$I$1000, 0)), "")</f>
        <v/>
      </c>
      <c r="H69" s="27" t="str">
        <f>IFERROR(INDEX('Base Exámenes'!$E$5:$E$1000, MATCH(A69&amp;"|"&amp;J69, 'Base Exámenes'!$I$5:$I$1000, 0)), "")</f>
        <v/>
      </c>
      <c r="I69" s="26" t="str">
        <f>IFERROR(INDEX('Base Exámenes'!$F$5:$F$1000, MATCH(A69&amp;"|"&amp;J69, 'Base Exámenes'!$I$5:$I$1000, 0)), "")</f>
        <v/>
      </c>
      <c r="J69" s="6" t="str">
        <f>IF(F69="Completado", _xlfn.MAXIFS('Base Exámenes'!$G$5:$G$1000, 'Base Exámenes'!$C$5:$C$1000, A69), "")</f>
        <v/>
      </c>
      <c r="K69" s="6" t="str">
        <f>IFERROR(INDEX('Base Exámenes'!$H$5:$H$1000, MATCH(A69&amp;"|"&amp;J69, 'Base Exámenes'!$I$5:$I$1000, 0)), "anonymous")</f>
        <v>anonymous</v>
      </c>
      <c r="L69" s="95">
        <f>COUNTIF('Base Exámenes'!$C$5:$C$1000, A69)</f>
        <v>0</v>
      </c>
    </row>
    <row r="70">
      <c r="A70" s="4" t="str">
        <f>'Base Oficial'!A70</f>
        <v>399</v>
      </c>
      <c r="B70" s="6" t="str">
        <f>'Base Oficial'!B70</f>
        <v>GEOVANNI LIZAMA PORTILLO </v>
      </c>
      <c r="C70" s="6" t="str">
        <f>'Base Oficial'!F70</f>
        <v>DEPARTAMENTO DE TARJETA DE CREDITO Y DEBITO</v>
      </c>
      <c r="D70" s="6" t="str">
        <f>'Base Oficial'!G70</f>
        <v>Gerencia de Operaciones</v>
      </c>
      <c r="E70" s="6" t="str">
        <f>'Base Oficial'!D70</f>
        <v>JEFE DE TARJETA  DE CREDITO Y DEBITO</v>
      </c>
      <c r="F70" s="4" t="str">
        <f>IF(COUNTIFS('Base Exámenes'!$C$5:$C$1000, A70, 'Base Exámenes'!$E$5:$E$1000, "&lt;&gt;")&gt;0, "Completado", "Pendiente")</f>
        <v>Pendiente</v>
      </c>
      <c r="G70" s="27" t="str">
        <f>IFERROR(INDEX('Base Exámenes'!$D$5:$D$1000, MATCH(A70&amp;"|"&amp;J70, 'Base Exámenes'!$I$5:$I$1000, 0)), "")</f>
        <v/>
      </c>
      <c r="H70" s="27" t="str">
        <f>IFERROR(INDEX('Base Exámenes'!$E$5:$E$1000, MATCH(A70&amp;"|"&amp;J70, 'Base Exámenes'!$I$5:$I$1000, 0)), "")</f>
        <v/>
      </c>
      <c r="I70" s="26" t="str">
        <f>IFERROR(INDEX('Base Exámenes'!$F$5:$F$1000, MATCH(A70&amp;"|"&amp;J70, 'Base Exámenes'!$I$5:$I$1000, 0)), "")</f>
        <v/>
      </c>
      <c r="J70" s="6" t="str">
        <f>IF(F70="Completado", _xlfn.MAXIFS('Base Exámenes'!$G$5:$G$1000, 'Base Exámenes'!$C$5:$C$1000, A70), "")</f>
        <v/>
      </c>
      <c r="K70" s="6" t="str">
        <f>IFERROR(INDEX('Base Exámenes'!$H$5:$H$1000, MATCH(A70&amp;"|"&amp;J70, 'Base Exámenes'!$I$5:$I$1000, 0)), "anonymous")</f>
        <v>anonymous</v>
      </c>
      <c r="L70" s="95">
        <f>COUNTIF('Base Exámenes'!$C$5:$C$1000, A70)</f>
        <v>0</v>
      </c>
    </row>
    <row r="71">
      <c r="A71" s="4" t="str">
        <f>'Base Oficial'!A71</f>
        <v>459</v>
      </c>
      <c r="B71" s="6" t="str">
        <f>'Base Oficial'!B71</f>
        <v>LUIS ALEXANDER RAMIREZ MONTALVO </v>
      </c>
      <c r="C71" s="6" t="str">
        <f>'Base Oficial'!F71</f>
        <v>DEPARTAMENTO DE TARJETA DE CREDITO Y DEBITO</v>
      </c>
      <c r="D71" s="6" t="str">
        <f>'Base Oficial'!G71</f>
        <v>Gerencia de Operaciones</v>
      </c>
      <c r="E71" s="6" t="str">
        <f>'Base Oficial'!D71</f>
        <v>ASISTENTE TECNICO DE EMISION DE TARJETA</v>
      </c>
      <c r="F71" s="4" t="str">
        <f>IF(COUNTIFS('Base Exámenes'!$C$5:$C$1000, A71, 'Base Exámenes'!$E$5:$E$1000, "&lt;&gt;")&gt;0, "Completado", "Pendiente")</f>
        <v>Completado</v>
      </c>
      <c r="G71" s="27">
        <f>IFERROR(INDEX('Base Exámenes'!$D$5:$D$1000, MATCH(A71&amp;"|"&amp;J71, 'Base Exámenes'!$I$5:$I$1000, 0)), "")</f>
        <v>46304.57431712963</v>
      </c>
      <c r="H71" s="27">
        <f>IFERROR(INDEX('Base Exámenes'!$E$5:$E$1000, MATCH(A71&amp;"|"&amp;J71, 'Base Exámenes'!$I$5:$I$1000, 0)), "")</f>
        <v>46304.57939814815</v>
      </c>
      <c r="I71" s="26">
        <f>IFERROR(INDEX('Base Exámenes'!$F$5:$F$1000, MATCH(A71&amp;"|"&amp;J71, 'Base Exámenes'!$I$5:$I$1000, 0)), "")</f>
        <v>7.31666666666667</v>
      </c>
      <c r="J71" s="6">
        <f>IF(F71="Completado", _xlfn.MAXIFS('Base Exámenes'!$G$5:$G$1000, 'Base Exámenes'!$C$5:$C$1000, A71), "")</f>
        <v>95</v>
      </c>
      <c r="K71" s="6" t="str">
        <f>IFERROR(INDEX('Base Exámenes'!$H$5:$H$1000, MATCH(A71&amp;"|"&amp;J71, 'Base Exámenes'!$I$5:$I$1000, 0)), "anonymous")</f>
        <v>anonymous</v>
      </c>
      <c r="L71" s="95">
        <f>COUNTIF('Base Exámenes'!$C$5:$C$1000, A71)</f>
        <v>1</v>
      </c>
    </row>
    <row r="72">
      <c r="A72" s="4" t="str">
        <f>'Base Oficial'!A72</f>
        <v>725</v>
      </c>
      <c r="B72" s="6" t="str">
        <f>'Base Oficial'!B72</f>
        <v>ANA BEATRIZ QUINTEROS AVELAR </v>
      </c>
      <c r="C72" s="6" t="str">
        <f>'Base Oficial'!F72</f>
        <v>DEPARTAMENTO DE TARJETA DE CREDITO Y DEBITO</v>
      </c>
      <c r="D72" s="6" t="str">
        <f>'Base Oficial'!G72</f>
        <v>Gerencia de Operaciones</v>
      </c>
      <c r="E72" s="6" t="str">
        <f>'Base Oficial'!D72</f>
        <v>ASISTENTE TECNICO DE OPERACIONES DE TARJETAS</v>
      </c>
      <c r="F72" s="4" t="str">
        <f>IF(COUNTIFS('Base Exámenes'!$C$5:$C$1000, A72, 'Base Exámenes'!$E$5:$E$1000, "&lt;&gt;")&gt;0, "Completado", "Pendiente")</f>
        <v>Completado</v>
      </c>
      <c r="G72" s="27">
        <f>IFERROR(INDEX('Base Exámenes'!$D$5:$D$1000, MATCH(A72&amp;"|"&amp;J72, 'Base Exámenes'!$I$5:$I$1000, 0)), "")</f>
        <v>46309.64625</v>
      </c>
      <c r="H72" s="27">
        <f>IFERROR(INDEX('Base Exámenes'!$E$5:$E$1000, MATCH(A72&amp;"|"&amp;J72, 'Base Exámenes'!$I$5:$I$1000, 0)), "")</f>
        <v>46309.65164351852</v>
      </c>
      <c r="I72" s="26">
        <f>IFERROR(INDEX('Base Exámenes'!$F$5:$F$1000, MATCH(A72&amp;"|"&amp;J72, 'Base Exámenes'!$I$5:$I$1000, 0)), "")</f>
        <v>7.76666666666667</v>
      </c>
      <c r="J72" s="6">
        <f>IF(F72="Completado", _xlfn.MAXIFS('Base Exámenes'!$G$5:$G$1000, 'Base Exámenes'!$C$5:$C$1000, A72), "")</f>
        <v>100</v>
      </c>
      <c r="K72" s="6" t="str">
        <f>IFERROR(INDEX('Base Exámenes'!$H$5:$H$1000, MATCH(A72&amp;"|"&amp;J72, 'Base Exámenes'!$I$5:$I$1000, 0)), "anonymous")</f>
        <v>anonymous</v>
      </c>
      <c r="L72" s="95">
        <f>COUNTIF('Base Exámenes'!$C$5:$C$1000, A72)</f>
        <v>1</v>
      </c>
    </row>
    <row r="73">
      <c r="A73" s="4" t="str">
        <f>'Base Oficial'!A73</f>
        <v>952</v>
      </c>
      <c r="B73" s="6" t="str">
        <f>'Base Oficial'!B73</f>
        <v>ANDREA CAROLINA RUMUALDO MARTINEZ </v>
      </c>
      <c r="C73" s="6" t="str">
        <f>'Base Oficial'!F73</f>
        <v>DEPARTAMENTO DE TARJETA DE CREDITO Y DEBITO</v>
      </c>
      <c r="D73" s="6" t="str">
        <f>'Base Oficial'!G73</f>
        <v>Gerencia de Operaciones</v>
      </c>
      <c r="E73" s="6" t="str">
        <f>'Base Oficial'!D73</f>
        <v>AUXILIAR DE CONTROL DE CALIDAD</v>
      </c>
      <c r="F73" s="4" t="str">
        <f>IF(COUNTIFS('Base Exámenes'!$C$5:$C$1000, A73, 'Base Exámenes'!$E$5:$E$1000, "&lt;&gt;")&gt;0, "Completado", "Pendiente")</f>
        <v>Completado</v>
      </c>
      <c r="G73" s="27">
        <f>IFERROR(INDEX('Base Exámenes'!$D$5:$D$1000, MATCH(A73&amp;"|"&amp;J73, 'Base Exámenes'!$I$5:$I$1000, 0)), "")</f>
        <v>46296.646261574075</v>
      </c>
      <c r="H73" s="27">
        <f>IFERROR(INDEX('Base Exámenes'!$E$5:$E$1000, MATCH(A73&amp;"|"&amp;J73, 'Base Exámenes'!$I$5:$I$1000, 0)), "")</f>
        <v>46296.65724537037</v>
      </c>
      <c r="I73" s="26">
        <f>IFERROR(INDEX('Base Exámenes'!$F$5:$F$1000, MATCH(A73&amp;"|"&amp;J73, 'Base Exámenes'!$I$5:$I$1000, 0)), "")</f>
        <v>15.8166666666667</v>
      </c>
      <c r="J73" s="6">
        <f>IF(F73="Completado", _xlfn.MAXIFS('Base Exámenes'!$G$5:$G$1000, 'Base Exámenes'!$C$5:$C$1000, A73), "")</f>
        <v>100</v>
      </c>
      <c r="K73" s="6" t="str">
        <f>IFERROR(INDEX('Base Exámenes'!$H$5:$H$1000, MATCH(A73&amp;"|"&amp;J73, 'Base Exámenes'!$I$5:$I$1000, 0)), "anonymous")</f>
        <v>anonymous</v>
      </c>
      <c r="L73" s="95">
        <f>COUNTIF('Base Exámenes'!$C$5:$C$1000, A73)</f>
        <v>1</v>
      </c>
    </row>
    <row r="74">
      <c r="A74" s="4" t="str">
        <f>'Base Oficial'!A74</f>
        <v>980</v>
      </c>
      <c r="B74" s="6" t="str">
        <f>'Base Oficial'!B74</f>
        <v>FATIMA ELIZABETH LEMUS RODRIGUEZ </v>
      </c>
      <c r="C74" s="6" t="str">
        <f>'Base Oficial'!F74</f>
        <v>DEPARTAMENTO DE TARJETA DE CREDITO Y DEBITO</v>
      </c>
      <c r="D74" s="6" t="str">
        <f>'Base Oficial'!G74</f>
        <v>Gerencia de Operaciones</v>
      </c>
      <c r="E74" s="6" t="str">
        <f>'Base Oficial'!D74</f>
        <v>AUXILIAR DE EMISION DE  TARJETA</v>
      </c>
      <c r="F74" s="4" t="str">
        <f>IF(COUNTIFS('Base Exámenes'!$C$5:$C$1000, A74, 'Base Exámenes'!$E$5:$E$1000, "&lt;&gt;")&gt;0, "Completado", "Pendiente")</f>
        <v>Completado</v>
      </c>
      <c r="G74" s="27">
        <f>IFERROR(INDEX('Base Exámenes'!$D$5:$D$1000, MATCH(A74&amp;"|"&amp;J74, 'Base Exámenes'!$I$5:$I$1000, 0)), "")</f>
        <v>46296.71229166666</v>
      </c>
      <c r="H74" s="27">
        <f>IFERROR(INDEX('Base Exámenes'!$E$5:$E$1000, MATCH(A74&amp;"|"&amp;J74, 'Base Exámenes'!$I$5:$I$1000, 0)), "")</f>
        <v>46296.71346064815</v>
      </c>
      <c r="I74" s="26">
        <f>IFERROR(INDEX('Base Exámenes'!$F$5:$F$1000, MATCH(A74&amp;"|"&amp;J74, 'Base Exámenes'!$I$5:$I$1000, 0)), "")</f>
        <v>1.68333333333333</v>
      </c>
      <c r="J74" s="6">
        <f>IF(F74="Completado", _xlfn.MAXIFS('Base Exámenes'!$G$5:$G$1000, 'Base Exámenes'!$C$5:$C$1000, A74), "")</f>
        <v>100</v>
      </c>
      <c r="K74" s="6" t="str">
        <f>IFERROR(INDEX('Base Exámenes'!$H$5:$H$1000, MATCH(A74&amp;"|"&amp;J74, 'Base Exámenes'!$I$5:$I$1000, 0)), "anonymous")</f>
        <v>anonymous</v>
      </c>
      <c r="L74" s="95">
        <f>COUNTIF('Base Exámenes'!$C$5:$C$1000, A74)</f>
        <v>1</v>
      </c>
    </row>
    <row r="75">
      <c r="A75" s="4" t="str">
        <f>'Base Oficial'!A75</f>
        <v>284</v>
      </c>
      <c r="B75" s="6" t="str">
        <f>'Base Oficial'!B75</f>
        <v>MARIO ANTONIO NAVARRO PINEDA </v>
      </c>
      <c r="C75" s="6" t="str">
        <f>'Base Oficial'!F75</f>
        <v>DEPARTAMENTO DE DEPOSITOS</v>
      </c>
      <c r="D75" s="6" t="str">
        <f>'Base Oficial'!G75</f>
        <v>Gerencia de Operaciones</v>
      </c>
      <c r="E75" s="6" t="str">
        <f>'Base Oficial'!D75</f>
        <v>JEFE DE DEPOSITOS</v>
      </c>
      <c r="F75" s="4" t="str">
        <f>IF(COUNTIFS('Base Exámenes'!$C$5:$C$1000, A75, 'Base Exámenes'!$E$5:$E$1000, "&lt;&gt;")&gt;0, "Completado", "Pendiente")</f>
        <v>Completado</v>
      </c>
      <c r="G75" s="27">
        <f>IFERROR(INDEX('Base Exámenes'!$D$5:$D$1000, MATCH(A75&amp;"|"&amp;J75, 'Base Exámenes'!$I$5:$I$1000, 0)), "")</f>
        <v>46305.5084375</v>
      </c>
      <c r="H75" s="27">
        <f>IFERROR(INDEX('Base Exámenes'!$E$5:$E$1000, MATCH(A75&amp;"|"&amp;J75, 'Base Exámenes'!$I$5:$I$1000, 0)), "")</f>
        <v>46305.513344907406</v>
      </c>
      <c r="I75" s="26">
        <f>IFERROR(INDEX('Base Exámenes'!$F$5:$F$1000, MATCH(A75&amp;"|"&amp;J75, 'Base Exámenes'!$I$5:$I$1000, 0)), "")</f>
        <v>7.06666666666667</v>
      </c>
      <c r="J75" s="6">
        <f>IF(F75="Completado", _xlfn.MAXIFS('Base Exámenes'!$G$5:$G$1000, 'Base Exámenes'!$C$5:$C$1000, A75), "")</f>
        <v>100</v>
      </c>
      <c r="K75" s="6" t="str">
        <f>IFERROR(INDEX('Base Exámenes'!$H$5:$H$1000, MATCH(A75&amp;"|"&amp;J75, 'Base Exámenes'!$I$5:$I$1000, 0)), "anonymous")</f>
        <v>anonymous</v>
      </c>
      <c r="L75" s="95">
        <f>COUNTIF('Base Exámenes'!$C$5:$C$1000, A75)</f>
        <v>1</v>
      </c>
    </row>
    <row r="76">
      <c r="A76" s="4" t="str">
        <f>'Base Oficial'!A76</f>
        <v>632</v>
      </c>
      <c r="B76" s="6" t="str">
        <f>'Base Oficial'!B76</f>
        <v>LUCILA MARGARITA CORCIO QUINTANILLA</v>
      </c>
      <c r="C76" s="6" t="str">
        <f>'Base Oficial'!F76</f>
        <v>DEPARTAMENTO DE DEPOSITOS</v>
      </c>
      <c r="D76" s="6" t="str">
        <f>'Base Oficial'!G76</f>
        <v>Gerencia de Operaciones</v>
      </c>
      <c r="E76" s="6" t="str">
        <f>'Base Oficial'!D76</f>
        <v>ASISTENTE COMPENSADOR DE CHEQUES</v>
      </c>
      <c r="F76" s="4" t="str">
        <f>IF(COUNTIFS('Base Exámenes'!$C$5:$C$1000, A76, 'Base Exámenes'!$E$5:$E$1000, "&lt;&gt;")&gt;0, "Completado", "Pendiente")</f>
        <v>Completado</v>
      </c>
      <c r="G76" s="27">
        <f>IFERROR(INDEX('Base Exámenes'!$D$5:$D$1000, MATCH(A76&amp;"|"&amp;J76, 'Base Exámenes'!$I$5:$I$1000, 0)), "")</f>
        <v>46296.56951388889</v>
      </c>
      <c r="H76" s="27">
        <f>IFERROR(INDEX('Base Exámenes'!$E$5:$E$1000, MATCH(A76&amp;"|"&amp;J76, 'Base Exámenes'!$I$5:$I$1000, 0)), "")</f>
        <v>46296.57800925926</v>
      </c>
      <c r="I76" s="26">
        <f>IFERROR(INDEX('Base Exámenes'!$F$5:$F$1000, MATCH(A76&amp;"|"&amp;J76, 'Base Exámenes'!$I$5:$I$1000, 0)), "")</f>
        <v>12.2333333333333</v>
      </c>
      <c r="J76" s="6">
        <f>IF(F76="Completado", _xlfn.MAXIFS('Base Exámenes'!$G$5:$G$1000, 'Base Exámenes'!$C$5:$C$1000, A76), "")</f>
        <v>100</v>
      </c>
      <c r="K76" s="6" t="str">
        <f>IFERROR(INDEX('Base Exámenes'!$H$5:$H$1000, MATCH(A76&amp;"|"&amp;J76, 'Base Exámenes'!$I$5:$I$1000, 0)), "anonymous")</f>
        <v>anonymous</v>
      </c>
      <c r="L76" s="95">
        <f>COUNTIF('Base Exámenes'!$C$5:$C$1000, A76)</f>
        <v>1</v>
      </c>
    </row>
    <row r="77">
      <c r="A77" s="4" t="str">
        <f>'Base Oficial'!A77</f>
        <v>773</v>
      </c>
      <c r="B77" s="6" t="str">
        <f>'Base Oficial'!B77</f>
        <v>HELLEN ESTEFANI RODRIGUEZ GARCIA </v>
      </c>
      <c r="C77" s="6" t="str">
        <f>'Base Oficial'!F77</f>
        <v>DEPARTAMENTO DE DEPOSITOS</v>
      </c>
      <c r="D77" s="6" t="str">
        <f>'Base Oficial'!G77</f>
        <v>Gerencia de Operaciones</v>
      </c>
      <c r="E77" s="6" t="str">
        <f>'Base Oficial'!D77</f>
        <v>ASISTENTE COMPENSADOR DE CHEQUES</v>
      </c>
      <c r="F77" s="4" t="str">
        <f>IF(COUNTIFS('Base Exámenes'!$C$5:$C$1000, A77, 'Base Exámenes'!$E$5:$E$1000, "&lt;&gt;")&gt;0, "Completado", "Pendiente")</f>
        <v>Completado</v>
      </c>
      <c r="G77" s="27">
        <f>IFERROR(INDEX('Base Exámenes'!$D$5:$D$1000, MATCH(A77&amp;"|"&amp;J77, 'Base Exámenes'!$I$5:$I$1000, 0)), "")</f>
        <v>46297.46885416667</v>
      </c>
      <c r="H77" s="27">
        <f>IFERROR(INDEX('Base Exámenes'!$E$5:$E$1000, MATCH(A77&amp;"|"&amp;J77, 'Base Exámenes'!$I$5:$I$1000, 0)), "")</f>
        <v>46297.47550925926</v>
      </c>
      <c r="I77" s="26">
        <f>IFERROR(INDEX('Base Exámenes'!$F$5:$F$1000, MATCH(A77&amp;"|"&amp;J77, 'Base Exámenes'!$I$5:$I$1000, 0)), "")</f>
        <v>9.58333333333333</v>
      </c>
      <c r="J77" s="6">
        <f>IF(F77="Completado", _xlfn.MAXIFS('Base Exámenes'!$G$5:$G$1000, 'Base Exámenes'!$C$5:$C$1000, A77), "")</f>
        <v>95</v>
      </c>
      <c r="K77" s="6" t="str">
        <f>IFERROR(INDEX('Base Exámenes'!$H$5:$H$1000, MATCH(A77&amp;"|"&amp;J77, 'Base Exámenes'!$I$5:$I$1000, 0)), "anonymous")</f>
        <v>anonymous</v>
      </c>
      <c r="L77" s="95">
        <f>COUNTIF('Base Exámenes'!$C$5:$C$1000, A77)</f>
        <v>1</v>
      </c>
    </row>
    <row r="78">
      <c r="A78" s="4" t="str">
        <f>'Base Oficial'!A78</f>
        <v>787</v>
      </c>
      <c r="B78" s="6" t="str">
        <f>'Base Oficial'!B78</f>
        <v>WALTER OSWALDO SANCHEZ RIVAS </v>
      </c>
      <c r="C78" s="6" t="str">
        <f>'Base Oficial'!F78</f>
        <v>DEPARTAMENTO DE DEPOSITOS</v>
      </c>
      <c r="D78" s="6" t="str">
        <f>'Base Oficial'!G78</f>
        <v>Gerencia de Operaciones</v>
      </c>
      <c r="E78" s="6" t="str">
        <f>'Base Oficial'!D78</f>
        <v>ASISTENTE COMPENSADOR DE CHEQUES</v>
      </c>
      <c r="F78" s="4" t="str">
        <f>IF(COUNTIFS('Base Exámenes'!$C$5:$C$1000, A78, 'Base Exámenes'!$E$5:$E$1000, "&lt;&gt;")&gt;0, "Completado", "Pendiente")</f>
        <v>Completado</v>
      </c>
      <c r="G78" s="27">
        <f>IFERROR(INDEX('Base Exámenes'!$D$5:$D$1000, MATCH(A78&amp;"|"&amp;J78, 'Base Exámenes'!$I$5:$I$1000, 0)), "")</f>
        <v>46304.69060185185</v>
      </c>
      <c r="H78" s="27">
        <f>IFERROR(INDEX('Base Exámenes'!$E$5:$E$1000, MATCH(A78&amp;"|"&amp;J78, 'Base Exámenes'!$I$5:$I$1000, 0)), "")</f>
        <v>46304.692928240744</v>
      </c>
      <c r="I78" s="26">
        <f>IFERROR(INDEX('Base Exámenes'!$F$5:$F$1000, MATCH(A78&amp;"|"&amp;J78, 'Base Exámenes'!$I$5:$I$1000, 0)), "")</f>
        <v>3.35</v>
      </c>
      <c r="J78" s="6">
        <f>IF(F78="Completado", _xlfn.MAXIFS('Base Exámenes'!$G$5:$G$1000, 'Base Exámenes'!$C$5:$C$1000, A78), "")</f>
        <v>100</v>
      </c>
      <c r="K78" s="6" t="str">
        <f>IFERROR(INDEX('Base Exámenes'!$H$5:$H$1000, MATCH(A78&amp;"|"&amp;J78, 'Base Exámenes'!$I$5:$I$1000, 0)), "anonymous")</f>
        <v>anonymous</v>
      </c>
      <c r="L78" s="95">
        <f>COUNTIF('Base Exámenes'!$C$5:$C$1000, A78)</f>
        <v>1</v>
      </c>
    </row>
    <row r="79">
      <c r="A79" s="4" t="str">
        <f>'Base Oficial'!A79</f>
        <v>16</v>
      </c>
      <c r="B79" s="6" t="str">
        <f>'Base Oficial'!B79</f>
        <v>YANETH MARLENY LANDAVERDE MORALES</v>
      </c>
      <c r="C79" s="6" t="str">
        <f>'Base Oficial'!F79</f>
        <v>ADMINISTRACIÓN DE CARTERAS</v>
      </c>
      <c r="D79" s="6" t="str">
        <f>'Base Oficial'!G79</f>
        <v>Gerencia de Operaciones</v>
      </c>
      <c r="E79" s="6" t="str">
        <f>'Base Oficial'!D79</f>
        <v>JEFE DE ADMINISTRACION DE CARTERA</v>
      </c>
      <c r="F79" s="4" t="str">
        <f>IF(COUNTIFS('Base Exámenes'!$C$5:$C$1000, A79, 'Base Exámenes'!$E$5:$E$1000, "&lt;&gt;")&gt;0, "Completado", "Pendiente")</f>
        <v>Completado</v>
      </c>
      <c r="G79" s="27">
        <f>IFERROR(INDEX('Base Exámenes'!$D$5:$D$1000, MATCH(A79&amp;"|"&amp;J79, 'Base Exámenes'!$I$5:$I$1000, 0)), "")</f>
        <v>46307.671215277776</v>
      </c>
      <c r="H79" s="27">
        <f>IFERROR(INDEX('Base Exámenes'!$E$5:$E$1000, MATCH(A79&amp;"|"&amp;J79, 'Base Exámenes'!$I$5:$I$1000, 0)), "")</f>
        <v>46307.675532407404</v>
      </c>
      <c r="I79" s="26">
        <f>IFERROR(INDEX('Base Exámenes'!$F$5:$F$1000, MATCH(A79&amp;"|"&amp;J79, 'Base Exámenes'!$I$5:$I$1000, 0)), "")</f>
        <v>6.21666664256667</v>
      </c>
      <c r="J79" s="6">
        <f>IF(F79="Completado", _xlfn.MAXIFS('Base Exámenes'!$G$5:$G$1000, 'Base Exámenes'!$C$5:$C$1000, A79), "")</f>
        <v>100</v>
      </c>
      <c r="K79" s="6" t="str">
        <f>IFERROR(INDEX('Base Exámenes'!$H$5:$H$1000, MATCH(A79&amp;"|"&amp;J79, 'Base Exámenes'!$I$5:$I$1000, 0)), "anonymous")</f>
        <v>anonymous</v>
      </c>
      <c r="L79" s="95">
        <f>COUNTIF('Base Exámenes'!$C$5:$C$1000, A79)</f>
        <v>1</v>
      </c>
    </row>
    <row r="80">
      <c r="A80" s="4" t="str">
        <f>'Base Oficial'!A80</f>
        <v>477</v>
      </c>
      <c r="B80" s="6" t="str">
        <f>'Base Oficial'!B80</f>
        <v>GEMA YESENIA VILLALOBOS HERNANDEZ </v>
      </c>
      <c r="C80" s="6" t="str">
        <f>'Base Oficial'!F80</f>
        <v>ADMINISTRACIÓN DE CARTERAS</v>
      </c>
      <c r="D80" s="6" t="str">
        <f>'Base Oficial'!G80</f>
        <v>Gerencia de Operaciones</v>
      </c>
      <c r="E80" s="6" t="str">
        <f>'Base Oficial'!D80</f>
        <v>ANALISTA DE CARTERAS</v>
      </c>
      <c r="F80" s="4" t="str">
        <f>IF(COUNTIFS('Base Exámenes'!$C$5:$C$1000, A80, 'Base Exámenes'!$E$5:$E$1000, "&lt;&gt;")&gt;0, "Completado", "Pendiente")</f>
        <v>Completado</v>
      </c>
      <c r="G80" s="27">
        <f>IFERROR(INDEX('Base Exámenes'!$D$5:$D$1000, MATCH(A80&amp;"|"&amp;J80, 'Base Exámenes'!$I$5:$I$1000, 0)), "")</f>
        <v>46307.65331018518</v>
      </c>
      <c r="H80" s="27">
        <f>IFERROR(INDEX('Base Exámenes'!$E$5:$E$1000, MATCH(A80&amp;"|"&amp;J80, 'Base Exámenes'!$I$5:$I$1000, 0)), "")</f>
        <v>46307.65584490741</v>
      </c>
      <c r="I80" s="26">
        <f>IFERROR(INDEX('Base Exámenes'!$F$5:$F$1000, MATCH(A80&amp;"|"&amp;J80, 'Base Exámenes'!$I$5:$I$1000, 0)), "")</f>
        <v>3.65</v>
      </c>
      <c r="J80" s="6">
        <f>IF(F80="Completado", _xlfn.MAXIFS('Base Exámenes'!$G$5:$G$1000, 'Base Exámenes'!$C$5:$C$1000, A80), "")</f>
        <v>100</v>
      </c>
      <c r="K80" s="6" t="str">
        <f>IFERROR(INDEX('Base Exámenes'!$H$5:$H$1000, MATCH(A80&amp;"|"&amp;J80, 'Base Exámenes'!$I$5:$I$1000, 0)), "anonymous")</f>
        <v>anonymous</v>
      </c>
      <c r="L80" s="95">
        <f>COUNTIF('Base Exámenes'!$C$5:$C$1000, A80)</f>
        <v>1</v>
      </c>
    </row>
    <row r="81">
      <c r="A81" s="4" t="str">
        <f>'Base Oficial'!A81</f>
        <v>572</v>
      </c>
      <c r="B81" s="6" t="str">
        <f>'Base Oficial'!B81</f>
        <v>PAMELA GIOVANNA AGUILAR SERBELLON </v>
      </c>
      <c r="C81" s="6" t="str">
        <f>'Base Oficial'!F81</f>
        <v>ADMINISTRACIÓN DE CARTERAS</v>
      </c>
      <c r="D81" s="6" t="str">
        <f>'Base Oficial'!G81</f>
        <v>Gerencia de Operaciones</v>
      </c>
      <c r="E81" s="6" t="str">
        <f>'Base Oficial'!D81</f>
        <v>GESTOR DE COBROS Y PAGOS DE SEGUROS</v>
      </c>
      <c r="F81" s="4" t="str">
        <f>IF(COUNTIFS('Base Exámenes'!$C$5:$C$1000, A81, 'Base Exámenes'!$E$5:$E$1000, "&lt;&gt;")&gt;0, "Completado", "Pendiente")</f>
        <v>Completado</v>
      </c>
      <c r="G81" s="27">
        <f>IFERROR(INDEX('Base Exámenes'!$D$5:$D$1000, MATCH(A81&amp;"|"&amp;J81, 'Base Exámenes'!$I$5:$I$1000, 0)), "")</f>
        <v>46304.494108796294</v>
      </c>
      <c r="H81" s="27">
        <f>IFERROR(INDEX('Base Exámenes'!$E$5:$E$1000, MATCH(A81&amp;"|"&amp;J81, 'Base Exámenes'!$I$5:$I$1000, 0)), "")</f>
        <v>46304.51201388889</v>
      </c>
      <c r="I81" s="26">
        <f>IFERROR(INDEX('Base Exámenes'!$F$5:$F$1000, MATCH(A81&amp;"|"&amp;J81, 'Base Exámenes'!$I$5:$I$1000, 0)), "")</f>
        <v>25.7833333333333</v>
      </c>
      <c r="J81" s="6">
        <f>IF(F81="Completado", _xlfn.MAXIFS('Base Exámenes'!$G$5:$G$1000, 'Base Exámenes'!$C$5:$C$1000, A81), "")</f>
        <v>100</v>
      </c>
      <c r="K81" s="6" t="str">
        <f>IFERROR(INDEX('Base Exámenes'!$H$5:$H$1000, MATCH(A81&amp;"|"&amp;J81, 'Base Exámenes'!$I$5:$I$1000, 0)), "anonymous")</f>
        <v>anonymous</v>
      </c>
      <c r="L81" s="95">
        <f>COUNTIF('Base Exámenes'!$C$5:$C$1000, A81)</f>
        <v>1</v>
      </c>
    </row>
    <row r="82">
      <c r="A82" s="4" t="str">
        <f>'Base Oficial'!A82</f>
        <v>732</v>
      </c>
      <c r="B82" s="6" t="str">
        <f>'Base Oficial'!B82</f>
        <v>RICARDO JOSUE CACAO ROVELO </v>
      </c>
      <c r="C82" s="6" t="str">
        <f>'Base Oficial'!F82</f>
        <v>ADMINISTRACIÓN DE CARTERAS</v>
      </c>
      <c r="D82" s="6" t="str">
        <f>'Base Oficial'!G82</f>
        <v>Gerencia de Operaciones</v>
      </c>
      <c r="E82" s="6" t="str">
        <f>'Base Oficial'!D82</f>
        <v>ANALISTA DE CARTERAS</v>
      </c>
      <c r="F82" s="4" t="str">
        <f>IF(COUNTIFS('Base Exámenes'!$C$5:$C$1000, A82, 'Base Exámenes'!$E$5:$E$1000, "&lt;&gt;")&gt;0, "Completado", "Pendiente")</f>
        <v>Pendiente</v>
      </c>
      <c r="G82" s="27" t="str">
        <f>IFERROR(INDEX('Base Exámenes'!$D$5:$D$1000, MATCH(A82&amp;"|"&amp;J82, 'Base Exámenes'!$I$5:$I$1000, 0)), "")</f>
        <v/>
      </c>
      <c r="H82" s="27" t="str">
        <f>IFERROR(INDEX('Base Exámenes'!$E$5:$E$1000, MATCH(A82&amp;"|"&amp;J82, 'Base Exámenes'!$I$5:$I$1000, 0)), "")</f>
        <v/>
      </c>
      <c r="I82" s="26" t="str">
        <f>IFERROR(INDEX('Base Exámenes'!$F$5:$F$1000, MATCH(A82&amp;"|"&amp;J82, 'Base Exámenes'!$I$5:$I$1000, 0)), "")</f>
        <v/>
      </c>
      <c r="J82" s="6" t="str">
        <f>IF(F82="Completado", _xlfn.MAXIFS('Base Exámenes'!$G$5:$G$1000, 'Base Exámenes'!$C$5:$C$1000, A82), "")</f>
        <v/>
      </c>
      <c r="K82" s="6" t="str">
        <f>IFERROR(INDEX('Base Exámenes'!$H$5:$H$1000, MATCH(A82&amp;"|"&amp;J82, 'Base Exámenes'!$I$5:$I$1000, 0)), "anonymous")</f>
        <v>anonymous</v>
      </c>
      <c r="L82" s="95">
        <f>COUNTIF('Base Exámenes'!$C$5:$C$1000, A82)</f>
        <v>0</v>
      </c>
    </row>
    <row r="83">
      <c r="A83" s="4" t="str">
        <f>'Base Oficial'!A83</f>
        <v>931</v>
      </c>
      <c r="B83" s="6" t="str">
        <f>'Base Oficial'!B83</f>
        <v>LOYDA ARACELY RAMOS CAÑENGUEZ </v>
      </c>
      <c r="C83" s="6" t="str">
        <f>'Base Oficial'!F83</f>
        <v>ADMINISTRACIÓN DE CARTERAS</v>
      </c>
      <c r="D83" s="6" t="str">
        <f>'Base Oficial'!G83</f>
        <v>Gerencia de Operaciones</v>
      </c>
      <c r="E83" s="6" t="str">
        <f>'Base Oficial'!D83</f>
        <v>ANALISTA DE PRESTAMOS</v>
      </c>
      <c r="F83" s="4" t="str">
        <f>IF(COUNTIFS('Base Exámenes'!$C$5:$C$1000, A83, 'Base Exámenes'!$E$5:$E$1000, "&lt;&gt;")&gt;0, "Completado", "Pendiente")</f>
        <v>Completado</v>
      </c>
      <c r="G83" s="27">
        <f>IFERROR(INDEX('Base Exámenes'!$D$5:$D$1000, MATCH(A83&amp;"|"&amp;J83, 'Base Exámenes'!$I$5:$I$1000, 0)), "")</f>
        <v>46304.56408564815</v>
      </c>
      <c r="H83" s="27">
        <f>IFERROR(INDEX('Base Exámenes'!$E$5:$E$1000, MATCH(A83&amp;"|"&amp;J83, 'Base Exámenes'!$I$5:$I$1000, 0)), "")</f>
        <v>46304.56716435185</v>
      </c>
      <c r="I83" s="26">
        <f>IFERROR(INDEX('Base Exámenes'!$F$5:$F$1000, MATCH(A83&amp;"|"&amp;J83, 'Base Exámenes'!$I$5:$I$1000, 0)), "")</f>
        <v>4.43333333333333</v>
      </c>
      <c r="J83" s="6">
        <f>IF(F83="Completado", _xlfn.MAXIFS('Base Exámenes'!$G$5:$G$1000, 'Base Exámenes'!$C$5:$C$1000, A83), "")</f>
        <v>100</v>
      </c>
      <c r="K83" s="6" t="str">
        <f>IFERROR(INDEX('Base Exámenes'!$H$5:$H$1000, MATCH(A83&amp;"|"&amp;J83, 'Base Exámenes'!$I$5:$I$1000, 0)), "anonymous")</f>
        <v>anonymous</v>
      </c>
      <c r="L83" s="95">
        <f>COUNTIF('Base Exámenes'!$C$5:$C$1000, A83)</f>
        <v>1</v>
      </c>
    </row>
    <row r="84">
      <c r="A84" s="4" t="str">
        <f>'Base Oficial'!A84</f>
        <v>942</v>
      </c>
      <c r="B84" s="6" t="str">
        <f>'Base Oficial'!B84</f>
        <v>PAULA MARIA CALDERON PEREZ </v>
      </c>
      <c r="C84" s="6" t="str">
        <f>'Base Oficial'!F84</f>
        <v>GERENCIA DE FINANZAS Y PLANIFICACIÓN</v>
      </c>
      <c r="D84" s="6" t="str">
        <f>'Base Oficial'!G84</f>
        <v>Gerencia de Finanzas y Planificación</v>
      </c>
      <c r="E84" s="6" t="str">
        <f>'Base Oficial'!D84</f>
        <v>ASISTENTE DE GERENCIA DE FINANZAS</v>
      </c>
      <c r="F84" s="4" t="str">
        <f>IF(COUNTIFS('Base Exámenes'!$C$5:$C$1000, A84, 'Base Exámenes'!$E$5:$E$1000, "&lt;&gt;")&gt;0, "Completado", "Pendiente")</f>
        <v>Completado</v>
      </c>
      <c r="G84" s="27">
        <f>IFERROR(INDEX('Base Exámenes'!$D$5:$D$1000, MATCH(A84&amp;"|"&amp;J84, 'Base Exámenes'!$I$5:$I$1000, 0)), "")</f>
        <v>46305.467453703706</v>
      </c>
      <c r="H84" s="27">
        <f>IFERROR(INDEX('Base Exámenes'!$E$5:$E$1000, MATCH(A84&amp;"|"&amp;J84, 'Base Exámenes'!$I$5:$I$1000, 0)), "")</f>
        <v>46305.470555555556</v>
      </c>
      <c r="I84" s="26">
        <f>IFERROR(INDEX('Base Exámenes'!$F$5:$F$1000, MATCH(A84&amp;"|"&amp;J84, 'Base Exámenes'!$I$5:$I$1000, 0)), "")</f>
        <v>4.46666666666667</v>
      </c>
      <c r="J84" s="6">
        <f>IF(F84="Completado", _xlfn.MAXIFS('Base Exámenes'!$G$5:$G$1000, 'Base Exámenes'!$C$5:$C$1000, A84), "")</f>
        <v>100</v>
      </c>
      <c r="K84" s="6" t="str">
        <f>IFERROR(INDEX('Base Exámenes'!$H$5:$H$1000, MATCH(A84&amp;"|"&amp;J84, 'Base Exámenes'!$I$5:$I$1000, 0)), "anonymous")</f>
        <v>anonymous</v>
      </c>
      <c r="L84" s="95">
        <f>COUNTIF('Base Exámenes'!$C$5:$C$1000, A84)</f>
        <v>1</v>
      </c>
    </row>
    <row r="85">
      <c r="A85" s="4" t="str">
        <f>'Base Oficial'!A85</f>
        <v>70</v>
      </c>
      <c r="B85" s="6" t="str">
        <f>'Base Oficial'!B85</f>
        <v>RUBIA ESTELA LEIVA SIBRIAN </v>
      </c>
      <c r="C85" s="6" t="str">
        <f>'Base Oficial'!F85</f>
        <v>DEPARTAMENTO DE CONTABILIDAD</v>
      </c>
      <c r="D85" s="6" t="str">
        <f>'Base Oficial'!G85</f>
        <v>Gerencia de Finanzas y Planificación</v>
      </c>
      <c r="E85" s="6" t="str">
        <f>'Base Oficial'!D85</f>
        <v>ASISTENTE TECNICO DE PAGOS</v>
      </c>
      <c r="F85" s="4" t="str">
        <f>IF(COUNTIFS('Base Exámenes'!$C$5:$C$1000, A85, 'Base Exámenes'!$E$5:$E$1000, "&lt;&gt;")&gt;0, "Completado", "Pendiente")</f>
        <v>Pendiente</v>
      </c>
      <c r="G85" s="27" t="str">
        <f>IFERROR(INDEX('Base Exámenes'!$D$5:$D$1000, MATCH(A85&amp;"|"&amp;J85, 'Base Exámenes'!$I$5:$I$1000, 0)), "")</f>
        <v/>
      </c>
      <c r="H85" s="27" t="str">
        <f>IFERROR(INDEX('Base Exámenes'!$E$5:$E$1000, MATCH(A85&amp;"|"&amp;J85, 'Base Exámenes'!$I$5:$I$1000, 0)), "")</f>
        <v/>
      </c>
      <c r="I85" s="26" t="str">
        <f>IFERROR(INDEX('Base Exámenes'!$F$5:$F$1000, MATCH(A85&amp;"|"&amp;J85, 'Base Exámenes'!$I$5:$I$1000, 0)), "")</f>
        <v/>
      </c>
      <c r="J85" s="6" t="str">
        <f>IF(F85="Completado", _xlfn.MAXIFS('Base Exámenes'!$G$5:$G$1000, 'Base Exámenes'!$C$5:$C$1000, A85), "")</f>
        <v/>
      </c>
      <c r="K85" s="6" t="str">
        <f>IFERROR(INDEX('Base Exámenes'!$H$5:$H$1000, MATCH(A85&amp;"|"&amp;J85, 'Base Exámenes'!$I$5:$I$1000, 0)), "anonymous")</f>
        <v>anonymous</v>
      </c>
      <c r="L85" s="95">
        <f>COUNTIF('Base Exámenes'!$C$5:$C$1000, A85)</f>
        <v>0</v>
      </c>
    </row>
    <row r="86">
      <c r="A86" s="4" t="str">
        <f>'Base Oficial'!A86</f>
        <v>235</v>
      </c>
      <c r="B86" s="6" t="str">
        <f>'Base Oficial'!B86</f>
        <v>CLAUDIA MARLENE CABRERA SANCHEZ </v>
      </c>
      <c r="C86" s="6" t="str">
        <f>'Base Oficial'!F86</f>
        <v>DEPARTAMENTO DE CONTABILIDAD</v>
      </c>
      <c r="D86" s="6" t="str">
        <f>'Base Oficial'!G86</f>
        <v>Gerencia de Finanzas y Planificación</v>
      </c>
      <c r="E86" s="6" t="str">
        <f>'Base Oficial'!D86</f>
        <v>SUPERVISOR DE CONTABILIDAD</v>
      </c>
      <c r="F86" s="4" t="str">
        <f>IF(COUNTIFS('Base Exámenes'!$C$5:$C$1000, A86, 'Base Exámenes'!$E$5:$E$1000, "&lt;&gt;")&gt;0, "Completado", "Pendiente")</f>
        <v>Pendiente</v>
      </c>
      <c r="G86" s="27" t="str">
        <f>IFERROR(INDEX('Base Exámenes'!$D$5:$D$1000, MATCH(A86&amp;"|"&amp;J86, 'Base Exámenes'!$I$5:$I$1000, 0)), "")</f>
        <v/>
      </c>
      <c r="H86" s="27" t="str">
        <f>IFERROR(INDEX('Base Exámenes'!$E$5:$E$1000, MATCH(A86&amp;"|"&amp;J86, 'Base Exámenes'!$I$5:$I$1000, 0)), "")</f>
        <v/>
      </c>
      <c r="I86" s="26" t="str">
        <f>IFERROR(INDEX('Base Exámenes'!$F$5:$F$1000, MATCH(A86&amp;"|"&amp;J86, 'Base Exámenes'!$I$5:$I$1000, 0)), "")</f>
        <v/>
      </c>
      <c r="J86" s="6" t="str">
        <f>IF(F86="Completado", _xlfn.MAXIFS('Base Exámenes'!$G$5:$G$1000, 'Base Exámenes'!$C$5:$C$1000, A86), "")</f>
        <v/>
      </c>
      <c r="K86" s="6" t="str">
        <f>IFERROR(INDEX('Base Exámenes'!$H$5:$H$1000, MATCH(A86&amp;"|"&amp;J86, 'Base Exámenes'!$I$5:$I$1000, 0)), "anonymous")</f>
        <v>anonymous</v>
      </c>
      <c r="L86" s="95">
        <f>COUNTIF('Base Exámenes'!$C$5:$C$1000, A86)</f>
        <v>0</v>
      </c>
    </row>
    <row r="87">
      <c r="A87" s="4" t="str">
        <f>'Base Oficial'!A87</f>
        <v>373</v>
      </c>
      <c r="B87" s="6" t="str">
        <f>'Base Oficial'!B87</f>
        <v>MARTA ELIZABETH RODRIGUEZ INESTROZA</v>
      </c>
      <c r="C87" s="6" t="str">
        <f>'Base Oficial'!F87</f>
        <v>DEPARTAMENTO DE CONTABILIDAD</v>
      </c>
      <c r="D87" s="6" t="str">
        <f>'Base Oficial'!G87</f>
        <v>Gerencia de Finanzas y Planificación</v>
      </c>
      <c r="E87" s="6" t="str">
        <f>'Base Oficial'!D87</f>
        <v>CONTADOR GENERAL</v>
      </c>
      <c r="F87" s="4" t="str">
        <f>IF(COUNTIFS('Base Exámenes'!$C$5:$C$1000, A87, 'Base Exámenes'!$E$5:$E$1000, "&lt;&gt;")&gt;0, "Completado", "Pendiente")</f>
        <v>Completado</v>
      </c>
      <c r="G87" s="27">
        <f>IFERROR(INDEX('Base Exámenes'!$D$5:$D$1000, MATCH(A87&amp;"|"&amp;J87, 'Base Exámenes'!$I$5:$I$1000, 0)), "")</f>
        <v>46296.826469907406</v>
      </c>
      <c r="H87" s="27">
        <f>IFERROR(INDEX('Base Exámenes'!$E$5:$E$1000, MATCH(A87&amp;"|"&amp;J87, 'Base Exámenes'!$I$5:$I$1000, 0)), "")</f>
        <v>46296.82847222222</v>
      </c>
      <c r="I87" s="26">
        <f>IFERROR(INDEX('Base Exámenes'!$F$5:$F$1000, MATCH(A87&amp;"|"&amp;J87, 'Base Exámenes'!$I$5:$I$1000, 0)), "")</f>
        <v>2.88333333333333</v>
      </c>
      <c r="J87" s="6">
        <f>IF(F87="Completado", _xlfn.MAXIFS('Base Exámenes'!$G$5:$G$1000, 'Base Exámenes'!$C$5:$C$1000, A87), "")</f>
        <v>100</v>
      </c>
      <c r="K87" s="6" t="str">
        <f>IFERROR(INDEX('Base Exámenes'!$H$5:$H$1000, MATCH(A87&amp;"|"&amp;J87, 'Base Exámenes'!$I$5:$I$1000, 0)), "anonymous")</f>
        <v>anonymous</v>
      </c>
      <c r="L87" s="95">
        <f>COUNTIF('Base Exámenes'!$C$5:$C$1000, A87)</f>
        <v>1</v>
      </c>
    </row>
    <row r="88">
      <c r="A88" s="4" t="str">
        <f>'Base Oficial'!A88</f>
        <v>374</v>
      </c>
      <c r="B88" s="6" t="str">
        <f>'Base Oficial'!B88</f>
        <v>THELMA JUDITH QUINTANILLA VALLE </v>
      </c>
      <c r="C88" s="6" t="str">
        <f>'Base Oficial'!F88</f>
        <v>DEPARTAMENTO DE CONTABILIDAD</v>
      </c>
      <c r="D88" s="6" t="str">
        <f>'Base Oficial'!G88</f>
        <v>Gerencia de Finanzas y Planificación</v>
      </c>
      <c r="E88" s="6" t="str">
        <f>'Base Oficial'!D88</f>
        <v>AUXILIAR CONTABLE DE DIGITALIZACION</v>
      </c>
      <c r="F88" s="4" t="str">
        <f>IF(COUNTIFS('Base Exámenes'!$C$5:$C$1000, A88, 'Base Exámenes'!$E$5:$E$1000, "&lt;&gt;")&gt;0, "Completado", "Pendiente")</f>
        <v>Completado</v>
      </c>
      <c r="G88" s="27">
        <f>IFERROR(INDEX('Base Exámenes'!$D$5:$D$1000, MATCH(A88&amp;"|"&amp;J88, 'Base Exámenes'!$I$5:$I$1000, 0)), "")</f>
        <v>46309.378587962965</v>
      </c>
      <c r="H88" s="27">
        <f>IFERROR(INDEX('Base Exámenes'!$E$5:$E$1000, MATCH(A88&amp;"|"&amp;J88, 'Base Exámenes'!$I$5:$I$1000, 0)), "")</f>
        <v>46309.386967592596</v>
      </c>
      <c r="I88" s="26">
        <f>IFERROR(INDEX('Base Exámenes'!$F$5:$F$1000, MATCH(A88&amp;"|"&amp;J88, 'Base Exámenes'!$I$5:$I$1000, 0)), "")</f>
        <v>12.0666666899333</v>
      </c>
      <c r="J88" s="6">
        <f>IF(F88="Completado", _xlfn.MAXIFS('Base Exámenes'!$G$5:$G$1000, 'Base Exámenes'!$C$5:$C$1000, A88), "")</f>
        <v>85</v>
      </c>
      <c r="K88" s="6" t="str">
        <f>IFERROR(INDEX('Base Exámenes'!$H$5:$H$1000, MATCH(A88&amp;"|"&amp;J88, 'Base Exámenes'!$I$5:$I$1000, 0)), "anonymous")</f>
        <v>anonymous</v>
      </c>
      <c r="L88" s="95">
        <f>COUNTIF('Base Exámenes'!$C$5:$C$1000, A88)</f>
        <v>1</v>
      </c>
    </row>
    <row r="89">
      <c r="A89" s="4" t="str">
        <f>'Base Oficial'!A89</f>
        <v>571</v>
      </c>
      <c r="B89" s="6" t="str">
        <f>'Base Oficial'!B89</f>
        <v>MILAGRO TRINIDAD ROMERO MONTERROSA </v>
      </c>
      <c r="C89" s="6" t="str">
        <f>'Base Oficial'!F89</f>
        <v>DEPARTAMENTO DE CONTABILIDAD</v>
      </c>
      <c r="D89" s="6" t="str">
        <f>'Base Oficial'!G89</f>
        <v>Gerencia de Finanzas y Planificación</v>
      </c>
      <c r="E89" s="6" t="str">
        <f>'Base Oficial'!D89</f>
        <v>ASISTENTE TECNICO DE IMPUESTOS</v>
      </c>
      <c r="F89" s="4" t="str">
        <f>IF(COUNTIFS('Base Exámenes'!$C$5:$C$1000, A89, 'Base Exámenes'!$E$5:$E$1000, "&lt;&gt;")&gt;0, "Completado", "Pendiente")</f>
        <v>Pendiente</v>
      </c>
      <c r="G89" s="27" t="str">
        <f>IFERROR(INDEX('Base Exámenes'!$D$5:$D$1000, MATCH(A89&amp;"|"&amp;J89, 'Base Exámenes'!$I$5:$I$1000, 0)), "")</f>
        <v/>
      </c>
      <c r="H89" s="27" t="str">
        <f>IFERROR(INDEX('Base Exámenes'!$E$5:$E$1000, MATCH(A89&amp;"|"&amp;J89, 'Base Exámenes'!$I$5:$I$1000, 0)), "")</f>
        <v/>
      </c>
      <c r="I89" s="26" t="str">
        <f>IFERROR(INDEX('Base Exámenes'!$F$5:$F$1000, MATCH(A89&amp;"|"&amp;J89, 'Base Exámenes'!$I$5:$I$1000, 0)), "")</f>
        <v/>
      </c>
      <c r="J89" s="6" t="str">
        <f>IF(F89="Completado", _xlfn.MAXIFS('Base Exámenes'!$G$5:$G$1000, 'Base Exámenes'!$C$5:$C$1000, A89), "")</f>
        <v/>
      </c>
      <c r="K89" s="6" t="str">
        <f>IFERROR(INDEX('Base Exámenes'!$H$5:$H$1000, MATCH(A89&amp;"|"&amp;J89, 'Base Exámenes'!$I$5:$I$1000, 0)), "anonymous")</f>
        <v>anonymous</v>
      </c>
      <c r="L89" s="95">
        <f>COUNTIF('Base Exámenes'!$C$5:$C$1000, A89)</f>
        <v>0</v>
      </c>
    </row>
    <row r="90">
      <c r="A90" s="4" t="str">
        <f>'Base Oficial'!A90</f>
        <v>676</v>
      </c>
      <c r="B90" s="6" t="str">
        <f>'Base Oficial'!B90</f>
        <v>DANIEL ENRIQUE FLORES RAMIREZ </v>
      </c>
      <c r="C90" s="6" t="str">
        <f>'Base Oficial'!F90</f>
        <v>DEPARTAMENTO DE CONTABILIDAD</v>
      </c>
      <c r="D90" s="6" t="str">
        <f>'Base Oficial'!G90</f>
        <v>Gerencia de Finanzas y Planificación</v>
      </c>
      <c r="E90" s="6" t="str">
        <f>'Base Oficial'!D90</f>
        <v>ASISTENTE TECNICO DE TARJETA DE CREDITO Y DEBITO</v>
      </c>
      <c r="F90" s="4" t="str">
        <f>IF(COUNTIFS('Base Exámenes'!$C$5:$C$1000, A90, 'Base Exámenes'!$E$5:$E$1000, "&lt;&gt;")&gt;0, "Completado", "Pendiente")</f>
        <v>Completado</v>
      </c>
      <c r="G90" s="27">
        <f>IFERROR(INDEX('Base Exámenes'!$D$5:$D$1000, MATCH(A90&amp;"|"&amp;J90, 'Base Exámenes'!$I$5:$I$1000, 0)), "")</f>
        <v>46304.35847222222</v>
      </c>
      <c r="H90" s="27">
        <f>IFERROR(INDEX('Base Exámenes'!$E$5:$E$1000, MATCH(A90&amp;"|"&amp;J90, 'Base Exámenes'!$I$5:$I$1000, 0)), "")</f>
        <v>46304.36083333333</v>
      </c>
      <c r="I90" s="26">
        <f>IFERROR(INDEX('Base Exámenes'!$F$5:$F$1000, MATCH(A90&amp;"|"&amp;J90, 'Base Exámenes'!$I$5:$I$1000, 0)), "")</f>
        <v>3.4</v>
      </c>
      <c r="J90" s="6">
        <f>IF(F90="Completado", _xlfn.MAXIFS('Base Exámenes'!$G$5:$G$1000, 'Base Exámenes'!$C$5:$C$1000, A90), "")</f>
        <v>100</v>
      </c>
      <c r="K90" s="6" t="str">
        <f>IFERROR(INDEX('Base Exámenes'!$H$5:$H$1000, MATCH(A90&amp;"|"&amp;J90, 'Base Exámenes'!$I$5:$I$1000, 0)), "anonymous")</f>
        <v>anonymous</v>
      </c>
      <c r="L90" s="95">
        <f>COUNTIF('Base Exámenes'!$C$5:$C$1000, A90)</f>
        <v>1</v>
      </c>
    </row>
    <row r="91">
      <c r="A91" s="4" t="str">
        <f>'Base Oficial'!A91</f>
        <v>733</v>
      </c>
      <c r="B91" s="6" t="str">
        <f>'Base Oficial'!B91</f>
        <v>ROSSEMARY YAMILETH LOBATO MARTINEZ </v>
      </c>
      <c r="C91" s="6" t="str">
        <f>'Base Oficial'!F91</f>
        <v>DEPARTAMENTO DE CONTABILIDAD</v>
      </c>
      <c r="D91" s="6" t="str">
        <f>'Base Oficial'!G91</f>
        <v>Gerencia de Finanzas y Planificación</v>
      </c>
      <c r="E91" s="6" t="str">
        <f>'Base Oficial'!D91</f>
        <v>ASISTENTE TECNICO DE PAGOS</v>
      </c>
      <c r="F91" s="4" t="str">
        <f>IF(COUNTIFS('Base Exámenes'!$C$5:$C$1000, A91, 'Base Exámenes'!$E$5:$E$1000, "&lt;&gt;")&gt;0, "Completado", "Pendiente")</f>
        <v>Completado</v>
      </c>
      <c r="G91" s="27">
        <f>IFERROR(INDEX('Base Exámenes'!$D$5:$D$1000, MATCH(A91&amp;"|"&amp;J91, 'Base Exámenes'!$I$5:$I$1000, 0)), "")</f>
        <v>46300.30724537037</v>
      </c>
      <c r="H91" s="27">
        <f>IFERROR(INDEX('Base Exámenes'!$E$5:$E$1000, MATCH(A91&amp;"|"&amp;J91, 'Base Exámenes'!$I$5:$I$1000, 0)), "")</f>
        <v>46300.31707175926</v>
      </c>
      <c r="I91" s="26">
        <f>IFERROR(INDEX('Base Exámenes'!$F$5:$F$1000, MATCH(A91&amp;"|"&amp;J91, 'Base Exámenes'!$I$5:$I$1000, 0)), "")</f>
        <v>14.15</v>
      </c>
      <c r="J91" s="6">
        <f>IF(F91="Completado", _xlfn.MAXIFS('Base Exámenes'!$G$5:$G$1000, 'Base Exámenes'!$C$5:$C$1000, A91), "")</f>
        <v>100</v>
      </c>
      <c r="K91" s="6" t="str">
        <f>IFERROR(INDEX('Base Exámenes'!$H$5:$H$1000, MATCH(A91&amp;"|"&amp;J91, 'Base Exámenes'!$I$5:$I$1000, 0)), "anonymous")</f>
        <v>anonymous</v>
      </c>
      <c r="L91" s="95">
        <f>COUNTIF('Base Exámenes'!$C$5:$C$1000, A91)</f>
        <v>1</v>
      </c>
    </row>
    <row r="92">
      <c r="A92" s="4" t="str">
        <f>'Base Oficial'!A92</f>
        <v>749</v>
      </c>
      <c r="B92" s="6" t="str">
        <f>'Base Oficial'!B92</f>
        <v>JENNIFER MARCELA MORALES  TORRES</v>
      </c>
      <c r="C92" s="6" t="str">
        <f>'Base Oficial'!F92</f>
        <v>DEPARTAMENTO DE CONTABILIDAD</v>
      </c>
      <c r="D92" s="6" t="str">
        <f>'Base Oficial'!G92</f>
        <v>Gerencia de Finanzas y Planificación</v>
      </c>
      <c r="E92" s="6" t="str">
        <f>'Base Oficial'!D92</f>
        <v>CONTADOR BANCARIO</v>
      </c>
      <c r="F92" s="4" t="str">
        <f>IF(COUNTIFS('Base Exámenes'!$C$5:$C$1000, A92, 'Base Exámenes'!$E$5:$E$1000, "&lt;&gt;")&gt;0, "Completado", "Pendiente")</f>
        <v>Completado</v>
      </c>
      <c r="G92" s="27">
        <f>IFERROR(INDEX('Base Exámenes'!$D$5:$D$1000, MATCH(A92&amp;"|"&amp;J92, 'Base Exámenes'!$I$5:$I$1000, 0)), "")</f>
        <v>46307.38872685185</v>
      </c>
      <c r="H92" s="27">
        <f>IFERROR(INDEX('Base Exámenes'!$E$5:$E$1000, MATCH(A92&amp;"|"&amp;J92, 'Base Exámenes'!$I$5:$I$1000, 0)), "")</f>
        <v>46307.39042824074</v>
      </c>
      <c r="I92" s="26">
        <f>IFERROR(INDEX('Base Exámenes'!$F$5:$F$1000, MATCH(A92&amp;"|"&amp;J92, 'Base Exámenes'!$I$5:$I$1000, 0)), "")</f>
        <v>2.45</v>
      </c>
      <c r="J92" s="6">
        <f>IF(F92="Completado", _xlfn.MAXIFS('Base Exámenes'!$G$5:$G$1000, 'Base Exámenes'!$C$5:$C$1000, A92), "")</f>
        <v>100</v>
      </c>
      <c r="K92" s="6" t="str">
        <f>IFERROR(INDEX('Base Exámenes'!$H$5:$H$1000, MATCH(A92&amp;"|"&amp;J92, 'Base Exámenes'!$I$5:$I$1000, 0)), "anonymous")</f>
        <v>anonymous</v>
      </c>
      <c r="L92" s="95">
        <f>COUNTIF('Base Exámenes'!$C$5:$C$1000, A92)</f>
        <v>1</v>
      </c>
    </row>
    <row r="93">
      <c r="A93" s="4" t="str">
        <f>'Base Oficial'!A93</f>
        <v>778</v>
      </c>
      <c r="B93" s="6" t="str">
        <f>'Base Oficial'!B93</f>
        <v>ERICK RODRIGO ORTIZ TURCIOS </v>
      </c>
      <c r="C93" s="6" t="str">
        <f>'Base Oficial'!F93</f>
        <v>DEPARTAMENTO DE CONTABILIDAD</v>
      </c>
      <c r="D93" s="6" t="str">
        <f>'Base Oficial'!G93</f>
        <v>Gerencia de Finanzas y Planificación</v>
      </c>
      <c r="E93" s="6" t="str">
        <f>'Base Oficial'!D93</f>
        <v>ASISTENTE TECNICO DE AGENCIA CENTRAL</v>
      </c>
      <c r="F93" s="4" t="str">
        <f>IF(COUNTIFS('Base Exámenes'!$C$5:$C$1000, A93, 'Base Exámenes'!$E$5:$E$1000, "&lt;&gt;")&gt;0, "Completado", "Pendiente")</f>
        <v>Completado</v>
      </c>
      <c r="G93" s="27">
        <f>IFERROR(INDEX('Base Exámenes'!$D$5:$D$1000, MATCH(A93&amp;"|"&amp;J93, 'Base Exámenes'!$I$5:$I$1000, 0)), "")</f>
        <v>46304.33164351852</v>
      </c>
      <c r="H93" s="27">
        <f>IFERROR(INDEX('Base Exámenes'!$E$5:$E$1000, MATCH(A93&amp;"|"&amp;J93, 'Base Exámenes'!$I$5:$I$1000, 0)), "")</f>
        <v>46304.33385416667</v>
      </c>
      <c r="I93" s="26">
        <f>IFERROR(INDEX('Base Exámenes'!$F$5:$F$1000, MATCH(A93&amp;"|"&amp;J93, 'Base Exámenes'!$I$5:$I$1000, 0)), "")</f>
        <v>3.18333333333333</v>
      </c>
      <c r="J93" s="6">
        <f>IF(F93="Completado", _xlfn.MAXIFS('Base Exámenes'!$G$5:$G$1000, 'Base Exámenes'!$C$5:$C$1000, A93), "")</f>
        <v>100</v>
      </c>
      <c r="K93" s="6" t="str">
        <f>IFERROR(INDEX('Base Exámenes'!$H$5:$H$1000, MATCH(A93&amp;"|"&amp;J93, 'Base Exámenes'!$I$5:$I$1000, 0)), "anonymous")</f>
        <v>anonymous</v>
      </c>
      <c r="L93" s="95">
        <f>COUNTIF('Base Exámenes'!$C$5:$C$1000, A93)</f>
        <v>1</v>
      </c>
    </row>
    <row r="94">
      <c r="A94" s="4" t="str">
        <f>'Base Oficial'!A94</f>
        <v>784</v>
      </c>
      <c r="B94" s="6" t="str">
        <f>'Base Oficial'!B94</f>
        <v>BRIAN ADONAY BARRERA ALVARADO </v>
      </c>
      <c r="C94" s="6" t="str">
        <f>'Base Oficial'!F94</f>
        <v>DEPARTAMENTO DE CONTABILIDAD</v>
      </c>
      <c r="D94" s="6" t="str">
        <f>'Base Oficial'!G94</f>
        <v>Gerencia de Finanzas y Planificación</v>
      </c>
      <c r="E94" s="6" t="str">
        <f>'Base Oficial'!D94</f>
        <v>CONTADOR DE AGENCIAS</v>
      </c>
      <c r="F94" s="4" t="str">
        <f>IF(COUNTIFS('Base Exámenes'!$C$5:$C$1000, A94, 'Base Exámenes'!$E$5:$E$1000, "&lt;&gt;")&gt;0, "Completado", "Pendiente")</f>
        <v>Completado</v>
      </c>
      <c r="G94" s="27">
        <f>IFERROR(INDEX('Base Exámenes'!$D$5:$D$1000, MATCH(A94&amp;"|"&amp;J94, 'Base Exámenes'!$I$5:$I$1000, 0)), "")</f>
        <v>46296.61537037037</v>
      </c>
      <c r="H94" s="27">
        <f>IFERROR(INDEX('Base Exámenes'!$E$5:$E$1000, MATCH(A94&amp;"|"&amp;J94, 'Base Exámenes'!$I$5:$I$1000, 0)), "")</f>
        <v>46296.62540509259</v>
      </c>
      <c r="I94" s="26">
        <f>IFERROR(INDEX('Base Exámenes'!$F$5:$F$1000, MATCH(A94&amp;"|"&amp;J94, 'Base Exámenes'!$I$5:$I$1000, 0)), "")</f>
        <v>14.45</v>
      </c>
      <c r="J94" s="6">
        <f>IF(F94="Completado", _xlfn.MAXIFS('Base Exámenes'!$G$5:$G$1000, 'Base Exámenes'!$C$5:$C$1000, A94), "")</f>
        <v>100</v>
      </c>
      <c r="K94" s="6" t="str">
        <f>IFERROR(INDEX('Base Exámenes'!$H$5:$H$1000, MATCH(A94&amp;"|"&amp;J94, 'Base Exámenes'!$I$5:$I$1000, 0)), "anonymous")</f>
        <v>anonymous</v>
      </c>
      <c r="L94" s="95">
        <f>COUNTIF('Base Exámenes'!$C$5:$C$1000, A94)</f>
        <v>1</v>
      </c>
    </row>
    <row r="95">
      <c r="A95" s="4" t="str">
        <f>'Base Oficial'!A95</f>
        <v>850</v>
      </c>
      <c r="B95" s="6" t="str">
        <f>'Base Oficial'!B95</f>
        <v>ALMA BEATRIZ  RAMIREZ SANDOVAL  </v>
      </c>
      <c r="C95" s="6" t="str">
        <f>'Base Oficial'!F95</f>
        <v>DEPARTAMENTO DE CONTABILIDAD</v>
      </c>
      <c r="D95" s="6" t="str">
        <f>'Base Oficial'!G95</f>
        <v>Gerencia de Finanzas y Planificación</v>
      </c>
      <c r="E95" s="6" t="str">
        <f>'Base Oficial'!D95</f>
        <v>CONTADOR DE AGENCIA NO MONETARIA</v>
      </c>
      <c r="F95" s="4" t="str">
        <f>IF(COUNTIFS('Base Exámenes'!$C$5:$C$1000, A95, 'Base Exámenes'!$E$5:$E$1000, "&lt;&gt;")&gt;0, "Completado", "Pendiente")</f>
        <v>Completado</v>
      </c>
      <c r="G95" s="27">
        <f>IFERROR(INDEX('Base Exámenes'!$D$5:$D$1000, MATCH(A95&amp;"|"&amp;J95, 'Base Exámenes'!$I$5:$I$1000, 0)), "")</f>
        <v>46304.38685185185</v>
      </c>
      <c r="H95" s="27">
        <f>IFERROR(INDEX('Base Exámenes'!$E$5:$E$1000, MATCH(A95&amp;"|"&amp;J95, 'Base Exámenes'!$I$5:$I$1000, 0)), "")</f>
        <v>46304.4002662037</v>
      </c>
      <c r="I95" s="26">
        <f>IFERROR(INDEX('Base Exámenes'!$F$5:$F$1000, MATCH(A95&amp;"|"&amp;J95, 'Base Exámenes'!$I$5:$I$1000, 0)), "")</f>
        <v>19.3166666666667</v>
      </c>
      <c r="J95" s="6">
        <f>IF(F95="Completado", _xlfn.MAXIFS('Base Exámenes'!$G$5:$G$1000, 'Base Exámenes'!$C$5:$C$1000, A95), "")</f>
        <v>90</v>
      </c>
      <c r="K95" s="6" t="str">
        <f>IFERROR(INDEX('Base Exámenes'!$H$5:$H$1000, MATCH(A95&amp;"|"&amp;J95, 'Base Exámenes'!$I$5:$I$1000, 0)), "anonymous")</f>
        <v>anonymous</v>
      </c>
      <c r="L95" s="95">
        <f>COUNTIF('Base Exámenes'!$C$5:$C$1000, A95)</f>
        <v>1</v>
      </c>
    </row>
    <row r="96">
      <c r="A96" s="4" t="str">
        <f>'Base Oficial'!A96</f>
        <v>872</v>
      </c>
      <c r="B96" s="6" t="str">
        <f>'Base Oficial'!B96</f>
        <v>JOSUE ELIAZAR MARTINEZ RECINOS </v>
      </c>
      <c r="C96" s="6" t="str">
        <f>'Base Oficial'!F96</f>
        <v>DEPARTAMENTO DE CONTABILIDAD</v>
      </c>
      <c r="D96" s="6" t="str">
        <f>'Base Oficial'!G96</f>
        <v>Gerencia de Finanzas y Planificación</v>
      </c>
      <c r="E96" s="6" t="str">
        <f>'Base Oficial'!D96</f>
        <v>CONTADOR DE AGENCIAS</v>
      </c>
      <c r="F96" s="4" t="str">
        <f>IF(COUNTIFS('Base Exámenes'!$C$5:$C$1000, A96, 'Base Exámenes'!$E$5:$E$1000, "&lt;&gt;")&gt;0, "Completado", "Pendiente")</f>
        <v>Completado</v>
      </c>
      <c r="G96" s="27">
        <f>IFERROR(INDEX('Base Exámenes'!$D$5:$D$1000, MATCH(A96&amp;"|"&amp;J96, 'Base Exámenes'!$I$5:$I$1000, 0)), "")</f>
        <v>46301.43630787037</v>
      </c>
      <c r="H96" s="27">
        <f>IFERROR(INDEX('Base Exámenes'!$E$5:$E$1000, MATCH(A96&amp;"|"&amp;J96, 'Base Exámenes'!$I$5:$I$1000, 0)), "")</f>
        <v>46301.438738425924</v>
      </c>
      <c r="I96" s="26">
        <f>IFERROR(INDEX('Base Exámenes'!$F$5:$F$1000, MATCH(A96&amp;"|"&amp;J96, 'Base Exámenes'!$I$5:$I$1000, 0)), "")</f>
        <v>3.5</v>
      </c>
      <c r="J96" s="6">
        <f>IF(F96="Completado", _xlfn.MAXIFS('Base Exámenes'!$G$5:$G$1000, 'Base Exámenes'!$C$5:$C$1000, A96), "")</f>
        <v>100</v>
      </c>
      <c r="K96" s="6" t="str">
        <f>IFERROR(INDEX('Base Exámenes'!$H$5:$H$1000, MATCH(A96&amp;"|"&amp;J96, 'Base Exámenes'!$I$5:$I$1000, 0)), "anonymous")</f>
        <v>anonymous</v>
      </c>
      <c r="L96" s="95">
        <f>COUNTIF('Base Exámenes'!$C$5:$C$1000, A96)</f>
        <v>1</v>
      </c>
    </row>
    <row r="97">
      <c r="A97" s="4" t="str">
        <f>'Base Oficial'!A97</f>
        <v>916</v>
      </c>
      <c r="B97" s="6" t="str">
        <f>'Base Oficial'!B97</f>
        <v>JORDAN ALEXANDER FLORES HERRERA </v>
      </c>
      <c r="C97" s="6" t="str">
        <f>'Base Oficial'!F97</f>
        <v>DEPARTAMENTO DE CONTABILIDAD</v>
      </c>
      <c r="D97" s="6" t="str">
        <f>'Base Oficial'!G97</f>
        <v>Gerencia de Finanzas y Planificación</v>
      </c>
      <c r="E97" s="6" t="str">
        <f>'Base Oficial'!D97</f>
        <v>AUXILIAR CONTABLE DE DIGITALIZACION</v>
      </c>
      <c r="F97" s="4" t="str">
        <f>IF(COUNTIFS('Base Exámenes'!$C$5:$C$1000, A97, 'Base Exámenes'!$E$5:$E$1000, "&lt;&gt;")&gt;0, "Completado", "Pendiente")</f>
        <v>Completado</v>
      </c>
      <c r="G97" s="27">
        <f>IFERROR(INDEX('Base Exámenes'!$D$5:$D$1000, MATCH(A97&amp;"|"&amp;J97, 'Base Exámenes'!$I$5:$I$1000, 0)), "")</f>
        <v>46309.381875</v>
      </c>
      <c r="H97" s="27">
        <f>IFERROR(INDEX('Base Exámenes'!$E$5:$E$1000, MATCH(A97&amp;"|"&amp;J97, 'Base Exámenes'!$I$5:$I$1000, 0)), "")</f>
        <v>46309.38695601852</v>
      </c>
      <c r="I97" s="26">
        <f>IFERROR(INDEX('Base Exámenes'!$F$5:$F$1000, MATCH(A97&amp;"|"&amp;J97, 'Base Exámenes'!$I$5:$I$1000, 0)), "")</f>
        <v>7.31666666666667</v>
      </c>
      <c r="J97" s="6">
        <f>IF(F97="Completado", _xlfn.MAXIFS('Base Exámenes'!$G$5:$G$1000, 'Base Exámenes'!$C$5:$C$1000, A97), "")</f>
        <v>100</v>
      </c>
      <c r="K97" s="6" t="str">
        <f>IFERROR(INDEX('Base Exámenes'!$H$5:$H$1000, MATCH(A97&amp;"|"&amp;J97, 'Base Exámenes'!$I$5:$I$1000, 0)), "anonymous")</f>
        <v>anonymous</v>
      </c>
      <c r="L97" s="95">
        <f>COUNTIF('Base Exámenes'!$C$5:$C$1000, A97)</f>
        <v>1</v>
      </c>
    </row>
    <row r="98">
      <c r="A98" s="4" t="str">
        <f>'Base Oficial'!A98</f>
        <v>191</v>
      </c>
      <c r="B98" s="6" t="str">
        <f>'Base Oficial'!B98</f>
        <v>ESTER ALEYDA GODOY CAMPOS </v>
      </c>
      <c r="C98" s="6" t="str">
        <f>'Base Oficial'!F98</f>
        <v>DEPARTAMENTO DE PLANIFICACIÓN Y ANALISIS</v>
      </c>
      <c r="D98" s="6" t="str">
        <f>'Base Oficial'!G98</f>
        <v>Gerencia de Finanzas y Planificación</v>
      </c>
      <c r="E98" s="6" t="str">
        <f>'Base Oficial'!D98</f>
        <v>ASISTENTE TECNICO DE PLANIFICACION</v>
      </c>
      <c r="F98" s="4" t="str">
        <f>IF(COUNTIFS('Base Exámenes'!$C$5:$C$1000, A98, 'Base Exámenes'!$E$5:$E$1000, "&lt;&gt;")&gt;0, "Completado", "Pendiente")</f>
        <v>Completado</v>
      </c>
      <c r="G98" s="27">
        <f>IFERROR(INDEX('Base Exámenes'!$D$5:$D$1000, MATCH(A98&amp;"|"&amp;J98, 'Base Exámenes'!$I$5:$I$1000, 0)), "")</f>
        <v>46307.663310185184</v>
      </c>
      <c r="H98" s="27">
        <f>IFERROR(INDEX('Base Exámenes'!$E$5:$E$1000, MATCH(A98&amp;"|"&amp;J98, 'Base Exámenes'!$I$5:$I$1000, 0)), "")</f>
        <v>46307.665983796294</v>
      </c>
      <c r="I98" s="26">
        <f>IFERROR(INDEX('Base Exámenes'!$F$5:$F$1000, MATCH(A98&amp;"|"&amp;J98, 'Base Exámenes'!$I$5:$I$1000, 0)), "")</f>
        <v>3.85</v>
      </c>
      <c r="J98" s="6">
        <f>IF(F98="Completado", _xlfn.MAXIFS('Base Exámenes'!$G$5:$G$1000, 'Base Exámenes'!$C$5:$C$1000, A98), "")</f>
        <v>100</v>
      </c>
      <c r="K98" s="6" t="str">
        <f>IFERROR(INDEX('Base Exámenes'!$H$5:$H$1000, MATCH(A98&amp;"|"&amp;J98, 'Base Exámenes'!$I$5:$I$1000, 0)), "anonymous")</f>
        <v>anonymous</v>
      </c>
      <c r="L98" s="95">
        <f>COUNTIF('Base Exámenes'!$C$5:$C$1000, A98)</f>
        <v>1</v>
      </c>
    </row>
    <row r="99">
      <c r="A99" s="4" t="str">
        <f>'Base Oficial'!A99</f>
        <v>839</v>
      </c>
      <c r="B99" s="6" t="str">
        <f>'Base Oficial'!B99</f>
        <v>RAFAEL ANDRES MARAVILLA GUERRA </v>
      </c>
      <c r="C99" s="6" t="str">
        <f>'Base Oficial'!F99</f>
        <v>DEPARTAMENTO DE PLANIFICACIÓN Y ANALISIS</v>
      </c>
      <c r="D99" s="6" t="str">
        <f>'Base Oficial'!G99</f>
        <v>Gerencia de Finanzas y Planificación</v>
      </c>
      <c r="E99" s="6" t="str">
        <f>'Base Oficial'!D99</f>
        <v>ASISTENTE DE ANALISIS Y NORMATIVAS</v>
      </c>
      <c r="F99" s="4" t="str">
        <f>IF(COUNTIFS('Base Exámenes'!$C$5:$C$1000, A99, 'Base Exámenes'!$E$5:$E$1000, "&lt;&gt;")&gt;0, "Completado", "Pendiente")</f>
        <v>Pendiente</v>
      </c>
      <c r="G99" s="27" t="str">
        <f>IFERROR(INDEX('Base Exámenes'!$D$5:$D$1000, MATCH(A99&amp;"|"&amp;J99, 'Base Exámenes'!$I$5:$I$1000, 0)), "")</f>
        <v/>
      </c>
      <c r="H99" s="27" t="str">
        <f>IFERROR(INDEX('Base Exámenes'!$E$5:$E$1000, MATCH(A99&amp;"|"&amp;J99, 'Base Exámenes'!$I$5:$I$1000, 0)), "")</f>
        <v/>
      </c>
      <c r="I99" s="26" t="str">
        <f>IFERROR(INDEX('Base Exámenes'!$F$5:$F$1000, MATCH(A99&amp;"|"&amp;J99, 'Base Exámenes'!$I$5:$I$1000, 0)), "")</f>
        <v/>
      </c>
      <c r="J99" s="6" t="str">
        <f>IF(F99="Completado", _xlfn.MAXIFS('Base Exámenes'!$G$5:$G$1000, 'Base Exámenes'!$C$5:$C$1000, A99), "")</f>
        <v/>
      </c>
      <c r="K99" s="6" t="str">
        <f>IFERROR(INDEX('Base Exámenes'!$H$5:$H$1000, MATCH(A99&amp;"|"&amp;J99, 'Base Exámenes'!$I$5:$I$1000, 0)), "anonymous")</f>
        <v>anonymous</v>
      </c>
      <c r="L99" s="95">
        <f>COUNTIF('Base Exámenes'!$C$5:$C$1000, A99)</f>
        <v>0</v>
      </c>
    </row>
    <row r="100">
      <c r="A100" s="4" t="str">
        <f>'Base Oficial'!A100</f>
        <v>946</v>
      </c>
      <c r="B100" s="6" t="str">
        <f>'Base Oficial'!B100</f>
        <v>EFRAIN ANTONIO  AYALA LOPEZ  </v>
      </c>
      <c r="C100" s="6" t="str">
        <f>'Base Oficial'!F100</f>
        <v>DEPARTAMENTO DE PLANIFICACIÓN Y ANALISIS</v>
      </c>
      <c r="D100" s="6" t="str">
        <f>'Base Oficial'!G100</f>
        <v>Gerencia de Finanzas y Planificación</v>
      </c>
      <c r="E100" s="6" t="str">
        <f>'Base Oficial'!D100</f>
        <v>JEFE DE PLANIFICACION Y ANALISIS</v>
      </c>
      <c r="F100" s="4" t="str">
        <f>IF(COUNTIFS('Base Exámenes'!$C$5:$C$1000, A100, 'Base Exámenes'!$E$5:$E$1000, "&lt;&gt;")&gt;0, "Completado", "Pendiente")</f>
        <v>Completado</v>
      </c>
      <c r="G100" s="27">
        <f>IFERROR(INDEX('Base Exámenes'!$D$5:$D$1000, MATCH(A100&amp;"|"&amp;J100, 'Base Exámenes'!$I$5:$I$1000, 0)), "")</f>
        <v>46305.5291087963</v>
      </c>
      <c r="H100" s="27">
        <f>IFERROR(INDEX('Base Exámenes'!$E$5:$E$1000, MATCH(A100&amp;"|"&amp;J100, 'Base Exámenes'!$I$5:$I$1000, 0)), "")</f>
        <v>46305.53491898148</v>
      </c>
      <c r="I100" s="26">
        <f>IFERROR(INDEX('Base Exámenes'!$F$5:$F$1000, MATCH(A100&amp;"|"&amp;J100, 'Base Exámenes'!$I$5:$I$1000, 0)), "")</f>
        <v>8.36666666666667</v>
      </c>
      <c r="J100" s="6">
        <f>IF(F100="Completado", _xlfn.MAXIFS('Base Exámenes'!$G$5:$G$1000, 'Base Exámenes'!$C$5:$C$1000, A100), "")</f>
        <v>100</v>
      </c>
      <c r="K100" s="6" t="str">
        <f>IFERROR(INDEX('Base Exámenes'!$H$5:$H$1000, MATCH(A100&amp;"|"&amp;J100, 'Base Exámenes'!$I$5:$I$1000, 0)), "anonymous")</f>
        <v>anonymous</v>
      </c>
      <c r="L100" s="95">
        <f>COUNTIF('Base Exámenes'!$C$5:$C$1000, A100)</f>
        <v>1</v>
      </c>
    </row>
    <row r="101">
      <c r="A101" s="4" t="str">
        <f>'Base Oficial'!A101</f>
        <v>393</v>
      </c>
      <c r="B101" s="6" t="str">
        <f>'Base Oficial'!B101</f>
        <v>FLOR MARISELA TORRES VELASQUEZ </v>
      </c>
      <c r="C101" s="6" t="str">
        <f>'Base Oficial'!F101</f>
        <v>GERENCIA DE SISTEMAS</v>
      </c>
      <c r="D101" s="6" t="str">
        <f>'Base Oficial'!G101</f>
        <v>Gerencia de Sistemas</v>
      </c>
      <c r="E101" s="6" t="str">
        <f>'Base Oficial'!D101</f>
        <v>LIDER DE PROYECTOS TECNOLOGICOS</v>
      </c>
      <c r="F101" s="4" t="str">
        <f>IF(COUNTIFS('Base Exámenes'!$C$5:$C$1000, A101, 'Base Exámenes'!$E$5:$E$1000, "&lt;&gt;")&gt;0, "Completado", "Pendiente")</f>
        <v>Completado</v>
      </c>
      <c r="G101" s="27">
        <f>IFERROR(INDEX('Base Exámenes'!$D$5:$D$1000, MATCH(A101&amp;"|"&amp;J101, 'Base Exámenes'!$I$5:$I$1000, 0)), "")</f>
        <v>46307.48131944444</v>
      </c>
      <c r="H101" s="27">
        <f>IFERROR(INDEX('Base Exámenes'!$E$5:$E$1000, MATCH(A101&amp;"|"&amp;J101, 'Base Exámenes'!$I$5:$I$1000, 0)), "")</f>
        <v>46307.48341435185</v>
      </c>
      <c r="I101" s="26">
        <f>IFERROR(INDEX('Base Exámenes'!$F$5:$F$1000, MATCH(A101&amp;"|"&amp;J101, 'Base Exámenes'!$I$5:$I$1000, 0)), "")</f>
        <v>3.01666666666667</v>
      </c>
      <c r="J101" s="6">
        <f>IF(F101="Completado", _xlfn.MAXIFS('Base Exámenes'!$G$5:$G$1000, 'Base Exámenes'!$C$5:$C$1000, A101), "")</f>
        <v>100</v>
      </c>
      <c r="K101" s="6" t="str">
        <f>IFERROR(INDEX('Base Exámenes'!$H$5:$H$1000, MATCH(A101&amp;"|"&amp;J101, 'Base Exámenes'!$I$5:$I$1000, 0)), "anonymous")</f>
        <v>anonymous</v>
      </c>
      <c r="L101" s="95">
        <f>COUNTIF('Base Exámenes'!$C$5:$C$1000, A101)</f>
        <v>1</v>
      </c>
    </row>
    <row r="102">
      <c r="A102" s="4" t="str">
        <f>'Base Oficial'!A102</f>
        <v>804</v>
      </c>
      <c r="B102" s="6" t="str">
        <f>'Base Oficial'!B102</f>
        <v>FERMIN ABIEL VIERA LINARES </v>
      </c>
      <c r="C102" s="6" t="str">
        <f>'Base Oficial'!F102</f>
        <v>GERENCIA DE SISTEMAS</v>
      </c>
      <c r="D102" s="6" t="str">
        <f>'Base Oficial'!G102</f>
        <v>Gerencia de Sistemas</v>
      </c>
      <c r="E102" s="6" t="str">
        <f>'Base Oficial'!D102</f>
        <v>ANALISTA DE CAMBIOS Y SEGURIDAD</v>
      </c>
      <c r="F102" s="4" t="str">
        <f>IF(COUNTIFS('Base Exámenes'!$C$5:$C$1000, A102, 'Base Exámenes'!$E$5:$E$1000, "&lt;&gt;")&gt;0, "Completado", "Pendiente")</f>
        <v>Completado</v>
      </c>
      <c r="G102" s="27">
        <f>IFERROR(INDEX('Base Exámenes'!$D$5:$D$1000, MATCH(A102&amp;"|"&amp;J102, 'Base Exámenes'!$I$5:$I$1000, 0)), "")</f>
        <v>46304.4034837963</v>
      </c>
      <c r="H102" s="27">
        <f>IFERROR(INDEX('Base Exámenes'!$E$5:$E$1000, MATCH(A102&amp;"|"&amp;J102, 'Base Exámenes'!$I$5:$I$1000, 0)), "")</f>
        <v>46304.407905092594</v>
      </c>
      <c r="I102" s="26">
        <f>IFERROR(INDEX('Base Exámenes'!$F$5:$F$1000, MATCH(A102&amp;"|"&amp;J102, 'Base Exámenes'!$I$5:$I$1000, 0)), "")</f>
        <v>6.36666666666667</v>
      </c>
      <c r="J102" s="6">
        <f>IF(F102="Completado", _xlfn.MAXIFS('Base Exámenes'!$G$5:$G$1000, 'Base Exámenes'!$C$5:$C$1000, A102), "")</f>
        <v>100</v>
      </c>
      <c r="K102" s="6" t="str">
        <f>IFERROR(INDEX('Base Exámenes'!$H$5:$H$1000, MATCH(A102&amp;"|"&amp;J102, 'Base Exámenes'!$I$5:$I$1000, 0)), "anonymous")</f>
        <v>anonymous</v>
      </c>
      <c r="L102" s="95">
        <f>COUNTIF('Base Exámenes'!$C$5:$C$1000, A102)</f>
        <v>1</v>
      </c>
    </row>
    <row r="103">
      <c r="A103" s="4" t="str">
        <f>'Base Oficial'!A103</f>
        <v>883</v>
      </c>
      <c r="B103" s="6" t="str">
        <f>'Base Oficial'!B103</f>
        <v>ISMAEL HUMBERTO  GUERRERO FLORES </v>
      </c>
      <c r="C103" s="6" t="str">
        <f>'Base Oficial'!F103</f>
        <v>GERENCIA DE SISTEMAS</v>
      </c>
      <c r="D103" s="6" t="str">
        <f>'Base Oficial'!G103</f>
        <v>Gerencia de Sistemas</v>
      </c>
      <c r="E103" s="6" t="str">
        <f>'Base Oficial'!D103</f>
        <v>ADMINISTRADOR DE SEGURIDAD INFORMATICA</v>
      </c>
      <c r="F103" s="4" t="str">
        <f>IF(COUNTIFS('Base Exámenes'!$C$5:$C$1000, A103, 'Base Exámenes'!$E$5:$E$1000, "&lt;&gt;")&gt;0, "Completado", "Pendiente")</f>
        <v>Completado</v>
      </c>
      <c r="G103" s="27">
        <f>IFERROR(INDEX('Base Exámenes'!$D$5:$D$1000, MATCH(A103&amp;"|"&amp;J103, 'Base Exámenes'!$I$5:$I$1000, 0)), "")</f>
        <v>46300.582349537035</v>
      </c>
      <c r="H103" s="27">
        <f>IFERROR(INDEX('Base Exámenes'!$E$5:$E$1000, MATCH(A103&amp;"|"&amp;J103, 'Base Exámenes'!$I$5:$I$1000, 0)), "")</f>
        <v>46300.58474537037</v>
      </c>
      <c r="I103" s="26">
        <f>IFERROR(INDEX('Base Exámenes'!$F$5:$F$1000, MATCH(A103&amp;"|"&amp;J103, 'Base Exámenes'!$I$5:$I$1000, 0)), "")</f>
        <v>3.45</v>
      </c>
      <c r="J103" s="6">
        <f>IF(F103="Completado", _xlfn.MAXIFS('Base Exámenes'!$G$5:$G$1000, 'Base Exámenes'!$C$5:$C$1000, A103), "")</f>
        <v>95</v>
      </c>
      <c r="K103" s="6" t="str">
        <f>IFERROR(INDEX('Base Exámenes'!$H$5:$H$1000, MATCH(A103&amp;"|"&amp;J103, 'Base Exámenes'!$I$5:$I$1000, 0)), "anonymous")</f>
        <v>anonymous</v>
      </c>
      <c r="L103" s="95">
        <f>COUNTIF('Base Exámenes'!$C$5:$C$1000, A103)</f>
        <v>1</v>
      </c>
    </row>
    <row r="104">
      <c r="A104" s="4" t="str">
        <f>'Base Oficial'!A104</f>
        <v>90</v>
      </c>
      <c r="B104" s="6" t="str">
        <f>'Base Oficial'!B104</f>
        <v>HUGO MARVIN SERRANO SARAVIA </v>
      </c>
      <c r="C104" s="6" t="str">
        <f>'Base Oficial'!F104</f>
        <v>DEPARTAMENTO DE OPERACIONES Y SOPORTE TECNICO</v>
      </c>
      <c r="D104" s="6" t="str">
        <f>'Base Oficial'!G104</f>
        <v>Gerencia de Sistemas</v>
      </c>
      <c r="E104" s="6" t="str">
        <f>'Base Oficial'!D104</f>
        <v>OPERADOR DE SISTEMAS</v>
      </c>
      <c r="F104" s="4" t="str">
        <f>IF(COUNTIFS('Base Exámenes'!$C$5:$C$1000, A104, 'Base Exámenes'!$E$5:$E$1000, "&lt;&gt;")&gt;0, "Completado", "Pendiente")</f>
        <v>Pendiente</v>
      </c>
      <c r="G104" s="27" t="str">
        <f>IFERROR(INDEX('Base Exámenes'!$D$5:$D$1000, MATCH(A104&amp;"|"&amp;J104, 'Base Exámenes'!$I$5:$I$1000, 0)), "")</f>
        <v/>
      </c>
      <c r="H104" s="27" t="str">
        <f>IFERROR(INDEX('Base Exámenes'!$E$5:$E$1000, MATCH(A104&amp;"|"&amp;J104, 'Base Exámenes'!$I$5:$I$1000, 0)), "")</f>
        <v/>
      </c>
      <c r="I104" s="26" t="str">
        <f>IFERROR(INDEX('Base Exámenes'!$F$5:$F$1000, MATCH(A104&amp;"|"&amp;J104, 'Base Exámenes'!$I$5:$I$1000, 0)), "")</f>
        <v/>
      </c>
      <c r="J104" s="6" t="str">
        <f>IF(F104="Completado", _xlfn.MAXIFS('Base Exámenes'!$G$5:$G$1000, 'Base Exámenes'!$C$5:$C$1000, A104), "")</f>
        <v/>
      </c>
      <c r="K104" s="6" t="str">
        <f>IFERROR(INDEX('Base Exámenes'!$H$5:$H$1000, MATCH(A104&amp;"|"&amp;J104, 'Base Exámenes'!$I$5:$I$1000, 0)), "anonymous")</f>
        <v>anonymous</v>
      </c>
      <c r="L104" s="95">
        <f>COUNTIF('Base Exámenes'!$C$5:$C$1000, A104)</f>
        <v>0</v>
      </c>
    </row>
    <row r="105">
      <c r="A105" s="4" t="str">
        <f>'Base Oficial'!A105</f>
        <v>119</v>
      </c>
      <c r="B105" s="6" t="str">
        <f>'Base Oficial'!B105</f>
        <v>JUAN JOSE LOPEZ ALFARO </v>
      </c>
      <c r="C105" s="6" t="str">
        <f>'Base Oficial'!F105</f>
        <v>DEPARTAMENTO DE OPERACIONES Y SOPORTE TECNICO</v>
      </c>
      <c r="D105" s="6" t="str">
        <f>'Base Oficial'!G105</f>
        <v>Gerencia de Sistemas</v>
      </c>
      <c r="E105" s="6" t="str">
        <f>'Base Oficial'!D105</f>
        <v>OPERADOR DE SISTEMAS</v>
      </c>
      <c r="F105" s="4" t="str">
        <f>IF(COUNTIFS('Base Exámenes'!$C$5:$C$1000, A105, 'Base Exámenes'!$E$5:$E$1000, "&lt;&gt;")&gt;0, "Completado", "Pendiente")</f>
        <v>Completado</v>
      </c>
      <c r="G105" s="27">
        <f>IFERROR(INDEX('Base Exámenes'!$D$5:$D$1000, MATCH(A105&amp;"|"&amp;J105, 'Base Exámenes'!$I$5:$I$1000, 0)), "")</f>
        <v>46302.42083333333</v>
      </c>
      <c r="H105" s="27">
        <f>IFERROR(INDEX('Base Exámenes'!$E$5:$E$1000, MATCH(A105&amp;"|"&amp;J105, 'Base Exámenes'!$I$5:$I$1000, 0)), "")</f>
        <v>46302.441828703704</v>
      </c>
      <c r="I105" s="26">
        <f>IFERROR(INDEX('Base Exámenes'!$F$5:$F$1000, MATCH(A105&amp;"|"&amp;J105, 'Base Exámenes'!$I$5:$I$1000, 0)), "")</f>
        <v>30.2333333333333</v>
      </c>
      <c r="J105" s="6">
        <f>IF(F105="Completado", _xlfn.MAXIFS('Base Exámenes'!$G$5:$G$1000, 'Base Exámenes'!$C$5:$C$1000, A105), "")</f>
        <v>100</v>
      </c>
      <c r="K105" s="6" t="str">
        <f>IFERROR(INDEX('Base Exámenes'!$H$5:$H$1000, MATCH(A105&amp;"|"&amp;J105, 'Base Exámenes'!$I$5:$I$1000, 0)), "anonymous")</f>
        <v>anonymous</v>
      </c>
      <c r="L105" s="95">
        <f>COUNTIF('Base Exámenes'!$C$5:$C$1000, A105)</f>
        <v>1</v>
      </c>
    </row>
    <row r="106">
      <c r="A106" s="4" t="str">
        <f>'Base Oficial'!A106</f>
        <v>221</v>
      </c>
      <c r="B106" s="6" t="str">
        <f>'Base Oficial'!B106</f>
        <v>CARLOS ORLANDO GARCIA VELASQUEZ </v>
      </c>
      <c r="C106" s="6" t="str">
        <f>'Base Oficial'!F106</f>
        <v>DEPARTAMENTO DE OPERACIONES Y SOPORTE TECNICO</v>
      </c>
      <c r="D106" s="6" t="str">
        <f>'Base Oficial'!G106</f>
        <v>Gerencia de Sistemas</v>
      </c>
      <c r="E106" s="6" t="str">
        <f>'Base Oficial'!D106</f>
        <v>TECNICO EN SOPORTE</v>
      </c>
      <c r="F106" s="4" t="str">
        <f>IF(COUNTIFS('Base Exámenes'!$C$5:$C$1000, A106, 'Base Exámenes'!$E$5:$E$1000, "&lt;&gt;")&gt;0, "Completado", "Pendiente")</f>
        <v>Completado</v>
      </c>
      <c r="G106" s="27">
        <f>IFERROR(INDEX('Base Exámenes'!$D$5:$D$1000, MATCH(A106&amp;"|"&amp;J106, 'Base Exámenes'!$I$5:$I$1000, 0)), "")</f>
        <v>46300.58730324074</v>
      </c>
      <c r="H106" s="27">
        <f>IFERROR(INDEX('Base Exámenes'!$E$5:$E$1000, MATCH(A106&amp;"|"&amp;J106, 'Base Exámenes'!$I$5:$I$1000, 0)), "")</f>
        <v>46300.58950231481</v>
      </c>
      <c r="I106" s="26">
        <f>IFERROR(INDEX('Base Exámenes'!$F$5:$F$1000, MATCH(A106&amp;"|"&amp;J106, 'Base Exámenes'!$I$5:$I$1000, 0)), "")</f>
        <v>3.16666666666667</v>
      </c>
      <c r="J106" s="6">
        <f>IF(F106="Completado", _xlfn.MAXIFS('Base Exámenes'!$G$5:$G$1000, 'Base Exámenes'!$C$5:$C$1000, A106), "")</f>
        <v>100</v>
      </c>
      <c r="K106" s="6" t="str">
        <f>IFERROR(INDEX('Base Exámenes'!$H$5:$H$1000, MATCH(A106&amp;"|"&amp;J106, 'Base Exámenes'!$I$5:$I$1000, 0)), "anonymous")</f>
        <v>anonymous</v>
      </c>
      <c r="L106" s="95">
        <f>COUNTIF('Base Exámenes'!$C$5:$C$1000, A106)</f>
        <v>1</v>
      </c>
    </row>
    <row r="107">
      <c r="A107" s="4" t="str">
        <f>'Base Oficial'!A107</f>
        <v>259</v>
      </c>
      <c r="B107" s="6" t="str">
        <f>'Base Oficial'!B107</f>
        <v>EDGAR MARGARITO POZO SHUPAN </v>
      </c>
      <c r="C107" s="6" t="str">
        <f>'Base Oficial'!F107</f>
        <v>DEPARTAMENTO DE OPERACIONES Y SOPORTE TECNICO</v>
      </c>
      <c r="D107" s="6" t="str">
        <f>'Base Oficial'!G107</f>
        <v>Gerencia de Sistemas</v>
      </c>
      <c r="E107" s="6" t="str">
        <f>'Base Oficial'!D107</f>
        <v>TECNICO EN SOPORTE</v>
      </c>
      <c r="F107" s="4" t="str">
        <f>IF(COUNTIFS('Base Exámenes'!$C$5:$C$1000, A107, 'Base Exámenes'!$E$5:$E$1000, "&lt;&gt;")&gt;0, "Completado", "Pendiente")</f>
        <v>Completado</v>
      </c>
      <c r="G107" s="27">
        <f>IFERROR(INDEX('Base Exámenes'!$D$5:$D$1000, MATCH(A107&amp;"|"&amp;J107, 'Base Exámenes'!$I$5:$I$1000, 0)), "")</f>
        <v>46300.63085648148</v>
      </c>
      <c r="H107" s="27">
        <f>IFERROR(INDEX('Base Exámenes'!$E$5:$E$1000, MATCH(A107&amp;"|"&amp;J107, 'Base Exámenes'!$I$5:$I$1000, 0)), "")</f>
        <v>46300.63810185185</v>
      </c>
      <c r="I107" s="26">
        <f>IFERROR(INDEX('Base Exámenes'!$F$5:$F$1000, MATCH(A107&amp;"|"&amp;J107, 'Base Exámenes'!$I$5:$I$1000, 0)), "")</f>
        <v>10.4333333333333</v>
      </c>
      <c r="J107" s="6">
        <f>IF(F107="Completado", _xlfn.MAXIFS('Base Exámenes'!$G$5:$G$1000, 'Base Exámenes'!$C$5:$C$1000, A107), "")</f>
        <v>100</v>
      </c>
      <c r="K107" s="6" t="str">
        <f>IFERROR(INDEX('Base Exámenes'!$H$5:$H$1000, MATCH(A107&amp;"|"&amp;J107, 'Base Exámenes'!$I$5:$I$1000, 0)), "anonymous")</f>
        <v>anonymous</v>
      </c>
      <c r="L107" s="95">
        <f>COUNTIF('Base Exámenes'!$C$5:$C$1000, A107)</f>
        <v>1</v>
      </c>
    </row>
    <row r="108">
      <c r="A108" s="4" t="str">
        <f>'Base Oficial'!A108</f>
        <v>281</v>
      </c>
      <c r="B108" s="6" t="str">
        <f>'Base Oficial'!B108</f>
        <v>CARLOS ALFONSO MOLINA CARDONA </v>
      </c>
      <c r="C108" s="6" t="str">
        <f>'Base Oficial'!F108</f>
        <v>DEPARTAMENTO DE OPERACIONES Y SOPORTE TECNICO</v>
      </c>
      <c r="D108" s="6" t="str">
        <f>'Base Oficial'!G108</f>
        <v>Gerencia de Sistemas</v>
      </c>
      <c r="E108" s="6" t="str">
        <f>'Base Oficial'!D108</f>
        <v>OPERADOR DE SISTEMAS</v>
      </c>
      <c r="F108" s="4" t="str">
        <f>IF(COUNTIFS('Base Exámenes'!$C$5:$C$1000, A108, 'Base Exámenes'!$E$5:$E$1000, "&lt;&gt;")&gt;0, "Completado", "Pendiente")</f>
        <v>Completado</v>
      </c>
      <c r="G108" s="27">
        <f>IFERROR(INDEX('Base Exámenes'!$D$5:$D$1000, MATCH(A108&amp;"|"&amp;J108, 'Base Exámenes'!$I$5:$I$1000, 0)), "")</f>
        <v>46300.46083333333</v>
      </c>
      <c r="H108" s="27">
        <f>IFERROR(INDEX('Base Exámenes'!$E$5:$E$1000, MATCH(A108&amp;"|"&amp;J108, 'Base Exámenes'!$I$5:$I$1000, 0)), "")</f>
        <v>46300.48065972222</v>
      </c>
      <c r="I108" s="26">
        <f>IFERROR(INDEX('Base Exámenes'!$F$5:$F$1000, MATCH(A108&amp;"|"&amp;J108, 'Base Exámenes'!$I$5:$I$1000, 0)), "")</f>
        <v>28.55</v>
      </c>
      <c r="J108" s="6">
        <f>IF(F108="Completado", _xlfn.MAXIFS('Base Exámenes'!$G$5:$G$1000, 'Base Exámenes'!$C$5:$C$1000, A108), "")</f>
        <v>100</v>
      </c>
      <c r="K108" s="6" t="str">
        <f>IFERROR(INDEX('Base Exámenes'!$H$5:$H$1000, MATCH(A108&amp;"|"&amp;J108, 'Base Exámenes'!$I$5:$I$1000, 0)), "anonymous")</f>
        <v>anonymous</v>
      </c>
      <c r="L108" s="95">
        <f>COUNTIF('Base Exámenes'!$C$5:$C$1000, A108)</f>
        <v>1</v>
      </c>
    </row>
    <row r="109">
      <c r="A109" s="4" t="str">
        <f>'Base Oficial'!A109</f>
        <v>490</v>
      </c>
      <c r="B109" s="6" t="str">
        <f>'Base Oficial'!B109</f>
        <v>JULIO ADOLFO MOLINA ARRIOLA </v>
      </c>
      <c r="C109" s="6" t="str">
        <f>'Base Oficial'!F109</f>
        <v>DEPARTAMENTO DE OPERACIONES Y SOPORTE TECNICO</v>
      </c>
      <c r="D109" s="6" t="str">
        <f>'Base Oficial'!G109</f>
        <v>Gerencia de Sistemas</v>
      </c>
      <c r="E109" s="6" t="str">
        <f>'Base Oficial'!D109</f>
        <v>OPERADOR DE SISTEMAS</v>
      </c>
      <c r="F109" s="4" t="str">
        <f>IF(COUNTIFS('Base Exámenes'!$C$5:$C$1000, A109, 'Base Exámenes'!$E$5:$E$1000, "&lt;&gt;")&gt;0, "Completado", "Pendiente")</f>
        <v>Completado</v>
      </c>
      <c r="G109" s="27">
        <f>IFERROR(INDEX('Base Exámenes'!$D$5:$D$1000, MATCH(A109&amp;"|"&amp;J109, 'Base Exámenes'!$I$5:$I$1000, 0)), "")</f>
        <v>46301.424733796295</v>
      </c>
      <c r="H109" s="27">
        <f>IFERROR(INDEX('Base Exámenes'!$E$5:$E$1000, MATCH(A109&amp;"|"&amp;J109, 'Base Exámenes'!$I$5:$I$1000, 0)), "")</f>
        <v>46301.436527777776</v>
      </c>
      <c r="I109" s="26">
        <f>IFERROR(INDEX('Base Exámenes'!$F$5:$F$1000, MATCH(A109&amp;"|"&amp;J109, 'Base Exámenes'!$I$5:$I$1000, 0)), "")</f>
        <v>16.9833333333333</v>
      </c>
      <c r="J109" s="6">
        <f>IF(F109="Completado", _xlfn.MAXIFS('Base Exámenes'!$G$5:$G$1000, 'Base Exámenes'!$C$5:$C$1000, A109), "")</f>
        <v>100</v>
      </c>
      <c r="K109" s="6" t="str">
        <f>IFERROR(INDEX('Base Exámenes'!$H$5:$H$1000, MATCH(A109&amp;"|"&amp;J109, 'Base Exámenes'!$I$5:$I$1000, 0)), "anonymous")</f>
        <v>anonymous</v>
      </c>
      <c r="L109" s="95">
        <f>COUNTIF('Base Exámenes'!$C$5:$C$1000, A109)</f>
        <v>1</v>
      </c>
    </row>
    <row r="110">
      <c r="A110" s="4" t="str">
        <f>'Base Oficial'!A110</f>
        <v>880</v>
      </c>
      <c r="B110" s="6" t="str">
        <f>'Base Oficial'!B110</f>
        <v>JORGE ALBERTO BARRERA </v>
      </c>
      <c r="C110" s="6" t="str">
        <f>'Base Oficial'!F110</f>
        <v>DEPARTAMENTO DE OPERACIONES Y SOPORTE TECNICO</v>
      </c>
      <c r="D110" s="6" t="str">
        <f>'Base Oficial'!G110</f>
        <v>Gerencia de Sistemas</v>
      </c>
      <c r="E110" s="6" t="str">
        <f>'Base Oficial'!D110</f>
        <v>JEFE DE OPERACIONES Y SOPORTE TECNICO</v>
      </c>
      <c r="F110" s="4" t="str">
        <f>IF(COUNTIFS('Base Exámenes'!$C$5:$C$1000, A110, 'Base Exámenes'!$E$5:$E$1000, "&lt;&gt;")&gt;0, "Completado", "Pendiente")</f>
        <v>Completado</v>
      </c>
      <c r="G110" s="27">
        <f>IFERROR(INDEX('Base Exámenes'!$D$5:$D$1000, MATCH(A110&amp;"|"&amp;J110, 'Base Exámenes'!$I$5:$I$1000, 0)), "")</f>
        <v>46300.57717592592</v>
      </c>
      <c r="H110" s="27">
        <f>IFERROR(INDEX('Base Exámenes'!$E$5:$E$1000, MATCH(A110&amp;"|"&amp;J110, 'Base Exámenes'!$I$5:$I$1000, 0)), "")</f>
        <v>46300.5841087963</v>
      </c>
      <c r="I110" s="26">
        <f>IFERROR(INDEX('Base Exámenes'!$F$5:$F$1000, MATCH(A110&amp;"|"&amp;J110, 'Base Exámenes'!$I$5:$I$1000, 0)), "")</f>
        <v>9.98333333333333</v>
      </c>
      <c r="J110" s="6">
        <f>IF(F110="Completado", _xlfn.MAXIFS('Base Exámenes'!$G$5:$G$1000, 'Base Exámenes'!$C$5:$C$1000, A110), "")</f>
        <v>100</v>
      </c>
      <c r="K110" s="6" t="str">
        <f>IFERROR(INDEX('Base Exámenes'!$H$5:$H$1000, MATCH(A110&amp;"|"&amp;J110, 'Base Exámenes'!$I$5:$I$1000, 0)), "anonymous")</f>
        <v>anonymous</v>
      </c>
      <c r="L110" s="95">
        <f>COUNTIF('Base Exámenes'!$C$5:$C$1000, A110)</f>
        <v>1</v>
      </c>
    </row>
    <row r="111">
      <c r="A111" s="4" t="str">
        <f>'Base Oficial'!A111</f>
        <v>239</v>
      </c>
      <c r="B111" s="6" t="str">
        <f>'Base Oficial'!B111</f>
        <v>CELINA MARGARITA GUTIERREZ  RODRIGUEZ</v>
      </c>
      <c r="C111" s="6" t="str">
        <f>'Base Oficial'!F111</f>
        <v>DEPARTAMENTO DE ANALISIS Y PROGRAMACIÓN</v>
      </c>
      <c r="D111" s="6" t="str">
        <f>'Base Oficial'!G111</f>
        <v>Gerencia de Sistemas</v>
      </c>
      <c r="E111" s="6" t="str">
        <f>'Base Oficial'!D111</f>
        <v>ANALISTA PROGRAMADOR SENIOR</v>
      </c>
      <c r="F111" s="4" t="str">
        <f>IF(COUNTIFS('Base Exámenes'!$C$5:$C$1000, A111, 'Base Exámenes'!$E$5:$E$1000, "&lt;&gt;")&gt;0, "Completado", "Pendiente")</f>
        <v>Completado</v>
      </c>
      <c r="G111" s="27">
        <f>IFERROR(INDEX('Base Exámenes'!$D$5:$D$1000, MATCH(A111&amp;"|"&amp;J111, 'Base Exámenes'!$I$5:$I$1000, 0)), "")</f>
        <v>46296.641388888886</v>
      </c>
      <c r="H111" s="27">
        <f>IFERROR(INDEX('Base Exámenes'!$E$5:$E$1000, MATCH(A111&amp;"|"&amp;J111, 'Base Exámenes'!$I$5:$I$1000, 0)), "")</f>
        <v>46296.65938657407</v>
      </c>
      <c r="I111" s="26">
        <f>IFERROR(INDEX('Base Exámenes'!$F$5:$F$1000, MATCH(A111&amp;"|"&amp;J111, 'Base Exámenes'!$I$5:$I$1000, 0)), "")</f>
        <v>25.9166666666667</v>
      </c>
      <c r="J111" s="6">
        <f>IF(F111="Completado", _xlfn.MAXIFS('Base Exámenes'!$G$5:$G$1000, 'Base Exámenes'!$C$5:$C$1000, A111), "")</f>
        <v>100</v>
      </c>
      <c r="K111" s="6" t="str">
        <f>IFERROR(INDEX('Base Exámenes'!$H$5:$H$1000, MATCH(A111&amp;"|"&amp;J111, 'Base Exámenes'!$I$5:$I$1000, 0)), "anonymous")</f>
        <v>anonymous</v>
      </c>
      <c r="L111" s="95">
        <f>COUNTIF('Base Exámenes'!$C$5:$C$1000, A111)</f>
        <v>1</v>
      </c>
    </row>
    <row r="112">
      <c r="A112" s="4" t="str">
        <f>'Base Oficial'!A112</f>
        <v>320</v>
      </c>
      <c r="B112" s="6" t="str">
        <f>'Base Oficial'!B112</f>
        <v>HILDA MARGARITA ABREGO BRAN </v>
      </c>
      <c r="C112" s="6" t="str">
        <f>'Base Oficial'!F112</f>
        <v>DEPARTAMENTO DE ANALISIS Y PROGRAMACIÓN</v>
      </c>
      <c r="D112" s="6" t="str">
        <f>'Base Oficial'!G112</f>
        <v>Gerencia de Sistemas</v>
      </c>
      <c r="E112" s="6" t="str">
        <f>'Base Oficial'!D112</f>
        <v>ANALISTA QA</v>
      </c>
      <c r="F112" s="4" t="str">
        <f>IF(COUNTIFS('Base Exámenes'!$C$5:$C$1000, A112, 'Base Exámenes'!$E$5:$E$1000, "&lt;&gt;")&gt;0, "Completado", "Pendiente")</f>
        <v>Completado</v>
      </c>
      <c r="G112" s="27">
        <f>IFERROR(INDEX('Base Exámenes'!$D$5:$D$1000, MATCH(A112&amp;"|"&amp;J112, 'Base Exámenes'!$I$5:$I$1000, 0)), "")</f>
        <v>46296.56962962963</v>
      </c>
      <c r="H112" s="27">
        <f>IFERROR(INDEX('Base Exámenes'!$E$5:$E$1000, MATCH(A112&amp;"|"&amp;J112, 'Base Exámenes'!$I$5:$I$1000, 0)), "")</f>
        <v>46296.59023148148</v>
      </c>
      <c r="I112" s="26">
        <f>IFERROR(INDEX('Base Exámenes'!$F$5:$F$1000, MATCH(A112&amp;"|"&amp;J112, 'Base Exámenes'!$I$5:$I$1000, 0)), "")</f>
        <v>29.6666666666667</v>
      </c>
      <c r="J112" s="6">
        <f>IF(F112="Completado", _xlfn.MAXIFS('Base Exámenes'!$G$5:$G$1000, 'Base Exámenes'!$C$5:$C$1000, A112), "")</f>
        <v>100</v>
      </c>
      <c r="K112" s="6" t="str">
        <f>IFERROR(INDEX('Base Exámenes'!$H$5:$H$1000, MATCH(A112&amp;"|"&amp;J112, 'Base Exámenes'!$I$5:$I$1000, 0)), "anonymous")</f>
        <v>anonymous</v>
      </c>
      <c r="L112" s="95">
        <f>COUNTIF('Base Exámenes'!$C$5:$C$1000, A112)</f>
        <v>1</v>
      </c>
    </row>
    <row r="113">
      <c r="A113" s="4" t="str">
        <f>'Base Oficial'!A113</f>
        <v>410</v>
      </c>
      <c r="B113" s="6" t="str">
        <f>'Base Oficial'!B113</f>
        <v>CLAUDIA MARGARITA CAMPOS GONZÁLEZ </v>
      </c>
      <c r="C113" s="6" t="str">
        <f>'Base Oficial'!F113</f>
        <v>DEPARTAMENTO DE ANALISIS Y PROGRAMACIÓN</v>
      </c>
      <c r="D113" s="6" t="str">
        <f>'Base Oficial'!G113</f>
        <v>Gerencia de Sistemas</v>
      </c>
      <c r="E113" s="6" t="str">
        <f>'Base Oficial'!D113</f>
        <v>JEFE DE ANALISIS Y PROGRAMACION</v>
      </c>
      <c r="F113" s="4" t="str">
        <f>IF(COUNTIFS('Base Exámenes'!$C$5:$C$1000, A113, 'Base Exámenes'!$E$5:$E$1000, "&lt;&gt;")&gt;0, "Completado", "Pendiente")</f>
        <v>Completado</v>
      </c>
      <c r="G113" s="27">
        <f>IFERROR(INDEX('Base Exámenes'!$D$5:$D$1000, MATCH(A113&amp;"|"&amp;J113, 'Base Exámenes'!$I$5:$I$1000, 0)), "")</f>
        <v>46307.69018518519</v>
      </c>
      <c r="H113" s="27">
        <f>IFERROR(INDEX('Base Exámenes'!$E$5:$E$1000, MATCH(A113&amp;"|"&amp;J113, 'Base Exámenes'!$I$5:$I$1000, 0)), "")</f>
        <v>46307.69321759259</v>
      </c>
      <c r="I113" s="26">
        <f>IFERROR(INDEX('Base Exámenes'!$F$5:$F$1000, MATCH(A113&amp;"|"&amp;J113, 'Base Exámenes'!$I$5:$I$1000, 0)), "")</f>
        <v>4.36666666666667</v>
      </c>
      <c r="J113" s="6">
        <f>IF(F113="Completado", _xlfn.MAXIFS('Base Exámenes'!$G$5:$G$1000, 'Base Exámenes'!$C$5:$C$1000, A113), "")</f>
        <v>100</v>
      </c>
      <c r="K113" s="6" t="str">
        <f>IFERROR(INDEX('Base Exámenes'!$H$5:$H$1000, MATCH(A113&amp;"|"&amp;J113, 'Base Exámenes'!$I$5:$I$1000, 0)), "anonymous")</f>
        <v>anonymous</v>
      </c>
      <c r="L113" s="95">
        <f>COUNTIF('Base Exámenes'!$C$5:$C$1000, A113)</f>
        <v>1</v>
      </c>
    </row>
    <row r="114">
      <c r="A114" s="4" t="str">
        <f>'Base Oficial'!A114</f>
        <v>474</v>
      </c>
      <c r="B114" s="6" t="str">
        <f>'Base Oficial'!B114</f>
        <v>GLADIS EVELIN CASTILLO TORRES </v>
      </c>
      <c r="C114" s="6" t="str">
        <f>'Base Oficial'!F114</f>
        <v>DEPARTAMENTO DE ANALISIS Y PROGRAMACIÓN</v>
      </c>
      <c r="D114" s="6" t="str">
        <f>'Base Oficial'!G114</f>
        <v>Gerencia de Sistemas</v>
      </c>
      <c r="E114" s="6" t="str">
        <f>'Base Oficial'!D114</f>
        <v>ANALISTA PROGRAMADOR SENIOR</v>
      </c>
      <c r="F114" s="4" t="str">
        <f>IF(COUNTIFS('Base Exámenes'!$C$5:$C$1000, A114, 'Base Exámenes'!$E$5:$E$1000, "&lt;&gt;")&gt;0, "Completado", "Pendiente")</f>
        <v>Completado</v>
      </c>
      <c r="G114" s="27">
        <f>IFERROR(INDEX('Base Exámenes'!$D$5:$D$1000, MATCH(A114&amp;"|"&amp;J114, 'Base Exámenes'!$I$5:$I$1000, 0)), "")</f>
        <v>46297.48075231481</v>
      </c>
      <c r="H114" s="27">
        <f>IFERROR(INDEX('Base Exámenes'!$E$5:$E$1000, MATCH(A114&amp;"|"&amp;J114, 'Base Exámenes'!$I$5:$I$1000, 0)), "")</f>
        <v>46297.48825231481</v>
      </c>
      <c r="I114" s="26">
        <f>IFERROR(INDEX('Base Exámenes'!$F$5:$F$1000, MATCH(A114&amp;"|"&amp;J114, 'Base Exámenes'!$I$5:$I$1000, 0)), "")</f>
        <v>10.8</v>
      </c>
      <c r="J114" s="6">
        <f>IF(F114="Completado", _xlfn.MAXIFS('Base Exámenes'!$G$5:$G$1000, 'Base Exámenes'!$C$5:$C$1000, A114), "")</f>
        <v>100</v>
      </c>
      <c r="K114" s="6" t="str">
        <f>IFERROR(INDEX('Base Exámenes'!$H$5:$H$1000, MATCH(A114&amp;"|"&amp;J114, 'Base Exámenes'!$I$5:$I$1000, 0)), "anonymous")</f>
        <v>anonymous</v>
      </c>
      <c r="L114" s="95">
        <f>COUNTIF('Base Exámenes'!$C$5:$C$1000, A114)</f>
        <v>1</v>
      </c>
    </row>
    <row r="115">
      <c r="A115" s="4" t="str">
        <f>'Base Oficial'!A115</f>
        <v>680</v>
      </c>
      <c r="B115" s="6" t="str">
        <f>'Base Oficial'!B115</f>
        <v>CARLOS FRANCISCO HERNANDEZ MUÑOZ </v>
      </c>
      <c r="C115" s="6" t="str">
        <f>'Base Oficial'!F115</f>
        <v>DEPARTAMENTO DE ANALISIS Y PROGRAMACIÓN</v>
      </c>
      <c r="D115" s="6" t="str">
        <f>'Base Oficial'!G115</f>
        <v>Gerencia de Sistemas</v>
      </c>
      <c r="E115" s="6" t="str">
        <f>'Base Oficial'!D115</f>
        <v>ANALISTA QA</v>
      </c>
      <c r="F115" s="4" t="str">
        <f>IF(COUNTIFS('Base Exámenes'!$C$5:$C$1000, A115, 'Base Exámenes'!$E$5:$E$1000, "&lt;&gt;")&gt;0, "Completado", "Pendiente")</f>
        <v>Completado</v>
      </c>
      <c r="G115" s="27">
        <f>IFERROR(INDEX('Base Exámenes'!$D$5:$D$1000, MATCH(A115&amp;"|"&amp;J115, 'Base Exámenes'!$I$5:$I$1000, 0)), "")</f>
        <v>46300.386666666665</v>
      </c>
      <c r="H115" s="27">
        <f>IFERROR(INDEX('Base Exámenes'!$E$5:$E$1000, MATCH(A115&amp;"|"&amp;J115, 'Base Exámenes'!$I$5:$I$1000, 0)), "")</f>
        <v>46300.39171296296</v>
      </c>
      <c r="I115" s="26">
        <f>IFERROR(INDEX('Base Exámenes'!$F$5:$F$1000, MATCH(A115&amp;"|"&amp;J115, 'Base Exámenes'!$I$5:$I$1000, 0)), "")</f>
        <v>7.26666666666667</v>
      </c>
      <c r="J115" s="6">
        <f>IF(F115="Completado", _xlfn.MAXIFS('Base Exámenes'!$G$5:$G$1000, 'Base Exámenes'!$C$5:$C$1000, A115), "")</f>
        <v>100</v>
      </c>
      <c r="K115" s="6" t="str">
        <f>IFERROR(INDEX('Base Exámenes'!$H$5:$H$1000, MATCH(A115&amp;"|"&amp;J115, 'Base Exámenes'!$I$5:$I$1000, 0)), "anonymous")</f>
        <v>anonymous</v>
      </c>
      <c r="L115" s="95">
        <f>COUNTIF('Base Exámenes'!$C$5:$C$1000, A115)</f>
        <v>1</v>
      </c>
    </row>
    <row r="116">
      <c r="A116" s="4" t="str">
        <f>'Base Oficial'!A116</f>
        <v>752</v>
      </c>
      <c r="B116" s="6" t="str">
        <f>'Base Oficial'!B116</f>
        <v>JEAN HARRY MIRANDA ARAUJO </v>
      </c>
      <c r="C116" s="6" t="str">
        <f>'Base Oficial'!F116</f>
        <v>DEPARTAMENTO DE ANALISIS Y PROGRAMACIÓN</v>
      </c>
      <c r="D116" s="6" t="str">
        <f>'Base Oficial'!G116</f>
        <v>Gerencia de Sistemas</v>
      </c>
      <c r="E116" s="6" t="str">
        <f>'Base Oficial'!D116</f>
        <v>ANALISTA PROGRAMADOR </v>
      </c>
      <c r="F116" s="4" t="str">
        <f>IF(COUNTIFS('Base Exámenes'!$C$5:$C$1000, A116, 'Base Exámenes'!$E$5:$E$1000, "&lt;&gt;")&gt;0, "Completado", "Pendiente")</f>
        <v>Completado</v>
      </c>
      <c r="G116" s="27">
        <f>IFERROR(INDEX('Base Exámenes'!$D$5:$D$1000, MATCH(A116&amp;"|"&amp;J116, 'Base Exámenes'!$I$5:$I$1000, 0)), "")</f>
        <v>46307.41273148148</v>
      </c>
      <c r="H116" s="27">
        <f>IFERROR(INDEX('Base Exámenes'!$E$5:$E$1000, MATCH(A116&amp;"|"&amp;J116, 'Base Exámenes'!$I$5:$I$1000, 0)), "")</f>
        <v>46307.43311342593</v>
      </c>
      <c r="I116" s="26">
        <f>IFERROR(INDEX('Base Exámenes'!$F$5:$F$1000, MATCH(A116&amp;"|"&amp;J116, 'Base Exámenes'!$I$5:$I$1000, 0)), "")</f>
        <v>29.35</v>
      </c>
      <c r="J116" s="6">
        <f>IF(F116="Completado", _xlfn.MAXIFS('Base Exámenes'!$G$5:$G$1000, 'Base Exámenes'!$C$5:$C$1000, A116), "")</f>
        <v>100</v>
      </c>
      <c r="K116" s="6" t="str">
        <f>IFERROR(INDEX('Base Exámenes'!$H$5:$H$1000, MATCH(A116&amp;"|"&amp;J116, 'Base Exámenes'!$I$5:$I$1000, 0)), "anonymous")</f>
        <v>anonymous</v>
      </c>
      <c r="L116" s="95">
        <f>COUNTIF('Base Exámenes'!$C$5:$C$1000, A116)</f>
        <v>1</v>
      </c>
    </row>
    <row r="117">
      <c r="A117" s="4" t="str">
        <f>'Base Oficial'!A117</f>
        <v>783</v>
      </c>
      <c r="B117" s="6" t="str">
        <f>'Base Oficial'!B117</f>
        <v>JONATHAN ALEXIS BERRIOS MENJIVAR </v>
      </c>
      <c r="C117" s="6" t="str">
        <f>'Base Oficial'!F117</f>
        <v>DEPARTAMENTO DE ANALISIS Y PROGRAMACIÓN</v>
      </c>
      <c r="D117" s="6" t="str">
        <f>'Base Oficial'!G117</f>
        <v>Gerencia de Sistemas</v>
      </c>
      <c r="E117" s="6" t="str">
        <f>'Base Oficial'!D117</f>
        <v>ANALISTA PROGRAMADOR </v>
      </c>
      <c r="F117" s="4" t="str">
        <f>IF(COUNTIFS('Base Exámenes'!$C$5:$C$1000, A117, 'Base Exámenes'!$E$5:$E$1000, "&lt;&gt;")&gt;0, "Completado", "Pendiente")</f>
        <v>Completado</v>
      </c>
      <c r="G117" s="27">
        <f>IFERROR(INDEX('Base Exámenes'!$D$5:$D$1000, MATCH(A117&amp;"|"&amp;J117, 'Base Exámenes'!$I$5:$I$1000, 0)), "")</f>
        <v>46304.395833333336</v>
      </c>
      <c r="H117" s="27">
        <f>IFERROR(INDEX('Base Exámenes'!$E$5:$E$1000, MATCH(A117&amp;"|"&amp;J117, 'Base Exámenes'!$I$5:$I$1000, 0)), "")</f>
        <v>46304.40027777778</v>
      </c>
      <c r="I117" s="26">
        <f>IFERROR(INDEX('Base Exámenes'!$F$5:$F$1000, MATCH(A117&amp;"|"&amp;J117, 'Base Exámenes'!$I$5:$I$1000, 0)), "")</f>
        <v>6.4</v>
      </c>
      <c r="J117" s="6">
        <f>IF(F117="Completado", _xlfn.MAXIFS('Base Exámenes'!$G$5:$G$1000, 'Base Exámenes'!$C$5:$C$1000, A117), "")</f>
        <v>100</v>
      </c>
      <c r="K117" s="6" t="str">
        <f>IFERROR(INDEX('Base Exámenes'!$H$5:$H$1000, MATCH(A117&amp;"|"&amp;J117, 'Base Exámenes'!$I$5:$I$1000, 0)), "anonymous")</f>
        <v>anonymous</v>
      </c>
      <c r="L117" s="95">
        <f>COUNTIF('Base Exámenes'!$C$5:$C$1000, A117)</f>
        <v>1</v>
      </c>
    </row>
    <row r="118">
      <c r="A118" s="4" t="str">
        <f>'Base Oficial'!A118</f>
        <v>806</v>
      </c>
      <c r="B118" s="6" t="str">
        <f>'Base Oficial'!B118</f>
        <v>BYRON WILFREDO MENJIVAR MELENDEZ </v>
      </c>
      <c r="C118" s="6" t="str">
        <f>'Base Oficial'!F118</f>
        <v>DEPARTAMENTO DE ANALISIS Y PROGRAMACIÓN</v>
      </c>
      <c r="D118" s="6" t="str">
        <f>'Base Oficial'!G118</f>
        <v>Gerencia de Sistemas</v>
      </c>
      <c r="E118" s="6" t="str">
        <f>'Base Oficial'!D118</f>
        <v>ANALISTA PROGRAMADOR </v>
      </c>
      <c r="F118" s="4" t="str">
        <f>IF(COUNTIFS('Base Exámenes'!$C$5:$C$1000, A118, 'Base Exámenes'!$E$5:$E$1000, "&lt;&gt;")&gt;0, "Completado", "Pendiente")</f>
        <v>Completado</v>
      </c>
      <c r="G118" s="27">
        <f>IFERROR(INDEX('Base Exámenes'!$D$5:$D$1000, MATCH(A118&amp;"|"&amp;J118, 'Base Exámenes'!$I$5:$I$1000, 0)), "")</f>
        <v>46304.369363425925</v>
      </c>
      <c r="H118" s="27">
        <f>IFERROR(INDEX('Base Exámenes'!$E$5:$E$1000, MATCH(A118&amp;"|"&amp;J118, 'Base Exámenes'!$I$5:$I$1000, 0)), "")</f>
        <v>46304.384618055556</v>
      </c>
      <c r="I118" s="26">
        <f>IFERROR(INDEX('Base Exámenes'!$F$5:$F$1000, MATCH(A118&amp;"|"&amp;J118, 'Base Exámenes'!$I$5:$I$1000, 0)), "")</f>
        <v>21.9666666666667</v>
      </c>
      <c r="J118" s="6">
        <f>IF(F118="Completado", _xlfn.MAXIFS('Base Exámenes'!$G$5:$G$1000, 'Base Exámenes'!$C$5:$C$1000, A118), "")</f>
        <v>100</v>
      </c>
      <c r="K118" s="6" t="str">
        <f>IFERROR(INDEX('Base Exámenes'!$H$5:$H$1000, MATCH(A118&amp;"|"&amp;J118, 'Base Exámenes'!$I$5:$I$1000, 0)), "anonymous")</f>
        <v>anonymous</v>
      </c>
      <c r="L118" s="95">
        <f>COUNTIF('Base Exámenes'!$C$5:$C$1000, A118)</f>
        <v>1</v>
      </c>
    </row>
    <row r="119">
      <c r="A119" s="4" t="str">
        <f>'Base Oficial'!A119</f>
        <v>824</v>
      </c>
      <c r="B119" s="6" t="str">
        <f>'Base Oficial'!B119</f>
        <v>RODRIGO FERNANDO FIGUEROA RIVAS </v>
      </c>
      <c r="C119" s="6" t="str">
        <f>'Base Oficial'!F119</f>
        <v>DEPARTAMENTO DE ANALISIS Y PROGRAMACIÓN</v>
      </c>
      <c r="D119" s="6" t="str">
        <f>'Base Oficial'!G119</f>
        <v>Gerencia de Sistemas</v>
      </c>
      <c r="E119" s="6" t="str">
        <f>'Base Oficial'!D119</f>
        <v>ANALISTA PROGRAMADOR JUNIOR</v>
      </c>
      <c r="F119" s="4" t="str">
        <f>IF(COUNTIFS('Base Exámenes'!$C$5:$C$1000, A119, 'Base Exámenes'!$E$5:$E$1000, "&lt;&gt;")&gt;0, "Completado", "Pendiente")</f>
        <v>Completado</v>
      </c>
      <c r="G119" s="27">
        <f>IFERROR(INDEX('Base Exámenes'!$D$5:$D$1000, MATCH(A119&amp;"|"&amp;J119, 'Base Exámenes'!$I$5:$I$1000, 0)), "")</f>
        <v>46304.37327546296</v>
      </c>
      <c r="H119" s="27">
        <f>IFERROR(INDEX('Base Exámenes'!$E$5:$E$1000, MATCH(A119&amp;"|"&amp;J119, 'Base Exámenes'!$I$5:$I$1000, 0)), "")</f>
        <v>46304.38784722222</v>
      </c>
      <c r="I119" s="26">
        <f>IFERROR(INDEX('Base Exámenes'!$F$5:$F$1000, MATCH(A119&amp;"|"&amp;J119, 'Base Exámenes'!$I$5:$I$1000, 0)), "")</f>
        <v>20.9833333333333</v>
      </c>
      <c r="J119" s="6">
        <f>IF(F119="Completado", _xlfn.MAXIFS('Base Exámenes'!$G$5:$G$1000, 'Base Exámenes'!$C$5:$C$1000, A119), "")</f>
        <v>100</v>
      </c>
      <c r="K119" s="6" t="str">
        <f>IFERROR(INDEX('Base Exámenes'!$H$5:$H$1000, MATCH(A119&amp;"|"&amp;J119, 'Base Exámenes'!$I$5:$I$1000, 0)), "anonymous")</f>
        <v>anonymous</v>
      </c>
      <c r="L119" s="95">
        <f>COUNTIF('Base Exámenes'!$C$5:$C$1000, A119)</f>
        <v>1</v>
      </c>
    </row>
    <row r="120">
      <c r="A120" s="4" t="str">
        <f>'Base Oficial'!A120</f>
        <v>879</v>
      </c>
      <c r="B120" s="6" t="str">
        <f>'Base Oficial'!B120</f>
        <v>MILAGRO NATIVIDAD ESCOBAR MELENDEZ </v>
      </c>
      <c r="C120" s="6" t="str">
        <f>'Base Oficial'!F120</f>
        <v>DEPARTAMENTO DE ANALISIS Y PROGRAMACIÓN</v>
      </c>
      <c r="D120" s="6" t="str">
        <f>'Base Oficial'!G120</f>
        <v>Gerencia de Sistemas</v>
      </c>
      <c r="E120" s="6" t="str">
        <f>'Base Oficial'!D120</f>
        <v>ANALISTA PROGRAMADOR </v>
      </c>
      <c r="F120" s="4" t="str">
        <f>IF(COUNTIFS('Base Exámenes'!$C$5:$C$1000, A120, 'Base Exámenes'!$E$5:$E$1000, "&lt;&gt;")&gt;0, "Completado", "Pendiente")</f>
        <v>Completado</v>
      </c>
      <c r="G120" s="27">
        <f>IFERROR(INDEX('Base Exámenes'!$D$5:$D$1000, MATCH(A120&amp;"|"&amp;J120, 'Base Exámenes'!$I$5:$I$1000, 0)), "")</f>
        <v>46304.39172453704</v>
      </c>
      <c r="H120" s="27">
        <f>IFERROR(INDEX('Base Exámenes'!$E$5:$E$1000, MATCH(A120&amp;"|"&amp;J120, 'Base Exámenes'!$I$5:$I$1000, 0)), "")</f>
        <v>46304.394837962966</v>
      </c>
      <c r="I120" s="26">
        <f>IFERROR(INDEX('Base Exámenes'!$F$5:$F$1000, MATCH(A120&amp;"|"&amp;J120, 'Base Exámenes'!$I$5:$I$1000, 0)), "")</f>
        <v>4.48333333333333</v>
      </c>
      <c r="J120" s="6">
        <f>IF(F120="Completado", _xlfn.MAXIFS('Base Exámenes'!$G$5:$G$1000, 'Base Exámenes'!$C$5:$C$1000, A120), "")</f>
        <v>100</v>
      </c>
      <c r="K120" s="6" t="str">
        <f>IFERROR(INDEX('Base Exámenes'!$H$5:$H$1000, MATCH(A120&amp;"|"&amp;J120, 'Base Exámenes'!$I$5:$I$1000, 0)), "anonymous")</f>
        <v>anonymous</v>
      </c>
      <c r="L120" s="95">
        <f>COUNTIF('Base Exámenes'!$C$5:$C$1000, A120)</f>
        <v>1</v>
      </c>
    </row>
    <row r="121">
      <c r="A121" s="4" t="str">
        <f>'Base Oficial'!A121</f>
        <v>899</v>
      </c>
      <c r="B121" s="6" t="str">
        <f>'Base Oficial'!B121</f>
        <v>ALEJANDRA VERONICA CENTENO  LOPEZ</v>
      </c>
      <c r="C121" s="6" t="str">
        <f>'Base Oficial'!F121</f>
        <v>DEPARTAMENTO DE ANALISIS Y PROGRAMACIÓN</v>
      </c>
      <c r="D121" s="6" t="str">
        <f>'Base Oficial'!G121</f>
        <v>Gerencia de Sistemas</v>
      </c>
      <c r="E121" s="6" t="str">
        <f>'Base Oficial'!D121</f>
        <v>ANALISTA PROGRAMADOR </v>
      </c>
      <c r="F121" s="4" t="str">
        <f>IF(COUNTIFS('Base Exámenes'!$C$5:$C$1000, A121, 'Base Exámenes'!$E$5:$E$1000, "&lt;&gt;")&gt;0, "Completado", "Pendiente")</f>
        <v>Pendiente</v>
      </c>
      <c r="G121" s="27" t="str">
        <f>IFERROR(INDEX('Base Exámenes'!$D$5:$D$1000, MATCH(A121&amp;"|"&amp;J121, 'Base Exámenes'!$I$5:$I$1000, 0)), "")</f>
        <v/>
      </c>
      <c r="H121" s="27" t="str">
        <f>IFERROR(INDEX('Base Exámenes'!$E$5:$E$1000, MATCH(A121&amp;"|"&amp;J121, 'Base Exámenes'!$I$5:$I$1000, 0)), "")</f>
        <v/>
      </c>
      <c r="I121" s="26" t="str">
        <f>IFERROR(INDEX('Base Exámenes'!$F$5:$F$1000, MATCH(A121&amp;"|"&amp;J121, 'Base Exámenes'!$I$5:$I$1000, 0)), "")</f>
        <v/>
      </c>
      <c r="J121" s="6" t="str">
        <f>IF(F121="Completado", _xlfn.MAXIFS('Base Exámenes'!$G$5:$G$1000, 'Base Exámenes'!$C$5:$C$1000, A121), "")</f>
        <v/>
      </c>
      <c r="K121" s="6" t="str">
        <f>IFERROR(INDEX('Base Exámenes'!$H$5:$H$1000, MATCH(A121&amp;"|"&amp;J121, 'Base Exámenes'!$I$5:$I$1000, 0)), "anonymous")</f>
        <v>anonymous</v>
      </c>
      <c r="L121" s="95">
        <f>COUNTIF('Base Exámenes'!$C$5:$C$1000, A121)</f>
        <v>0</v>
      </c>
    </row>
    <row r="122">
      <c r="A122" s="4" t="str">
        <f>'Base Oficial'!A122</f>
        <v>409</v>
      </c>
      <c r="B122" s="6" t="str">
        <f>'Base Oficial'!B122</f>
        <v>PEDRO ERNESTO MORÁN RAMÍREZ </v>
      </c>
      <c r="C122" s="6" t="str">
        <f>'Base Oficial'!F122</f>
        <v>ADMINISTRACION DE BASE DE DATOS</v>
      </c>
      <c r="D122" s="6" t="str">
        <f>'Base Oficial'!G122</f>
        <v>Gerencia de Sistemas</v>
      </c>
      <c r="E122" s="6" t="str">
        <f>'Base Oficial'!D122</f>
        <v>ADMINISTRADOR DE BASE DE DATOS</v>
      </c>
      <c r="F122" s="4" t="str">
        <f>IF(COUNTIFS('Base Exámenes'!$C$5:$C$1000, A122, 'Base Exámenes'!$E$5:$E$1000, "&lt;&gt;")&gt;0, "Completado", "Pendiente")</f>
        <v>Completado</v>
      </c>
      <c r="G122" s="27">
        <f>IFERROR(INDEX('Base Exámenes'!$D$5:$D$1000, MATCH(A122&amp;"|"&amp;J122, 'Base Exámenes'!$I$5:$I$1000, 0)), "")</f>
        <v>46300.68533564815</v>
      </c>
      <c r="H122" s="27">
        <f>IFERROR(INDEX('Base Exámenes'!$E$5:$E$1000, MATCH(A122&amp;"|"&amp;J122, 'Base Exámenes'!$I$5:$I$1000, 0)), "")</f>
        <v>46300.696018518516</v>
      </c>
      <c r="I122" s="26">
        <f>IFERROR(INDEX('Base Exámenes'!$F$5:$F$1000, MATCH(A122&amp;"|"&amp;J122, 'Base Exámenes'!$I$5:$I$1000, 0)), "")</f>
        <v>15.3833333333333</v>
      </c>
      <c r="J122" s="6">
        <f>IF(F122="Completado", _xlfn.MAXIFS('Base Exámenes'!$G$5:$G$1000, 'Base Exámenes'!$C$5:$C$1000, A122), "")</f>
        <v>95</v>
      </c>
      <c r="K122" s="6" t="str">
        <f>IFERROR(INDEX('Base Exámenes'!$H$5:$H$1000, MATCH(A122&amp;"|"&amp;J122, 'Base Exámenes'!$I$5:$I$1000, 0)), "anonymous")</f>
        <v>anonymous</v>
      </c>
      <c r="L122" s="95">
        <f>COUNTIF('Base Exámenes'!$C$5:$C$1000, A122)</f>
        <v>1</v>
      </c>
    </row>
    <row r="123">
      <c r="A123" s="4" t="str">
        <f>'Base Oficial'!A123</f>
        <v>330</v>
      </c>
      <c r="B123" s="6" t="str">
        <f>'Base Oficial'!B123</f>
        <v>MERALYS CHAVEZ RODRIGUEZ </v>
      </c>
      <c r="C123" s="6" t="str">
        <f>'Base Oficial'!F123</f>
        <v>DEPARTAMENTO DE AUDITORIA INTERNA</v>
      </c>
      <c r="D123" s="6" t="str">
        <f>'Base Oficial'!G123</f>
        <v>Auditoría Interna</v>
      </c>
      <c r="E123" s="6" t="str">
        <f>'Base Oficial'!D123</f>
        <v>AUDITOR INTERNO</v>
      </c>
      <c r="F123" s="4" t="str">
        <f>IF(COUNTIFS('Base Exámenes'!$C$5:$C$1000, A123, 'Base Exámenes'!$E$5:$E$1000, "&lt;&gt;")&gt;0, "Completado", "Pendiente")</f>
        <v>Completado</v>
      </c>
      <c r="G123" s="27">
        <f>IFERROR(INDEX('Base Exámenes'!$D$5:$D$1000, MATCH(A123&amp;"|"&amp;J123, 'Base Exámenes'!$I$5:$I$1000, 0)), "")</f>
        <v>46307.648356481484</v>
      </c>
      <c r="H123" s="27">
        <f>IFERROR(INDEX('Base Exámenes'!$E$5:$E$1000, MATCH(A123&amp;"|"&amp;J123, 'Base Exámenes'!$I$5:$I$1000, 0)), "")</f>
        <v>46307.652766203704</v>
      </c>
      <c r="I123" s="26">
        <f>IFERROR(INDEX('Base Exámenes'!$F$5:$F$1000, MATCH(A123&amp;"|"&amp;J123, 'Base Exámenes'!$I$5:$I$1000, 0)), "")</f>
        <v>6.35</v>
      </c>
      <c r="J123" s="6">
        <f>IF(F123="Completado", _xlfn.MAXIFS('Base Exámenes'!$G$5:$G$1000, 'Base Exámenes'!$C$5:$C$1000, A123), "")</f>
        <v>100</v>
      </c>
      <c r="K123" s="6" t="str">
        <f>IFERROR(INDEX('Base Exámenes'!$H$5:$H$1000, MATCH(A123&amp;"|"&amp;J123, 'Base Exámenes'!$I$5:$I$1000, 0)), "anonymous")</f>
        <v>anonymous</v>
      </c>
      <c r="L123" s="95">
        <f>COUNTIF('Base Exámenes'!$C$5:$C$1000, A123)</f>
        <v>1</v>
      </c>
    </row>
    <row r="124">
      <c r="A124" s="4" t="str">
        <f>'Base Oficial'!A124</f>
        <v>424</v>
      </c>
      <c r="B124" s="6" t="str">
        <f>'Base Oficial'!B124</f>
        <v>MAYRA LISSETTE LOPEZ  SANCHEZ</v>
      </c>
      <c r="C124" s="6" t="str">
        <f>'Base Oficial'!F124</f>
        <v>DEPARTAMENTO DE AUDITORIA INTERNA</v>
      </c>
      <c r="D124" s="6" t="str">
        <f>'Base Oficial'!G124</f>
        <v>Auditoría Interna</v>
      </c>
      <c r="E124" s="6" t="str">
        <f>'Base Oficial'!D124</f>
        <v>SUPERVISOR DE AUDITORIA INTERNA</v>
      </c>
      <c r="F124" s="4" t="str">
        <f>IF(COUNTIFS('Base Exámenes'!$C$5:$C$1000, A124, 'Base Exámenes'!$E$5:$E$1000, "&lt;&gt;")&gt;0, "Completado", "Pendiente")</f>
        <v>Completado</v>
      </c>
      <c r="G124" s="27">
        <f>IFERROR(INDEX('Base Exámenes'!$D$5:$D$1000, MATCH(A124&amp;"|"&amp;J124, 'Base Exámenes'!$I$5:$I$1000, 0)), "")</f>
        <v>46304.40168981482</v>
      </c>
      <c r="H124" s="27">
        <f>IFERROR(INDEX('Base Exámenes'!$E$5:$E$1000, MATCH(A124&amp;"|"&amp;J124, 'Base Exámenes'!$I$5:$I$1000, 0)), "")</f>
        <v>46304.404328703706</v>
      </c>
      <c r="I124" s="26">
        <f>IFERROR(INDEX('Base Exámenes'!$F$5:$F$1000, MATCH(A124&amp;"|"&amp;J124, 'Base Exámenes'!$I$5:$I$1000, 0)), "")</f>
        <v>3.8</v>
      </c>
      <c r="J124" s="6">
        <f>IF(F124="Completado", _xlfn.MAXIFS('Base Exámenes'!$G$5:$G$1000, 'Base Exámenes'!$C$5:$C$1000, A124), "")</f>
        <v>90</v>
      </c>
      <c r="K124" s="6" t="str">
        <f>IFERROR(INDEX('Base Exámenes'!$H$5:$H$1000, MATCH(A124&amp;"|"&amp;J124, 'Base Exámenes'!$I$5:$I$1000, 0)), "anonymous")</f>
        <v>anonymous</v>
      </c>
      <c r="L124" s="95">
        <f>COUNTIF('Base Exámenes'!$C$5:$C$1000, A124)</f>
        <v>1</v>
      </c>
    </row>
    <row r="125">
      <c r="A125" s="4" t="str">
        <f>'Base Oficial'!A125</f>
        <v>534</v>
      </c>
      <c r="B125" s="6" t="str">
        <f>'Base Oficial'!B125</f>
        <v>NELSON DANILO BENITEZ MENDEZ </v>
      </c>
      <c r="C125" s="6" t="str">
        <f>'Base Oficial'!F125</f>
        <v>DEPARTAMENTO DE AUDITORIA INTERNA</v>
      </c>
      <c r="D125" s="6" t="str">
        <f>'Base Oficial'!G125</f>
        <v>Auditoría Interna</v>
      </c>
      <c r="E125" s="6" t="str">
        <f>'Base Oficial'!D125</f>
        <v>AUDITOR DE SISTEMAS</v>
      </c>
      <c r="F125" s="4" t="str">
        <f>IF(COUNTIFS('Base Exámenes'!$C$5:$C$1000, A125, 'Base Exámenes'!$E$5:$E$1000, "&lt;&gt;")&gt;0, "Completado", "Pendiente")</f>
        <v>Completado</v>
      </c>
      <c r="G125" s="27">
        <f>IFERROR(INDEX('Base Exámenes'!$D$5:$D$1000, MATCH(A125&amp;"|"&amp;J125, 'Base Exámenes'!$I$5:$I$1000, 0)), "")</f>
        <v>46307.43509259259</v>
      </c>
      <c r="H125" s="27">
        <f>IFERROR(INDEX('Base Exámenes'!$E$5:$E$1000, MATCH(A125&amp;"|"&amp;J125, 'Base Exámenes'!$I$5:$I$1000, 0)), "")</f>
        <v>46307.43875</v>
      </c>
      <c r="I125" s="26">
        <f>IFERROR(INDEX('Base Exámenes'!$F$5:$F$1000, MATCH(A125&amp;"|"&amp;J125, 'Base Exámenes'!$I$5:$I$1000, 0)), "")</f>
        <v>5.26666666666667</v>
      </c>
      <c r="J125" s="6">
        <f>IF(F125="Completado", _xlfn.MAXIFS('Base Exámenes'!$G$5:$G$1000, 'Base Exámenes'!$C$5:$C$1000, A125), "")</f>
        <v>100</v>
      </c>
      <c r="K125" s="6" t="str">
        <f>IFERROR(INDEX('Base Exámenes'!$H$5:$H$1000, MATCH(A125&amp;"|"&amp;J125, 'Base Exámenes'!$I$5:$I$1000, 0)), "anonymous")</f>
        <v>anonymous</v>
      </c>
      <c r="L125" s="95">
        <f>COUNTIF('Base Exámenes'!$C$5:$C$1000, A125)</f>
        <v>1</v>
      </c>
    </row>
    <row r="126">
      <c r="A126" s="4" t="str">
        <f>'Base Oficial'!A126</f>
        <v>548</v>
      </c>
      <c r="B126" s="6" t="str">
        <f>'Base Oficial'!B126</f>
        <v>ZORAIDA LORENA LOPEZ MEDINA </v>
      </c>
      <c r="C126" s="6" t="str">
        <f>'Base Oficial'!F126</f>
        <v>DEPARTAMENTO DE AUDITORIA INTERNA</v>
      </c>
      <c r="D126" s="6" t="str">
        <f>'Base Oficial'!G126</f>
        <v>Auditoría Interna</v>
      </c>
      <c r="E126" s="6" t="str">
        <f>'Base Oficial'!D126</f>
        <v>ASISTENTE DE AUDITORIA INTERNA</v>
      </c>
      <c r="F126" s="4" t="str">
        <f>IF(COUNTIFS('Base Exámenes'!$C$5:$C$1000, A126, 'Base Exámenes'!$E$5:$E$1000, "&lt;&gt;")&gt;0, "Completado", "Pendiente")</f>
        <v>Completado</v>
      </c>
      <c r="G126" s="27">
        <f>IFERROR(INDEX('Base Exámenes'!$D$5:$D$1000, MATCH(A126&amp;"|"&amp;J126, 'Base Exámenes'!$I$5:$I$1000, 0)), "")</f>
        <v>46296.704247685186</v>
      </c>
      <c r="H126" s="27">
        <f>IFERROR(INDEX('Base Exámenes'!$E$5:$E$1000, MATCH(A126&amp;"|"&amp;J126, 'Base Exámenes'!$I$5:$I$1000, 0)), "")</f>
        <v>46296.711550925924</v>
      </c>
      <c r="I126" s="26">
        <f>IFERROR(INDEX('Base Exámenes'!$F$5:$F$1000, MATCH(A126&amp;"|"&amp;J126, 'Base Exámenes'!$I$5:$I$1000, 0)), "")</f>
        <v>10.5166666419167</v>
      </c>
      <c r="J126" s="6">
        <f>IF(F126="Completado", _xlfn.MAXIFS('Base Exámenes'!$G$5:$G$1000, 'Base Exámenes'!$C$5:$C$1000, A126), "")</f>
        <v>100</v>
      </c>
      <c r="K126" s="6" t="str">
        <f>IFERROR(INDEX('Base Exámenes'!$H$5:$H$1000, MATCH(A126&amp;"|"&amp;J126, 'Base Exámenes'!$I$5:$I$1000, 0)), "anonymous")</f>
        <v>anonymous</v>
      </c>
      <c r="L126" s="95">
        <f>COUNTIF('Base Exámenes'!$C$5:$C$1000, A126)</f>
        <v>1</v>
      </c>
    </row>
    <row r="127">
      <c r="A127" s="4" t="str">
        <f>'Base Oficial'!A127</f>
        <v>742</v>
      </c>
      <c r="B127" s="6" t="str">
        <f>'Base Oficial'!B127</f>
        <v>PATRICIA GUADALUPE  SEGOVIA RAMIREZ </v>
      </c>
      <c r="C127" s="6" t="str">
        <f>'Base Oficial'!F127</f>
        <v>DEPARTAMENTO DE AUDITORIA INTERNA</v>
      </c>
      <c r="D127" s="6" t="str">
        <f>'Base Oficial'!G127</f>
        <v>Auditoría Interna</v>
      </c>
      <c r="E127" s="6" t="str">
        <f>'Base Oficial'!D127</f>
        <v>ASISTENTE DE AUDITORIA INTERNA</v>
      </c>
      <c r="F127" s="4" t="str">
        <f>IF(COUNTIFS('Base Exámenes'!$C$5:$C$1000, A127, 'Base Exámenes'!$E$5:$E$1000, "&lt;&gt;")&gt;0, "Completado", "Pendiente")</f>
        <v>Completado</v>
      </c>
      <c r="G127" s="27">
        <f>IFERROR(INDEX('Base Exámenes'!$D$5:$D$1000, MATCH(A127&amp;"|"&amp;J127, 'Base Exámenes'!$I$5:$I$1000, 0)), "")</f>
        <v>46304.39957175926</v>
      </c>
      <c r="H127" s="27">
        <f>IFERROR(INDEX('Base Exámenes'!$E$5:$E$1000, MATCH(A127&amp;"|"&amp;J127, 'Base Exámenes'!$I$5:$I$1000, 0)), "")</f>
        <v>46304.40319444444</v>
      </c>
      <c r="I127" s="26">
        <f>IFERROR(INDEX('Base Exámenes'!$F$5:$F$1000, MATCH(A127&amp;"|"&amp;J127, 'Base Exámenes'!$I$5:$I$1000, 0)), "")</f>
        <v>5.21666666666667</v>
      </c>
      <c r="J127" s="6">
        <f>IF(F127="Completado", _xlfn.MAXIFS('Base Exámenes'!$G$5:$G$1000, 'Base Exámenes'!$C$5:$C$1000, A127), "")</f>
        <v>90</v>
      </c>
      <c r="K127" s="6" t="str">
        <f>IFERROR(INDEX('Base Exámenes'!$H$5:$H$1000, MATCH(A127&amp;"|"&amp;J127, 'Base Exámenes'!$I$5:$I$1000, 0)), "anonymous")</f>
        <v>anonymous</v>
      </c>
      <c r="L127" s="95">
        <f>COUNTIF('Base Exámenes'!$C$5:$C$1000, A127)</f>
        <v>1</v>
      </c>
    </row>
    <row r="128">
      <c r="A128" s="4" t="str">
        <f>'Base Oficial'!A128</f>
        <v>750</v>
      </c>
      <c r="B128" s="6" t="str">
        <f>'Base Oficial'!B128</f>
        <v>MARLON ANTONIO BONILLA GARCIA </v>
      </c>
      <c r="C128" s="6" t="str">
        <f>'Base Oficial'!F128</f>
        <v>DEPARTAMENTO DE AUDITORIA INTERNA</v>
      </c>
      <c r="D128" s="6" t="str">
        <f>'Base Oficial'!G128</f>
        <v>Auditoría Interna</v>
      </c>
      <c r="E128" s="6" t="str">
        <f>'Base Oficial'!D128</f>
        <v>ASISTENTE DE AUDITORIA INTERNA</v>
      </c>
      <c r="F128" s="4" t="str">
        <f>IF(COUNTIFS('Base Exámenes'!$C$5:$C$1000, A128, 'Base Exámenes'!$E$5:$E$1000, "&lt;&gt;")&gt;0, "Completado", "Pendiente")</f>
        <v>Completado</v>
      </c>
      <c r="G128" s="27">
        <f>IFERROR(INDEX('Base Exámenes'!$D$5:$D$1000, MATCH(A128&amp;"|"&amp;J128, 'Base Exámenes'!$I$5:$I$1000, 0)), "")</f>
        <v>46296.61756944445</v>
      </c>
      <c r="H128" s="27">
        <f>IFERROR(INDEX('Base Exámenes'!$E$5:$E$1000, MATCH(A128&amp;"|"&amp;J128, 'Base Exámenes'!$I$5:$I$1000, 0)), "")</f>
        <v>46296.62321759259</v>
      </c>
      <c r="I128" s="26">
        <f>IFERROR(INDEX('Base Exámenes'!$F$5:$F$1000, MATCH(A128&amp;"|"&amp;J128, 'Base Exámenes'!$I$5:$I$1000, 0)), "")</f>
        <v>8.13333333333333</v>
      </c>
      <c r="J128" s="6">
        <f>IF(F128="Completado", _xlfn.MAXIFS('Base Exámenes'!$G$5:$G$1000, 'Base Exámenes'!$C$5:$C$1000, A128), "")</f>
        <v>100</v>
      </c>
      <c r="K128" s="6" t="str">
        <f>IFERROR(INDEX('Base Exámenes'!$H$5:$H$1000, MATCH(A128&amp;"|"&amp;J128, 'Base Exámenes'!$I$5:$I$1000, 0)), "anonymous")</f>
        <v>anonymous</v>
      </c>
      <c r="L128" s="95">
        <f>COUNTIF('Base Exámenes'!$C$5:$C$1000, A128)</f>
        <v>1</v>
      </c>
    </row>
    <row r="129">
      <c r="A129" s="4" t="str">
        <f>'Base Oficial'!A129</f>
        <v>865</v>
      </c>
      <c r="B129" s="6" t="str">
        <f>'Base Oficial'!B129</f>
        <v>MARIA ELENA VALLE BENAVIDES </v>
      </c>
      <c r="C129" s="6" t="str">
        <f>'Base Oficial'!F129</f>
        <v>DEPARTAMENTO DE AUDITORIA INTERNA</v>
      </c>
      <c r="D129" s="6" t="str">
        <f>'Base Oficial'!G129</f>
        <v>Auditoría Interna</v>
      </c>
      <c r="E129" s="6" t="str">
        <f>'Base Oficial'!D129</f>
        <v>ASISTENTE DE AUDITORIA INTERNA</v>
      </c>
      <c r="F129" s="4" t="str">
        <f>IF(COUNTIFS('Base Exámenes'!$C$5:$C$1000, A129, 'Base Exámenes'!$E$5:$E$1000, "&lt;&gt;")&gt;0, "Completado", "Pendiente")</f>
        <v>Completado</v>
      </c>
      <c r="G129" s="27">
        <f>IFERROR(INDEX('Base Exámenes'!$D$5:$D$1000, MATCH(A129&amp;"|"&amp;J129, 'Base Exámenes'!$I$5:$I$1000, 0)), "")</f>
        <v>46296.676203703704</v>
      </c>
      <c r="H129" s="27">
        <f>IFERROR(INDEX('Base Exámenes'!$E$5:$E$1000, MATCH(A129&amp;"|"&amp;J129, 'Base Exámenes'!$I$5:$I$1000, 0)), "")</f>
        <v>46296.68074074074</v>
      </c>
      <c r="I129" s="26">
        <f>IFERROR(INDEX('Base Exámenes'!$F$5:$F$1000, MATCH(A129&amp;"|"&amp;J129, 'Base Exámenes'!$I$5:$I$1000, 0)), "")</f>
        <v>6.53333333333333</v>
      </c>
      <c r="J129" s="6">
        <f>IF(F129="Completado", _xlfn.MAXIFS('Base Exámenes'!$G$5:$G$1000, 'Base Exámenes'!$C$5:$C$1000, A129), "")</f>
        <v>100</v>
      </c>
      <c r="K129" s="6" t="str">
        <f>IFERROR(INDEX('Base Exámenes'!$H$5:$H$1000, MATCH(A129&amp;"|"&amp;J129, 'Base Exámenes'!$I$5:$I$1000, 0)), "anonymous")</f>
        <v>anonymous</v>
      </c>
      <c r="L129" s="95">
        <f>COUNTIF('Base Exámenes'!$C$5:$C$1000, A129)</f>
        <v>1</v>
      </c>
    </row>
    <row r="130">
      <c r="A130" s="4" t="str">
        <f>'Base Oficial'!A130</f>
        <v>443</v>
      </c>
      <c r="B130" s="6" t="str">
        <f>'Base Oficial'!B130</f>
        <v>JOSSELINE LIZBETH VENTURA  RIVAS</v>
      </c>
      <c r="C130" s="6" t="str">
        <f>'Base Oficial'!F130</f>
        <v>OFICIALIA DE CUMPLIMIENTO</v>
      </c>
      <c r="D130" s="6" t="str">
        <f>'Base Oficial'!G130</f>
        <v>Gerencia de Oficialía de Cumplimiento</v>
      </c>
      <c r="E130" s="6" t="str">
        <f>'Base Oficial'!D130</f>
        <v>ANALISTA DE CUMPLIMIENTO</v>
      </c>
      <c r="F130" s="4" t="str">
        <f>IF(COUNTIFS('Base Exámenes'!$C$5:$C$1000, A130, 'Base Exámenes'!$E$5:$E$1000, "&lt;&gt;")&gt;0, "Completado", "Pendiente")</f>
        <v>Completado</v>
      </c>
      <c r="G130" s="27">
        <f>IFERROR(INDEX('Base Exámenes'!$D$5:$D$1000, MATCH(A130&amp;"|"&amp;J130, 'Base Exámenes'!$I$5:$I$1000, 0)), "")</f>
        <v>46296.48201388889</v>
      </c>
      <c r="H130" s="27">
        <f>IFERROR(INDEX('Base Exámenes'!$E$5:$E$1000, MATCH(A130&amp;"|"&amp;J130, 'Base Exámenes'!$I$5:$I$1000, 0)), "")</f>
        <v>46296.491481481484</v>
      </c>
      <c r="I130" s="26">
        <f>IFERROR(INDEX('Base Exámenes'!$F$5:$F$1000, MATCH(A130&amp;"|"&amp;J130, 'Base Exámenes'!$I$5:$I$1000, 0)), "")</f>
        <v>13.6333333333333</v>
      </c>
      <c r="J130" s="6">
        <f>IF(F130="Completado", _xlfn.MAXIFS('Base Exámenes'!$G$5:$G$1000, 'Base Exámenes'!$C$5:$C$1000, A130), "")</f>
        <v>100</v>
      </c>
      <c r="K130" s="6" t="str">
        <f>IFERROR(INDEX('Base Exámenes'!$H$5:$H$1000, MATCH(A130&amp;"|"&amp;J130, 'Base Exámenes'!$I$5:$I$1000, 0)), "anonymous")</f>
        <v>anonymous</v>
      </c>
      <c r="L130" s="95">
        <f>COUNTIF('Base Exámenes'!$C$5:$C$1000, A130)</f>
        <v>1</v>
      </c>
    </row>
    <row r="131">
      <c r="A131" s="4" t="str">
        <f>'Base Oficial'!A131</f>
        <v>860</v>
      </c>
      <c r="B131" s="6" t="str">
        <f>'Base Oficial'!B131</f>
        <v>JOHANNA LISSETH ROMERO RIVAS </v>
      </c>
      <c r="C131" s="6" t="str">
        <f>'Base Oficial'!F131</f>
        <v>OFICIALIA DE CUMPLIMIENTO</v>
      </c>
      <c r="D131" s="6" t="str">
        <f>'Base Oficial'!G131</f>
        <v>Gerencia de Oficialía de Cumplimiento</v>
      </c>
      <c r="E131" s="6" t="str">
        <f>'Base Oficial'!D131</f>
        <v>ANALISTA DE OFICIALIA DE CUMPLIMIENTO Y OFICIAL DE CUMPLIMIE</v>
      </c>
      <c r="F131" s="4" t="str">
        <f>IF(COUNTIFS('Base Exámenes'!$C$5:$C$1000, A131, 'Base Exámenes'!$E$5:$E$1000, "&lt;&gt;")&gt;0, "Completado", "Pendiente")</f>
        <v>Completado</v>
      </c>
      <c r="G131" s="27">
        <f>IFERROR(INDEX('Base Exámenes'!$D$5:$D$1000, MATCH(A131&amp;"|"&amp;J131, 'Base Exámenes'!$I$5:$I$1000, 0)), "")</f>
        <v>46296.47424768518</v>
      </c>
      <c r="H131" s="27">
        <f>IFERROR(INDEX('Base Exámenes'!$E$5:$E$1000, MATCH(A131&amp;"|"&amp;J131, 'Base Exámenes'!$I$5:$I$1000, 0)), "")</f>
        <v>46296.48637731482</v>
      </c>
      <c r="I131" s="26">
        <f>IFERROR(INDEX('Base Exámenes'!$F$5:$F$1000, MATCH(A131&amp;"|"&amp;J131, 'Base Exámenes'!$I$5:$I$1000, 0)), "")</f>
        <v>17.4666666666667</v>
      </c>
      <c r="J131" s="6">
        <f>IF(F131="Completado", _xlfn.MAXIFS('Base Exámenes'!$G$5:$G$1000, 'Base Exámenes'!$C$5:$C$1000, A131), "")</f>
        <v>100</v>
      </c>
      <c r="K131" s="6" t="str">
        <f>IFERROR(INDEX('Base Exámenes'!$H$5:$H$1000, MATCH(A131&amp;"|"&amp;J131, 'Base Exámenes'!$I$5:$I$1000, 0)), "anonymous")</f>
        <v>anonymous</v>
      </c>
      <c r="L131" s="95">
        <f>COUNTIF('Base Exámenes'!$C$5:$C$1000, A131)</f>
        <v>1</v>
      </c>
    </row>
    <row r="132">
      <c r="A132" s="4" t="str">
        <f>'Base Oficial'!A132</f>
        <v>914</v>
      </c>
      <c r="B132" s="6" t="str">
        <f>'Base Oficial'!B132</f>
        <v>FIDEL ISAIAS CASTELLON CALVIO </v>
      </c>
      <c r="C132" s="6" t="str">
        <f>'Base Oficial'!F132</f>
        <v>OFICIALIA DE CUMPLIMIENTO</v>
      </c>
      <c r="D132" s="6" t="str">
        <f>'Base Oficial'!G132</f>
        <v>Gerencia de Oficialía de Cumplimiento</v>
      </c>
      <c r="E132" s="6" t="str">
        <f>'Base Oficial'!D132</f>
        <v>ADMINISTRADOR DE MONITOR PLUS Y ANALISTA DE CUMPLIMIENTO</v>
      </c>
      <c r="F132" s="4" t="str">
        <f>IF(COUNTIFS('Base Exámenes'!$C$5:$C$1000, A132, 'Base Exámenes'!$E$5:$E$1000, "&lt;&gt;")&gt;0, "Completado", "Pendiente")</f>
        <v>Completado</v>
      </c>
      <c r="G132" s="27">
        <f>IFERROR(INDEX('Base Exámenes'!$D$5:$D$1000, MATCH(A132&amp;"|"&amp;J132, 'Base Exámenes'!$I$5:$I$1000, 0)), "")</f>
        <v>46296.47130787037</v>
      </c>
      <c r="H132" s="27">
        <f>IFERROR(INDEX('Base Exámenes'!$E$5:$E$1000, MATCH(A132&amp;"|"&amp;J132, 'Base Exámenes'!$I$5:$I$1000, 0)), "")</f>
        <v>46296.47803240741</v>
      </c>
      <c r="I132" s="26">
        <f>IFERROR(INDEX('Base Exámenes'!$F$5:$F$1000, MATCH(A132&amp;"|"&amp;J132, 'Base Exámenes'!$I$5:$I$1000, 0)), "")</f>
        <v>9.68333333333333</v>
      </c>
      <c r="J132" s="6">
        <f>IF(F132="Completado", _xlfn.MAXIFS('Base Exámenes'!$G$5:$G$1000, 'Base Exámenes'!$C$5:$C$1000, A132), "")</f>
        <v>100</v>
      </c>
      <c r="K132" s="6" t="str">
        <f>IFERROR(INDEX('Base Exámenes'!$H$5:$H$1000, MATCH(A132&amp;"|"&amp;J132, 'Base Exámenes'!$I$5:$I$1000, 0)), "anonymous")</f>
        <v>anonymous</v>
      </c>
      <c r="L132" s="95">
        <f>COUNTIF('Base Exámenes'!$C$5:$C$1000, A132)</f>
        <v>1</v>
      </c>
    </row>
    <row r="133">
      <c r="A133" s="4" t="str">
        <f>'Base Oficial'!A133</f>
        <v>983</v>
      </c>
      <c r="B133" s="6" t="str">
        <f>'Base Oficial'!B133</f>
        <v>LILIAN LISET MAGAÑA SANTOS </v>
      </c>
      <c r="C133" s="6" t="str">
        <f>'Base Oficial'!F133</f>
        <v>OFICIALIA DE CUMPLIMIENTO</v>
      </c>
      <c r="D133" s="6" t="str">
        <f>'Base Oficial'!G133</f>
        <v>Gerencia de Oficialía de Cumplimiento</v>
      </c>
      <c r="E133" s="6" t="str">
        <f>'Base Oficial'!D133</f>
        <v>PASANTE</v>
      </c>
      <c r="F133" s="4" t="str">
        <f>IF(COUNTIFS('Base Exámenes'!$C$5:$C$1000, A133, 'Base Exámenes'!$E$5:$E$1000, "&lt;&gt;")&gt;0, "Completado", "Pendiente")</f>
        <v>Completado</v>
      </c>
      <c r="G133" s="27">
        <f>IFERROR(INDEX('Base Exámenes'!$D$5:$D$1000, MATCH(A133&amp;"|"&amp;J133, 'Base Exámenes'!$I$5:$I$1000, 0)), "")</f>
        <v>46296.491111111114</v>
      </c>
      <c r="H133" s="27">
        <f>IFERROR(INDEX('Base Exámenes'!$E$5:$E$1000, MATCH(A133&amp;"|"&amp;J133, 'Base Exámenes'!$I$5:$I$1000, 0)), "")</f>
        <v>46296.49747685185</v>
      </c>
      <c r="I133" s="26">
        <f>IFERROR(INDEX('Base Exámenes'!$F$5:$F$1000, MATCH(A133&amp;"|"&amp;J133, 'Base Exámenes'!$I$5:$I$1000, 0)), "")</f>
        <v>9.16666666666667</v>
      </c>
      <c r="J133" s="6">
        <f>IF(F133="Completado", _xlfn.MAXIFS('Base Exámenes'!$G$5:$G$1000, 'Base Exámenes'!$C$5:$C$1000, A133), "")</f>
        <v>100</v>
      </c>
      <c r="K133" s="6" t="str">
        <f>IFERROR(INDEX('Base Exámenes'!$H$5:$H$1000, MATCH(A133&amp;"|"&amp;J133, 'Base Exámenes'!$I$5:$I$1000, 0)), "anonymous")</f>
        <v>anonymous</v>
      </c>
      <c r="L133" s="95">
        <f>COUNTIF('Base Exámenes'!$C$5:$C$1000, A133)</f>
        <v>1</v>
      </c>
    </row>
    <row r="134">
      <c r="A134" s="4" t="str">
        <f>'Base Oficial'!A134</f>
        <v>984</v>
      </c>
      <c r="B134" s="6" t="str">
        <f>'Base Oficial'!B134</f>
        <v>NICO EDUARDO CIUDAD REAL MOOIJ </v>
      </c>
      <c r="C134" s="6" t="str">
        <f>'Base Oficial'!F134</f>
        <v>OFICIALIA DE CUMPLIMIENTO</v>
      </c>
      <c r="D134" s="6" t="str">
        <f>'Base Oficial'!G134</f>
        <v>Gerencia de Oficialía de Cumplimiento</v>
      </c>
      <c r="E134" s="6" t="str">
        <f>'Base Oficial'!D134</f>
        <v>PASANTE</v>
      </c>
      <c r="F134" s="4" t="str">
        <f>IF(COUNTIFS('Base Exámenes'!$C$5:$C$1000, A134, 'Base Exámenes'!$E$5:$E$1000, "&lt;&gt;")&gt;0, "Completado", "Pendiente")</f>
        <v>Completado</v>
      </c>
      <c r="G134" s="27">
        <f>IFERROR(INDEX('Base Exámenes'!$D$5:$D$1000, MATCH(A134&amp;"|"&amp;J134, 'Base Exámenes'!$I$5:$I$1000, 0)), "")</f>
        <v>46296.472233796296</v>
      </c>
      <c r="H134" s="27">
        <f>IFERROR(INDEX('Base Exámenes'!$E$5:$E$1000, MATCH(A134&amp;"|"&amp;J134, 'Base Exámenes'!$I$5:$I$1000, 0)), "")</f>
        <v>46296.48002314815</v>
      </c>
      <c r="I134" s="26">
        <f>IFERROR(INDEX('Base Exámenes'!$F$5:$F$1000, MATCH(A134&amp;"|"&amp;J134, 'Base Exámenes'!$I$5:$I$1000, 0)), "")</f>
        <v>11.2166666666667</v>
      </c>
      <c r="J134" s="6">
        <f>IF(F134="Completado", _xlfn.MAXIFS('Base Exámenes'!$G$5:$G$1000, 'Base Exámenes'!$C$5:$C$1000, A134), "")</f>
        <v>100</v>
      </c>
      <c r="K134" s="6" t="str">
        <f>IFERROR(INDEX('Base Exámenes'!$H$5:$H$1000, MATCH(A134&amp;"|"&amp;J134, 'Base Exámenes'!$I$5:$I$1000, 0)), "anonymous")</f>
        <v>anonymous</v>
      </c>
      <c r="L134" s="95">
        <f>COUNTIF('Base Exámenes'!$C$5:$C$1000, A134)</f>
        <v>1</v>
      </c>
    </row>
    <row r="135">
      <c r="A135" s="4" t="str">
        <f>'Base Oficial'!A135</f>
        <v>985</v>
      </c>
      <c r="B135" s="6" t="str">
        <f>'Base Oficial'!B135</f>
        <v>JORGE MATEO GUTIERREZ FLORES </v>
      </c>
      <c r="C135" s="6" t="str">
        <f>'Base Oficial'!F135</f>
        <v>OFICIALIA DE CUMPLIMIENTO</v>
      </c>
      <c r="D135" s="6" t="str">
        <f>'Base Oficial'!G135</f>
        <v>Gerencia de Oficialía de Cumplimiento</v>
      </c>
      <c r="E135" s="6" t="str">
        <f>'Base Oficial'!D135</f>
        <v>PASANTE</v>
      </c>
      <c r="F135" s="4" t="str">
        <f>IF(COUNTIFS('Base Exámenes'!$C$5:$C$1000, A135, 'Base Exámenes'!$E$5:$E$1000, "&lt;&gt;")&gt;0, "Completado", "Pendiente")</f>
        <v>Completado</v>
      </c>
      <c r="G135" s="27">
        <f>IFERROR(INDEX('Base Exámenes'!$D$5:$D$1000, MATCH(A135&amp;"|"&amp;J135, 'Base Exámenes'!$I$5:$I$1000, 0)), "")</f>
        <v>46296.48653935185</v>
      </c>
      <c r="H135" s="27">
        <f>IFERROR(INDEX('Base Exámenes'!$E$5:$E$1000, MATCH(A135&amp;"|"&amp;J135, 'Base Exámenes'!$I$5:$I$1000, 0)), "")</f>
        <v>46296.4949537037</v>
      </c>
      <c r="I135" s="26">
        <f>IFERROR(INDEX('Base Exámenes'!$F$5:$F$1000, MATCH(A135&amp;"|"&amp;J135, 'Base Exámenes'!$I$5:$I$1000, 0)), "")</f>
        <v>12.1166666666667</v>
      </c>
      <c r="J135" s="6">
        <f>IF(F135="Completado", _xlfn.MAXIFS('Base Exámenes'!$G$5:$G$1000, 'Base Exámenes'!$C$5:$C$1000, A135), "")</f>
        <v>100</v>
      </c>
      <c r="K135" s="6" t="str">
        <f>IFERROR(INDEX('Base Exámenes'!$H$5:$H$1000, MATCH(A135&amp;"|"&amp;J135, 'Base Exámenes'!$I$5:$I$1000, 0)), "anonymous")</f>
        <v>anonymous</v>
      </c>
      <c r="L135" s="95">
        <f>COUNTIF('Base Exámenes'!$C$5:$C$1000, A135)</f>
        <v>1</v>
      </c>
    </row>
    <row r="136">
      <c r="A136" s="4" t="str">
        <f>'Base Oficial'!A136</f>
        <v>583</v>
      </c>
      <c r="B136" s="6" t="str">
        <f>'Base Oficial'!B136</f>
        <v>HECTOR JOSE MENJIVAR SOMOZA </v>
      </c>
      <c r="C136" s="6" t="str">
        <f>'Base Oficial'!F136</f>
        <v>GERENCIA DE NEGOCIOS</v>
      </c>
      <c r="D136" s="6" t="str">
        <f>'Base Oficial'!G136</f>
        <v>Gerencia de Negocios</v>
      </c>
      <c r="E136" s="6" t="str">
        <f>'Base Oficial'!D136</f>
        <v>ANALISTA DE INTELIGENCIA DE NEGOCIOS</v>
      </c>
      <c r="F136" s="4" t="str">
        <f>IF(COUNTIFS('Base Exámenes'!$C$5:$C$1000, A136, 'Base Exámenes'!$E$5:$E$1000, "&lt;&gt;")&gt;0, "Completado", "Pendiente")</f>
        <v>Completado</v>
      </c>
      <c r="G136" s="27">
        <f>IFERROR(INDEX('Base Exámenes'!$D$5:$D$1000, MATCH(A136&amp;"|"&amp;J136, 'Base Exámenes'!$I$5:$I$1000, 0)), "")</f>
        <v>46296.483923611115</v>
      </c>
      <c r="H136" s="27">
        <f>IFERROR(INDEX('Base Exámenes'!$E$5:$E$1000, MATCH(A136&amp;"|"&amp;J136, 'Base Exámenes'!$I$5:$I$1000, 0)), "")</f>
        <v>46296.48710648148</v>
      </c>
      <c r="I136" s="26">
        <f>IFERROR(INDEX('Base Exámenes'!$F$5:$F$1000, MATCH(A136&amp;"|"&amp;J136, 'Base Exámenes'!$I$5:$I$1000, 0)), "")</f>
        <v>4.58333333333333</v>
      </c>
      <c r="J136" s="6">
        <f>IF(F136="Completado", _xlfn.MAXIFS('Base Exámenes'!$G$5:$G$1000, 'Base Exámenes'!$C$5:$C$1000, A136), "")</f>
        <v>100</v>
      </c>
      <c r="K136" s="6" t="str">
        <f>IFERROR(INDEX('Base Exámenes'!$H$5:$H$1000, MATCH(A136&amp;"|"&amp;J136, 'Base Exámenes'!$I$5:$I$1000, 0)), "anonymous")</f>
        <v>anonymous</v>
      </c>
      <c r="L136" s="95">
        <f>COUNTIF('Base Exámenes'!$C$5:$C$1000, A136)</f>
        <v>1</v>
      </c>
    </row>
    <row r="137">
      <c r="A137" s="4" t="str">
        <f>'Base Oficial'!A137</f>
        <v>633</v>
      </c>
      <c r="B137" s="6" t="str">
        <f>'Base Oficial'!B137</f>
        <v>VICTOR ADONAY PEREZ CASTILLO </v>
      </c>
      <c r="C137" s="6" t="str">
        <f>'Base Oficial'!F137</f>
        <v>GERENCIA DE NEGOCIOS</v>
      </c>
      <c r="D137" s="6" t="str">
        <f>'Base Oficial'!G137</f>
        <v>Gerencia de Negocios</v>
      </c>
      <c r="E137" s="6" t="str">
        <f>'Base Oficial'!D137</f>
        <v>ASISTENTE PARA CANALES ELECTRONICOS Y OPERACIONES EN AGENCIA</v>
      </c>
      <c r="F137" s="4" t="str">
        <f>IF(COUNTIFS('Base Exámenes'!$C$5:$C$1000, A137, 'Base Exámenes'!$E$5:$E$1000, "&lt;&gt;")&gt;0, "Completado", "Pendiente")</f>
        <v>Completado</v>
      </c>
      <c r="G137" s="27">
        <f>IFERROR(INDEX('Base Exámenes'!$D$5:$D$1000, MATCH(A137&amp;"|"&amp;J137, 'Base Exámenes'!$I$5:$I$1000, 0)), "")</f>
        <v>46296.45108796296</v>
      </c>
      <c r="H137" s="27">
        <f>IFERROR(INDEX('Base Exámenes'!$E$5:$E$1000, MATCH(A137&amp;"|"&amp;J137, 'Base Exámenes'!$I$5:$I$1000, 0)), "")</f>
        <v>46296.453680555554</v>
      </c>
      <c r="I137" s="26">
        <f>IFERROR(INDEX('Base Exámenes'!$F$5:$F$1000, MATCH(A137&amp;"|"&amp;J137, 'Base Exámenes'!$I$5:$I$1000, 0)), "")</f>
        <v>3.73333333333333</v>
      </c>
      <c r="J137" s="6">
        <f>IF(F137="Completado", _xlfn.MAXIFS('Base Exámenes'!$G$5:$G$1000, 'Base Exámenes'!$C$5:$C$1000, A137), "")</f>
        <v>100</v>
      </c>
      <c r="K137" s="6" t="str">
        <f>IFERROR(INDEX('Base Exámenes'!$H$5:$H$1000, MATCH(A137&amp;"|"&amp;J137, 'Base Exámenes'!$I$5:$I$1000, 0)), "anonymous")</f>
        <v>anonymous</v>
      </c>
      <c r="L137" s="95">
        <f>COUNTIF('Base Exámenes'!$C$5:$C$1000, A137)</f>
        <v>2</v>
      </c>
    </row>
    <row r="138">
      <c r="A138" s="4" t="str">
        <f>'Base Oficial'!A138</f>
        <v>782</v>
      </c>
      <c r="B138" s="6" t="str">
        <f>'Base Oficial'!B138</f>
        <v>WANDA ILIANA MORENO QUINTEROS</v>
      </c>
      <c r="C138" s="6" t="str">
        <f>'Base Oficial'!F138</f>
        <v>GERENCIA DE NEGOCIOS</v>
      </c>
      <c r="D138" s="6" t="str">
        <f>'Base Oficial'!G138</f>
        <v>Gerencia de Negocios</v>
      </c>
      <c r="E138" s="6" t="str">
        <f>'Base Oficial'!D138</f>
        <v>ADMINISTRADOR DE PLATAFORMAS Y TRANSFORMACION DIGITAL DE CRE</v>
      </c>
      <c r="F138" s="4" t="str">
        <f>IF(COUNTIFS('Base Exámenes'!$C$5:$C$1000, A138, 'Base Exámenes'!$E$5:$E$1000, "&lt;&gt;")&gt;0, "Completado", "Pendiente")</f>
        <v>Completado</v>
      </c>
      <c r="G138" s="27">
        <f>IFERROR(INDEX('Base Exámenes'!$D$5:$D$1000, MATCH(A138&amp;"|"&amp;J138, 'Base Exámenes'!$I$5:$I$1000, 0)), "")</f>
        <v>46301.42778935185</v>
      </c>
      <c r="H138" s="27">
        <f>IFERROR(INDEX('Base Exámenes'!$E$5:$E$1000, MATCH(A138&amp;"|"&amp;J138, 'Base Exámenes'!$I$5:$I$1000, 0)), "")</f>
        <v>46301.440300925926</v>
      </c>
      <c r="I138" s="26">
        <f>IFERROR(INDEX('Base Exámenes'!$F$5:$F$1000, MATCH(A138&amp;"|"&amp;J138, 'Base Exámenes'!$I$5:$I$1000, 0)), "")</f>
        <v>18.0166666666667</v>
      </c>
      <c r="J138" s="6">
        <f>IF(F138="Completado", _xlfn.MAXIFS('Base Exámenes'!$G$5:$G$1000, 'Base Exámenes'!$C$5:$C$1000, A138), "")</f>
        <v>100</v>
      </c>
      <c r="K138" s="6" t="str">
        <f>IFERROR(INDEX('Base Exámenes'!$H$5:$H$1000, MATCH(A138&amp;"|"&amp;J138, 'Base Exámenes'!$I$5:$I$1000, 0)), "anonymous")</f>
        <v>anonymous</v>
      </c>
      <c r="L138" s="95">
        <f>COUNTIF('Base Exámenes'!$C$5:$C$1000, A138)</f>
        <v>1</v>
      </c>
    </row>
    <row r="139">
      <c r="A139" s="4" t="str">
        <f>'Base Oficial'!A139</f>
        <v>166</v>
      </c>
      <c r="B139" s="6" t="str">
        <f>'Base Oficial'!B139</f>
        <v>MARIA FRANCISCA DE LA LUZ HERNANDEZ HERNANDEZ</v>
      </c>
      <c r="C139" s="6" t="str">
        <f>'Base Oficial'!F139</f>
        <v>DEPARTAMENTO DE ATENCION A ASOCIADO Y CLIENTE</v>
      </c>
      <c r="D139" s="6" t="str">
        <f>'Base Oficial'!G139</f>
        <v>Gerencia de Negocios</v>
      </c>
      <c r="E139" s="6" t="str">
        <f>'Base Oficial'!D139</f>
        <v>JEFE DE ATENCION A  ASOCIADOS Y CLIENTES</v>
      </c>
      <c r="F139" s="4" t="str">
        <f>IF(COUNTIFS('Base Exámenes'!$C$5:$C$1000, A139, 'Base Exámenes'!$E$5:$E$1000, "&lt;&gt;")&gt;0, "Completado", "Pendiente")</f>
        <v>Completado</v>
      </c>
      <c r="G139" s="27">
        <f>IFERROR(INDEX('Base Exámenes'!$D$5:$D$1000, MATCH(A139&amp;"|"&amp;J139, 'Base Exámenes'!$I$5:$I$1000, 0)), "")</f>
        <v>46301.48449074074</v>
      </c>
      <c r="H139" s="27">
        <f>IFERROR(INDEX('Base Exámenes'!$E$5:$E$1000, MATCH(A139&amp;"|"&amp;J139, 'Base Exámenes'!$I$5:$I$1000, 0)), "")</f>
        <v>46301.489282407405</v>
      </c>
      <c r="I139" s="26">
        <f>IFERROR(INDEX('Base Exámenes'!$F$5:$F$1000, MATCH(A139&amp;"|"&amp;J139, 'Base Exámenes'!$I$5:$I$1000, 0)), "")</f>
        <v>6.9</v>
      </c>
      <c r="J139" s="6">
        <f>IF(F139="Completado", _xlfn.MAXIFS('Base Exámenes'!$G$5:$G$1000, 'Base Exámenes'!$C$5:$C$1000, A139), "")</f>
        <v>100</v>
      </c>
      <c r="K139" s="6" t="str">
        <f>IFERROR(INDEX('Base Exámenes'!$H$5:$H$1000, MATCH(A139&amp;"|"&amp;J139, 'Base Exámenes'!$I$5:$I$1000, 0)), "anonymous")</f>
        <v>anonymous</v>
      </c>
      <c r="L139" s="95">
        <f>COUNTIF('Base Exámenes'!$C$5:$C$1000, A139)</f>
        <v>1</v>
      </c>
    </row>
    <row r="140">
      <c r="A140" s="4" t="str">
        <f>'Base Oficial'!A140</f>
        <v>712</v>
      </c>
      <c r="B140" s="6" t="str">
        <f>'Base Oficial'!B140</f>
        <v>EDGARDO ISAIAS PEÑATE RIVAS </v>
      </c>
      <c r="C140" s="6" t="str">
        <f>'Base Oficial'!F140</f>
        <v>DEPARTAMENTO DE ATENCION A ASOCIADO Y CLIENTE</v>
      </c>
      <c r="D140" s="6" t="str">
        <f>'Base Oficial'!G140</f>
        <v>Gerencia de Negocios</v>
      </c>
      <c r="E140" s="6" t="str">
        <f>'Base Oficial'!D140</f>
        <v>ASISTENTE TECNICO DEL FONDO DE SOLIDARIDAD</v>
      </c>
      <c r="F140" s="4" t="str">
        <f>IF(COUNTIFS('Base Exámenes'!$C$5:$C$1000, A140, 'Base Exámenes'!$E$5:$E$1000, "&lt;&gt;")&gt;0, "Completado", "Pendiente")</f>
        <v>Completado</v>
      </c>
      <c r="G140" s="27">
        <f>IFERROR(INDEX('Base Exámenes'!$D$5:$D$1000, MATCH(A140&amp;"|"&amp;J140, 'Base Exámenes'!$I$5:$I$1000, 0)), "")</f>
        <v>46304.373090277775</v>
      </c>
      <c r="H140" s="27">
        <f>IFERROR(INDEX('Base Exámenes'!$E$5:$E$1000, MATCH(A140&amp;"|"&amp;J140, 'Base Exámenes'!$I$5:$I$1000, 0)), "")</f>
        <v>46304.37650462963</v>
      </c>
      <c r="I140" s="26">
        <f>IFERROR(INDEX('Base Exámenes'!$F$5:$F$1000, MATCH(A140&amp;"|"&amp;J140, 'Base Exámenes'!$I$5:$I$1000, 0)), "")</f>
        <v>4.91666666666667</v>
      </c>
      <c r="J140" s="6">
        <f>IF(F140="Completado", _xlfn.MAXIFS('Base Exámenes'!$G$5:$G$1000, 'Base Exámenes'!$C$5:$C$1000, A140), "")</f>
        <v>100</v>
      </c>
      <c r="K140" s="6" t="str">
        <f>IFERROR(INDEX('Base Exámenes'!$H$5:$H$1000, MATCH(A140&amp;"|"&amp;J140, 'Base Exámenes'!$I$5:$I$1000, 0)), "anonymous")</f>
        <v>anonymous</v>
      </c>
      <c r="L140" s="95">
        <f>COUNTIF('Base Exámenes'!$C$5:$C$1000, A140)</f>
        <v>1</v>
      </c>
    </row>
    <row r="141">
      <c r="A141" s="4" t="str">
        <f>'Base Oficial'!A141</f>
        <v>744</v>
      </c>
      <c r="B141" s="6" t="str">
        <f>'Base Oficial'!B141</f>
        <v>KARLA PATRICIA  ROBLES  CORTEZ</v>
      </c>
      <c r="C141" s="6" t="str">
        <f>'Base Oficial'!F141</f>
        <v>DEPARTAMENTO DE ATENCION A ASOCIADO Y CLIENTE</v>
      </c>
      <c r="D141" s="6" t="str">
        <f>'Base Oficial'!G141</f>
        <v>Gerencia de Negocios</v>
      </c>
      <c r="E141" s="6" t="str">
        <f>'Base Oficial'!D141</f>
        <v>ASISTENTE TECNICO DE AFILIACION</v>
      </c>
      <c r="F141" s="4" t="str">
        <f>IF(COUNTIFS('Base Exámenes'!$C$5:$C$1000, A141, 'Base Exámenes'!$E$5:$E$1000, "&lt;&gt;")&gt;0, "Completado", "Pendiente")</f>
        <v>Completado</v>
      </c>
      <c r="G141" s="27">
        <f>IFERROR(INDEX('Base Exámenes'!$D$5:$D$1000, MATCH(A141&amp;"|"&amp;J141, 'Base Exámenes'!$I$5:$I$1000, 0)), "")</f>
        <v>46308.617418981485</v>
      </c>
      <c r="H141" s="27">
        <f>IFERROR(INDEX('Base Exámenes'!$E$5:$E$1000, MATCH(A141&amp;"|"&amp;J141, 'Base Exámenes'!$I$5:$I$1000, 0)), "")</f>
        <v>46308.622615740744</v>
      </c>
      <c r="I141" s="26">
        <f>IFERROR(INDEX('Base Exámenes'!$F$5:$F$1000, MATCH(A141&amp;"|"&amp;J141, 'Base Exámenes'!$I$5:$I$1000, 0)), "")</f>
        <v>7.48333333333333</v>
      </c>
      <c r="J141" s="6">
        <f>IF(F141="Completado", _xlfn.MAXIFS('Base Exámenes'!$G$5:$G$1000, 'Base Exámenes'!$C$5:$C$1000, A141), "")</f>
        <v>90</v>
      </c>
      <c r="K141" s="6" t="str">
        <f>IFERROR(INDEX('Base Exámenes'!$H$5:$H$1000, MATCH(A141&amp;"|"&amp;J141, 'Base Exámenes'!$I$5:$I$1000, 0)), "anonymous")</f>
        <v>anonymous</v>
      </c>
      <c r="L141" s="95">
        <f>COUNTIF('Base Exámenes'!$C$5:$C$1000, A141)</f>
        <v>1</v>
      </c>
    </row>
    <row r="142">
      <c r="A142" s="4" t="str">
        <f>'Base Oficial'!A142</f>
        <v>887</v>
      </c>
      <c r="B142" s="6" t="str">
        <f>'Base Oficial'!B142</f>
        <v>EMERSON ULISES BELTRAN CORTEZ </v>
      </c>
      <c r="C142" s="6" t="str">
        <f>'Base Oficial'!F142</f>
        <v>DEPARTAMENTO DE ATENCION A ASOCIADO Y CLIENTE</v>
      </c>
      <c r="D142" s="6" t="str">
        <f>'Base Oficial'!G142</f>
        <v>Gerencia de Negocios</v>
      </c>
      <c r="E142" s="6" t="str">
        <f>'Base Oficial'!D142</f>
        <v>AUXILIAR DE ATENCION A  ASOCIADOS</v>
      </c>
      <c r="F142" s="4" t="str">
        <f>IF(COUNTIFS('Base Exámenes'!$C$5:$C$1000, A142, 'Base Exámenes'!$E$5:$E$1000, "&lt;&gt;")&gt;0, "Completado", "Pendiente")</f>
        <v>Completado</v>
      </c>
      <c r="G142" s="27">
        <f>IFERROR(INDEX('Base Exámenes'!$D$5:$D$1000, MATCH(A142&amp;"|"&amp;J142, 'Base Exámenes'!$I$5:$I$1000, 0)), "")</f>
        <v>46308.63217592592</v>
      </c>
      <c r="H142" s="27">
        <f>IFERROR(INDEX('Base Exámenes'!$E$5:$E$1000, MATCH(A142&amp;"|"&amp;J142, 'Base Exámenes'!$I$5:$I$1000, 0)), "")</f>
        <v>46308.64163194445</v>
      </c>
      <c r="I142" s="26">
        <f>IFERROR(INDEX('Base Exámenes'!$F$5:$F$1000, MATCH(A142&amp;"|"&amp;J142, 'Base Exámenes'!$I$5:$I$1000, 0)), "")</f>
        <v>13.6166666666667</v>
      </c>
      <c r="J142" s="6">
        <f>IF(F142="Completado", _xlfn.MAXIFS('Base Exámenes'!$G$5:$G$1000, 'Base Exámenes'!$C$5:$C$1000, A142), "")</f>
        <v>100</v>
      </c>
      <c r="K142" s="6" t="str">
        <f>IFERROR(INDEX('Base Exámenes'!$H$5:$H$1000, MATCH(A142&amp;"|"&amp;J142, 'Base Exámenes'!$I$5:$I$1000, 0)), "anonymous")</f>
        <v>anonymous</v>
      </c>
      <c r="L142" s="95">
        <f>COUNTIF('Base Exámenes'!$C$5:$C$1000, A142)</f>
        <v>1</v>
      </c>
    </row>
    <row r="143">
      <c r="A143" s="4" t="str">
        <f>'Base Oficial'!A143</f>
        <v>945</v>
      </c>
      <c r="B143" s="6" t="str">
        <f>'Base Oficial'!B143</f>
        <v>FABIOLA ELIZABETH TICAS GOMEZ  </v>
      </c>
      <c r="C143" s="6" t="str">
        <f>'Base Oficial'!F143</f>
        <v>DEPARTAMENTO DE ATENCION A ASOCIADO Y CLIENTE</v>
      </c>
      <c r="D143" s="6" t="str">
        <f>'Base Oficial'!G143</f>
        <v>Gerencia de Negocios</v>
      </c>
      <c r="E143" s="6" t="str">
        <f>'Base Oficial'!D143</f>
        <v>RECEPCIONISTA</v>
      </c>
      <c r="F143" s="4" t="str">
        <f>IF(COUNTIFS('Base Exámenes'!$C$5:$C$1000, A143, 'Base Exámenes'!$E$5:$E$1000, "&lt;&gt;")&gt;0, "Completado", "Pendiente")</f>
        <v>Completado</v>
      </c>
      <c r="G143" s="27">
        <f>IFERROR(INDEX('Base Exámenes'!$D$5:$D$1000, MATCH(A143&amp;"|"&amp;J143, 'Base Exámenes'!$I$5:$I$1000, 0)), "")</f>
        <v>46309.407326388886</v>
      </c>
      <c r="H143" s="27">
        <f>IFERROR(INDEX('Base Exámenes'!$E$5:$E$1000, MATCH(A143&amp;"|"&amp;J143, 'Base Exámenes'!$I$5:$I$1000, 0)), "")</f>
        <v>46309.409166666665</v>
      </c>
      <c r="I143" s="26">
        <f>IFERROR(INDEX('Base Exámenes'!$F$5:$F$1000, MATCH(A143&amp;"|"&amp;J143, 'Base Exámenes'!$I$5:$I$1000, 0)), "")</f>
        <v>2.64999998033333</v>
      </c>
      <c r="J143" s="6">
        <f>IF(F143="Completado", _xlfn.MAXIFS('Base Exámenes'!$G$5:$G$1000, 'Base Exámenes'!$C$5:$C$1000, A143), "")</f>
        <v>100</v>
      </c>
      <c r="K143" s="6" t="str">
        <f>IFERROR(INDEX('Base Exámenes'!$H$5:$H$1000, MATCH(A143&amp;"|"&amp;J143, 'Base Exámenes'!$I$5:$I$1000, 0)), "anonymous")</f>
        <v>anonymous</v>
      </c>
      <c r="L143" s="95">
        <f>COUNTIF('Base Exámenes'!$C$5:$C$1000, A143)</f>
        <v>1</v>
      </c>
    </row>
    <row r="144">
      <c r="A144" s="4" t="str">
        <f>'Base Oficial'!A144</f>
        <v>981</v>
      </c>
      <c r="B144" s="6" t="str">
        <f>'Base Oficial'!B144</f>
        <v>ALAN RODRIGO BENITEZ RODRIGUEZ </v>
      </c>
      <c r="C144" s="6" t="str">
        <f>'Base Oficial'!F144</f>
        <v>DEPARTAMENTO DE ATENCION A ASOCIADO Y CLIENTE</v>
      </c>
      <c r="D144" s="6" t="str">
        <f>'Base Oficial'!G144</f>
        <v>Gerencia de Negocios</v>
      </c>
      <c r="E144" s="6" t="str">
        <f>'Base Oficial'!D144</f>
        <v>PASANTE</v>
      </c>
      <c r="F144" s="4" t="str">
        <f>IF(COUNTIFS('Base Exámenes'!$C$5:$C$1000, A144, 'Base Exámenes'!$E$5:$E$1000, "&lt;&gt;")&gt;0, "Completado", "Pendiente")</f>
        <v>Pendiente</v>
      </c>
      <c r="G144" s="27" t="str">
        <f>IFERROR(INDEX('Base Exámenes'!$D$5:$D$1000, MATCH(A144&amp;"|"&amp;J144, 'Base Exámenes'!$I$5:$I$1000, 0)), "")</f>
        <v/>
      </c>
      <c r="H144" s="27" t="str">
        <f>IFERROR(INDEX('Base Exámenes'!$E$5:$E$1000, MATCH(A144&amp;"|"&amp;J144, 'Base Exámenes'!$I$5:$I$1000, 0)), "")</f>
        <v/>
      </c>
      <c r="I144" s="26" t="str">
        <f>IFERROR(INDEX('Base Exámenes'!$F$5:$F$1000, MATCH(A144&amp;"|"&amp;J144, 'Base Exámenes'!$I$5:$I$1000, 0)), "")</f>
        <v/>
      </c>
      <c r="J144" s="6" t="str">
        <f>IF(F144="Completado", _xlfn.MAXIFS('Base Exámenes'!$G$5:$G$1000, 'Base Exámenes'!$C$5:$C$1000, A144), "")</f>
        <v/>
      </c>
      <c r="K144" s="6" t="str">
        <f>IFERROR(INDEX('Base Exámenes'!$H$5:$H$1000, MATCH(A144&amp;"|"&amp;J144, 'Base Exámenes'!$I$5:$I$1000, 0)), "anonymous")</f>
        <v>anonymous</v>
      </c>
      <c r="L144" s="95">
        <f>COUNTIF('Base Exámenes'!$C$5:$C$1000, A144)</f>
        <v>0</v>
      </c>
    </row>
    <row r="145">
      <c r="A145" s="4" t="str">
        <f>'Base Oficial'!A145</f>
        <v>219</v>
      </c>
      <c r="B145" s="6" t="str">
        <f>'Base Oficial'!B145</f>
        <v>IVONNE LISSETH DE JESUS RODRIGUEZ   FLORES</v>
      </c>
      <c r="C145" s="6" t="str">
        <f>'Base Oficial'!F145</f>
        <v>DEPARTAMENTO DE MERCADEO </v>
      </c>
      <c r="D145" s="6" t="str">
        <f>'Base Oficial'!G145</f>
        <v>Gerencia de Negocios</v>
      </c>
      <c r="E145" s="6" t="str">
        <f>'Base Oficial'!D145</f>
        <v>ASISTENTE TELEMARKETING</v>
      </c>
      <c r="F145" s="4" t="str">
        <f>IF(COUNTIFS('Base Exámenes'!$C$5:$C$1000, A145, 'Base Exámenes'!$E$5:$E$1000, "&lt;&gt;")&gt;0, "Completado", "Pendiente")</f>
        <v>Completado</v>
      </c>
      <c r="G145" s="27">
        <f>IFERROR(INDEX('Base Exámenes'!$D$5:$D$1000, MATCH(A145&amp;"|"&amp;J145, 'Base Exámenes'!$I$5:$I$1000, 0)), "")</f>
        <v>46308.38597222222</v>
      </c>
      <c r="H145" s="27">
        <f>IFERROR(INDEX('Base Exámenes'!$E$5:$E$1000, MATCH(A145&amp;"|"&amp;J145, 'Base Exámenes'!$I$5:$I$1000, 0)), "")</f>
        <v>46308.39677083334</v>
      </c>
      <c r="I145" s="26">
        <f>IFERROR(INDEX('Base Exámenes'!$F$5:$F$1000, MATCH(A145&amp;"|"&amp;J145, 'Base Exámenes'!$I$5:$I$1000, 0)), "")</f>
        <v>15.55</v>
      </c>
      <c r="J145" s="6">
        <f>IF(F145="Completado", _xlfn.MAXIFS('Base Exámenes'!$G$5:$G$1000, 'Base Exámenes'!$C$5:$C$1000, A145), "")</f>
        <v>95</v>
      </c>
      <c r="K145" s="6" t="str">
        <f>IFERROR(INDEX('Base Exámenes'!$H$5:$H$1000, MATCH(A145&amp;"|"&amp;J145, 'Base Exámenes'!$I$5:$I$1000, 0)), "anonymous")</f>
        <v>anonymous</v>
      </c>
      <c r="L145" s="95">
        <f>COUNTIF('Base Exámenes'!$C$5:$C$1000, A145)</f>
        <v>1</v>
      </c>
    </row>
    <row r="146">
      <c r="A146" s="4" t="str">
        <f>'Base Oficial'!A146</f>
        <v>361</v>
      </c>
      <c r="B146" s="6" t="str">
        <f>'Base Oficial'!B146</f>
        <v>JOSE CARLOS IRENEO HERNANDEZ RODRIGUEZ </v>
      </c>
      <c r="C146" s="6" t="str">
        <f>'Base Oficial'!F146</f>
        <v>DEPARTAMENTO DE MERCADEO </v>
      </c>
      <c r="D146" s="6" t="str">
        <f>'Base Oficial'!G146</f>
        <v>Gerencia de Negocios</v>
      </c>
      <c r="E146" s="6" t="str">
        <f>'Base Oficial'!D146</f>
        <v>ASISTENTE TECNICO DE MERCADEO</v>
      </c>
      <c r="F146" s="4" t="str">
        <f>IF(COUNTIFS('Base Exámenes'!$C$5:$C$1000, A146, 'Base Exámenes'!$E$5:$E$1000, "&lt;&gt;")&gt;0, "Completado", "Pendiente")</f>
        <v>Pendiente</v>
      </c>
      <c r="G146" s="27" t="str">
        <f>IFERROR(INDEX('Base Exámenes'!$D$5:$D$1000, MATCH(A146&amp;"|"&amp;J146, 'Base Exámenes'!$I$5:$I$1000, 0)), "")</f>
        <v/>
      </c>
      <c r="H146" s="27" t="str">
        <f>IFERROR(INDEX('Base Exámenes'!$E$5:$E$1000, MATCH(A146&amp;"|"&amp;J146, 'Base Exámenes'!$I$5:$I$1000, 0)), "")</f>
        <v/>
      </c>
      <c r="I146" s="26" t="str">
        <f>IFERROR(INDEX('Base Exámenes'!$F$5:$F$1000, MATCH(A146&amp;"|"&amp;J146, 'Base Exámenes'!$I$5:$I$1000, 0)), "")</f>
        <v/>
      </c>
      <c r="J146" s="6" t="str">
        <f>IF(F146="Completado", _xlfn.MAXIFS('Base Exámenes'!$G$5:$G$1000, 'Base Exámenes'!$C$5:$C$1000, A146), "")</f>
        <v/>
      </c>
      <c r="K146" s="6" t="str">
        <f>IFERROR(INDEX('Base Exámenes'!$H$5:$H$1000, MATCH(A146&amp;"|"&amp;J146, 'Base Exámenes'!$I$5:$I$1000, 0)), "anonymous")</f>
        <v>anonymous</v>
      </c>
      <c r="L146" s="95">
        <f>COUNTIF('Base Exámenes'!$C$5:$C$1000, A146)</f>
        <v>0</v>
      </c>
    </row>
    <row r="147">
      <c r="A147" s="4" t="str">
        <f>'Base Oficial'!A147</f>
        <v>591</v>
      </c>
      <c r="B147" s="6" t="str">
        <f>'Base Oficial'!B147</f>
        <v>CARMEN MARIA GUTIERREZ ESTRADA</v>
      </c>
      <c r="C147" s="6" t="str">
        <f>'Base Oficial'!F147</f>
        <v>DEPARTAMENTO DE MERCADEO </v>
      </c>
      <c r="D147" s="6" t="str">
        <f>'Base Oficial'!G147</f>
        <v>Gerencia de Negocios</v>
      </c>
      <c r="E147" s="6" t="str">
        <f>'Base Oficial'!D147</f>
        <v>JEFE DE MERCADEO</v>
      </c>
      <c r="F147" s="4" t="str">
        <f>IF(COUNTIFS('Base Exámenes'!$C$5:$C$1000, A147, 'Base Exámenes'!$E$5:$E$1000, "&lt;&gt;")&gt;0, "Completado", "Pendiente")</f>
        <v>Pendiente</v>
      </c>
      <c r="G147" s="27" t="str">
        <f>IFERROR(INDEX('Base Exámenes'!$D$5:$D$1000, MATCH(A147&amp;"|"&amp;J147, 'Base Exámenes'!$I$5:$I$1000, 0)), "")</f>
        <v/>
      </c>
      <c r="H147" s="27" t="str">
        <f>IFERROR(INDEX('Base Exámenes'!$E$5:$E$1000, MATCH(A147&amp;"|"&amp;J147, 'Base Exámenes'!$I$5:$I$1000, 0)), "")</f>
        <v/>
      </c>
      <c r="I147" s="26" t="str">
        <f>IFERROR(INDEX('Base Exámenes'!$F$5:$F$1000, MATCH(A147&amp;"|"&amp;J147, 'Base Exámenes'!$I$5:$I$1000, 0)), "")</f>
        <v/>
      </c>
      <c r="J147" s="6" t="str">
        <f>IF(F147="Completado", _xlfn.MAXIFS('Base Exámenes'!$G$5:$G$1000, 'Base Exámenes'!$C$5:$C$1000, A147), "")</f>
        <v/>
      </c>
      <c r="K147" s="6" t="str">
        <f>IFERROR(INDEX('Base Exámenes'!$H$5:$H$1000, MATCH(A147&amp;"|"&amp;J147, 'Base Exámenes'!$I$5:$I$1000, 0)), "anonymous")</f>
        <v>anonymous</v>
      </c>
      <c r="L147" s="95">
        <f>COUNTIF('Base Exámenes'!$C$5:$C$1000, A147)</f>
        <v>0</v>
      </c>
    </row>
    <row r="148">
      <c r="A148" s="4" t="str">
        <f>'Base Oficial'!A148</f>
        <v>723</v>
      </c>
      <c r="B148" s="6" t="str">
        <f>'Base Oficial'!B148</f>
        <v>LUIS FAUSTONY VASQUEZ CIENFUEGOS </v>
      </c>
      <c r="C148" s="6" t="str">
        <f>'Base Oficial'!F148</f>
        <v>DEPARTAMENTO DE MERCADEO </v>
      </c>
      <c r="D148" s="6" t="str">
        <f>'Base Oficial'!G148</f>
        <v>Gerencia de Negocios</v>
      </c>
      <c r="E148" s="6" t="str">
        <f>'Base Oficial'!D148</f>
        <v>GESTOR DE DOCUMENTOS</v>
      </c>
      <c r="F148" s="4" t="str">
        <f>IF(COUNTIFS('Base Exámenes'!$C$5:$C$1000, A148, 'Base Exámenes'!$E$5:$E$1000, "&lt;&gt;")&gt;0, "Completado", "Pendiente")</f>
        <v>Pendiente</v>
      </c>
      <c r="G148" s="27" t="str">
        <f>IFERROR(INDEX('Base Exámenes'!$D$5:$D$1000, MATCH(A148&amp;"|"&amp;J148, 'Base Exámenes'!$I$5:$I$1000, 0)), "")</f>
        <v/>
      </c>
      <c r="H148" s="27" t="str">
        <f>IFERROR(INDEX('Base Exámenes'!$E$5:$E$1000, MATCH(A148&amp;"|"&amp;J148, 'Base Exámenes'!$I$5:$I$1000, 0)), "")</f>
        <v/>
      </c>
      <c r="I148" s="26" t="str">
        <f>IFERROR(INDEX('Base Exámenes'!$F$5:$F$1000, MATCH(A148&amp;"|"&amp;J148, 'Base Exámenes'!$I$5:$I$1000, 0)), "")</f>
        <v/>
      </c>
      <c r="J148" s="6" t="str">
        <f>IF(F148="Completado", _xlfn.MAXIFS('Base Exámenes'!$G$5:$G$1000, 'Base Exámenes'!$C$5:$C$1000, A148), "")</f>
        <v/>
      </c>
      <c r="K148" s="6" t="str">
        <f>IFERROR(INDEX('Base Exámenes'!$H$5:$H$1000, MATCH(A148&amp;"|"&amp;J148, 'Base Exámenes'!$I$5:$I$1000, 0)), "anonymous")</f>
        <v>anonymous</v>
      </c>
      <c r="L148" s="95">
        <f>COUNTIF('Base Exámenes'!$C$5:$C$1000, A148)</f>
        <v>0</v>
      </c>
    </row>
    <row r="149">
      <c r="A149" s="4" t="str">
        <f>'Base Oficial'!A149</f>
        <v>895</v>
      </c>
      <c r="B149" s="6" t="str">
        <f>'Base Oficial'!B149</f>
        <v>MARIA ALEJANDRA BATRES ALVARADO </v>
      </c>
      <c r="C149" s="6" t="str">
        <f>'Base Oficial'!F149</f>
        <v>DEPARTAMENTO DE MERCADEO </v>
      </c>
      <c r="D149" s="6" t="str">
        <f>'Base Oficial'!G149</f>
        <v>Gerencia de Negocios</v>
      </c>
      <c r="E149" s="6" t="str">
        <f>'Base Oficial'!D149</f>
        <v>DISEÑADOR  GRAFICO</v>
      </c>
      <c r="F149" s="4" t="str">
        <f>IF(COUNTIFS('Base Exámenes'!$C$5:$C$1000, A149, 'Base Exámenes'!$E$5:$E$1000, "&lt;&gt;")&gt;0, "Completado", "Pendiente")</f>
        <v>Pendiente</v>
      </c>
      <c r="G149" s="27" t="str">
        <f>IFERROR(INDEX('Base Exámenes'!$D$5:$D$1000, MATCH(A149&amp;"|"&amp;J149, 'Base Exámenes'!$I$5:$I$1000, 0)), "")</f>
        <v/>
      </c>
      <c r="H149" s="27" t="str">
        <f>IFERROR(INDEX('Base Exámenes'!$E$5:$E$1000, MATCH(A149&amp;"|"&amp;J149, 'Base Exámenes'!$I$5:$I$1000, 0)), "")</f>
        <v/>
      </c>
      <c r="I149" s="26" t="str">
        <f>IFERROR(INDEX('Base Exámenes'!$F$5:$F$1000, MATCH(A149&amp;"|"&amp;J149, 'Base Exámenes'!$I$5:$I$1000, 0)), "")</f>
        <v/>
      </c>
      <c r="J149" s="6" t="str">
        <f>IF(F149="Completado", _xlfn.MAXIFS('Base Exámenes'!$G$5:$G$1000, 'Base Exámenes'!$C$5:$C$1000, A149), "")</f>
        <v/>
      </c>
      <c r="K149" s="6" t="str">
        <f>IFERROR(INDEX('Base Exámenes'!$H$5:$H$1000, MATCH(A149&amp;"|"&amp;J149, 'Base Exámenes'!$I$5:$I$1000, 0)), "anonymous")</f>
        <v>anonymous</v>
      </c>
      <c r="L149" s="95">
        <f>COUNTIF('Base Exámenes'!$C$5:$C$1000, A149)</f>
        <v>0</v>
      </c>
    </row>
    <row r="150">
      <c r="A150" s="4" t="str">
        <f>'Base Oficial'!A150</f>
        <v>897</v>
      </c>
      <c r="B150" s="6" t="str">
        <f>'Base Oficial'!B150</f>
        <v>GERARDO ALEXANDER  MARTINEZ RIVERA </v>
      </c>
      <c r="C150" s="6" t="str">
        <f>'Base Oficial'!F150</f>
        <v>DEPARTAMENTO DE MERCADEO </v>
      </c>
      <c r="D150" s="6" t="str">
        <f>'Base Oficial'!G150</f>
        <v>Gerencia de Negocios</v>
      </c>
      <c r="E150" s="6" t="str">
        <f>'Base Oficial'!D150</f>
        <v>ANALISTA DE COMUNICACIONES</v>
      </c>
      <c r="F150" s="4" t="str">
        <f>IF(COUNTIFS('Base Exámenes'!$C$5:$C$1000, A150, 'Base Exámenes'!$E$5:$E$1000, "&lt;&gt;")&gt;0, "Completado", "Pendiente")</f>
        <v>Pendiente</v>
      </c>
      <c r="G150" s="27" t="str">
        <f>IFERROR(INDEX('Base Exámenes'!$D$5:$D$1000, MATCH(A150&amp;"|"&amp;J150, 'Base Exámenes'!$I$5:$I$1000, 0)), "")</f>
        <v/>
      </c>
      <c r="H150" s="27" t="str">
        <f>IFERROR(INDEX('Base Exámenes'!$E$5:$E$1000, MATCH(A150&amp;"|"&amp;J150, 'Base Exámenes'!$I$5:$I$1000, 0)), "")</f>
        <v/>
      </c>
      <c r="I150" s="26" t="str">
        <f>IFERROR(INDEX('Base Exámenes'!$F$5:$F$1000, MATCH(A150&amp;"|"&amp;J150, 'Base Exámenes'!$I$5:$I$1000, 0)), "")</f>
        <v/>
      </c>
      <c r="J150" s="6" t="str">
        <f>IF(F150="Completado", _xlfn.MAXIFS('Base Exámenes'!$G$5:$G$1000, 'Base Exámenes'!$C$5:$C$1000, A150), "")</f>
        <v/>
      </c>
      <c r="K150" s="6" t="str">
        <f>IFERROR(INDEX('Base Exámenes'!$H$5:$H$1000, MATCH(A150&amp;"|"&amp;J150, 'Base Exámenes'!$I$5:$I$1000, 0)), "anonymous")</f>
        <v>anonymous</v>
      </c>
      <c r="L150" s="95">
        <f>COUNTIF('Base Exámenes'!$C$5:$C$1000, A150)</f>
        <v>0</v>
      </c>
    </row>
    <row r="151">
      <c r="A151" s="4" t="str">
        <f>'Base Oficial'!A151</f>
        <v>982</v>
      </c>
      <c r="B151" s="6" t="str">
        <f>'Base Oficial'!B151</f>
        <v>ALEJANDRA ABIGAIL RAMIREZ ROMERO </v>
      </c>
      <c r="C151" s="6" t="str">
        <f>'Base Oficial'!F151</f>
        <v>DEPARTAMENTO DE MERCADEO </v>
      </c>
      <c r="D151" s="6" t="str">
        <f>'Base Oficial'!G151</f>
        <v>Gerencia de Negocios</v>
      </c>
      <c r="E151" s="6" t="str">
        <f>'Base Oficial'!D151</f>
        <v>DISEÑADOR  GRAFICO</v>
      </c>
      <c r="F151" s="4" t="str">
        <f>IF(COUNTIFS('Base Exámenes'!$C$5:$C$1000, A151, 'Base Exámenes'!$E$5:$E$1000, "&lt;&gt;")&gt;0, "Completado", "Pendiente")</f>
        <v>Completado</v>
      </c>
      <c r="G151" s="27">
        <f>IFERROR(INDEX('Base Exámenes'!$D$5:$D$1000, MATCH(A151&amp;"|"&amp;J151, 'Base Exámenes'!$I$5:$I$1000, 0)), "")</f>
        <v>46301.61615740741</v>
      </c>
      <c r="H151" s="27">
        <f>IFERROR(INDEX('Base Exámenes'!$E$5:$E$1000, MATCH(A151&amp;"|"&amp;J151, 'Base Exámenes'!$I$5:$I$1000, 0)), "")</f>
        <v>46301.64126157408</v>
      </c>
      <c r="I151" s="26">
        <f>IFERROR(INDEX('Base Exámenes'!$F$5:$F$1000, MATCH(A151&amp;"|"&amp;J151, 'Base Exámenes'!$I$5:$I$1000, 0)), "")</f>
        <v>36.15</v>
      </c>
      <c r="J151" s="6">
        <f>IF(F151="Completado", _xlfn.MAXIFS('Base Exámenes'!$G$5:$G$1000, 'Base Exámenes'!$C$5:$C$1000, A151), "")</f>
        <v>100</v>
      </c>
      <c r="K151" s="6" t="str">
        <f>IFERROR(INDEX('Base Exámenes'!$H$5:$H$1000, MATCH(A151&amp;"|"&amp;J151, 'Base Exámenes'!$I$5:$I$1000, 0)), "anonymous")</f>
        <v>anonymous</v>
      </c>
      <c r="L151" s="95">
        <f>COUNTIF('Base Exámenes'!$C$5:$C$1000, A151)</f>
        <v>1</v>
      </c>
    </row>
    <row r="152">
      <c r="A152" s="4" t="str">
        <f>'Base Oficial'!A152</f>
        <v>207</v>
      </c>
      <c r="B152" s="6" t="str">
        <f>'Base Oficial'!B152</f>
        <v>ANA ESTER ERAZO ORTIZ</v>
      </c>
      <c r="C152" s="6" t="str">
        <f>'Base Oficial'!F152</f>
        <v>DEPARTAMENTO DE CREDITOS </v>
      </c>
      <c r="D152" s="6" t="str">
        <f>'Base Oficial'!G152</f>
        <v>Gerencia de Negocios</v>
      </c>
      <c r="E152" s="6" t="str">
        <f>'Base Oficial'!D152</f>
        <v>ANALISTA DE CREDITOS</v>
      </c>
      <c r="F152" s="4" t="str">
        <f>IF(COUNTIFS('Base Exámenes'!$C$5:$C$1000, A152, 'Base Exámenes'!$E$5:$E$1000, "&lt;&gt;")&gt;0, "Completado", "Pendiente")</f>
        <v>Completado</v>
      </c>
      <c r="G152" s="27">
        <f>IFERROR(INDEX('Base Exámenes'!$D$5:$D$1000, MATCH(A152&amp;"|"&amp;J152, 'Base Exámenes'!$I$5:$I$1000, 0)), "")</f>
        <v>46309.3940162037</v>
      </c>
      <c r="H152" s="27">
        <f>IFERROR(INDEX('Base Exámenes'!$E$5:$E$1000, MATCH(A152&amp;"|"&amp;J152, 'Base Exámenes'!$I$5:$I$1000, 0)), "")</f>
        <v>46309.40052083333</v>
      </c>
      <c r="I152" s="26">
        <f>IFERROR(INDEX('Base Exámenes'!$F$5:$F$1000, MATCH(A152&amp;"|"&amp;J152, 'Base Exámenes'!$I$5:$I$1000, 0)), "")</f>
        <v>9.36666666666667</v>
      </c>
      <c r="J152" s="6">
        <f>IF(F152="Completado", _xlfn.MAXIFS('Base Exámenes'!$G$5:$G$1000, 'Base Exámenes'!$C$5:$C$1000, A152), "")</f>
        <v>100</v>
      </c>
      <c r="K152" s="6" t="str">
        <f>IFERROR(INDEX('Base Exámenes'!$H$5:$H$1000, MATCH(A152&amp;"|"&amp;J152, 'Base Exámenes'!$I$5:$I$1000, 0)), "anonymous")</f>
        <v>anonymous</v>
      </c>
      <c r="L152" s="95">
        <f>COUNTIF('Base Exámenes'!$C$5:$C$1000, A152)</f>
        <v>1</v>
      </c>
    </row>
    <row r="153">
      <c r="A153" s="4" t="str">
        <f>'Base Oficial'!A153</f>
        <v>345</v>
      </c>
      <c r="B153" s="6" t="str">
        <f>'Base Oficial'!B153</f>
        <v>ANA EVELYN ROQUE GALEANO</v>
      </c>
      <c r="C153" s="6" t="str">
        <f>'Base Oficial'!F153</f>
        <v>DEPARTAMENTO DE CREDITOS </v>
      </c>
      <c r="D153" s="6" t="str">
        <f>'Base Oficial'!G153</f>
        <v>Gerencia de Negocios</v>
      </c>
      <c r="E153" s="6" t="str">
        <f>'Base Oficial'!D153</f>
        <v>AUXILIAR  DE CREDITOS</v>
      </c>
      <c r="F153" s="4" t="str">
        <f>IF(COUNTIFS('Base Exámenes'!$C$5:$C$1000, A153, 'Base Exámenes'!$E$5:$E$1000, "&lt;&gt;")&gt;0, "Completado", "Pendiente")</f>
        <v>Completado</v>
      </c>
      <c r="G153" s="27">
        <f>IFERROR(INDEX('Base Exámenes'!$D$5:$D$1000, MATCH(A153&amp;"|"&amp;J153, 'Base Exámenes'!$I$5:$I$1000, 0)), "")</f>
        <v>46297.64716435185</v>
      </c>
      <c r="H153" s="27">
        <f>IFERROR(INDEX('Base Exámenes'!$E$5:$E$1000, MATCH(A153&amp;"|"&amp;J153, 'Base Exámenes'!$I$5:$I$1000, 0)), "")</f>
        <v>46297.65186342593</v>
      </c>
      <c r="I153" s="26">
        <f>IFERROR(INDEX('Base Exámenes'!$F$5:$F$1000, MATCH(A153&amp;"|"&amp;J153, 'Base Exámenes'!$I$5:$I$1000, 0)), "")</f>
        <v>6.76666666666667</v>
      </c>
      <c r="J153" s="6">
        <f>IF(F153="Completado", _xlfn.MAXIFS('Base Exámenes'!$G$5:$G$1000, 'Base Exámenes'!$C$5:$C$1000, A153), "")</f>
        <v>90</v>
      </c>
      <c r="K153" s="6" t="str">
        <f>IFERROR(INDEX('Base Exámenes'!$H$5:$H$1000, MATCH(A153&amp;"|"&amp;J153, 'Base Exámenes'!$I$5:$I$1000, 0)), "anonymous")</f>
        <v>anonymous</v>
      </c>
      <c r="L153" s="95">
        <f>COUNTIF('Base Exámenes'!$C$5:$C$1000, A153)</f>
        <v>1</v>
      </c>
    </row>
    <row r="154">
      <c r="A154" s="4" t="str">
        <f>'Base Oficial'!A154</f>
        <v>377</v>
      </c>
      <c r="B154" s="6" t="str">
        <f>'Base Oficial'!B154</f>
        <v>MABEL GERALDINE RAMIREZ PORTILLO</v>
      </c>
      <c r="C154" s="6" t="str">
        <f>'Base Oficial'!F154</f>
        <v>DEPARTAMENTO DE CREDITOS </v>
      </c>
      <c r="D154" s="6" t="str">
        <f>'Base Oficial'!G154</f>
        <v>Gerencia de Negocios</v>
      </c>
      <c r="E154" s="6" t="str">
        <f>'Base Oficial'!D154</f>
        <v>SUPERVISOR DE ANALISTAS DE CREDITOS</v>
      </c>
      <c r="F154" s="4" t="str">
        <f>IF(COUNTIFS('Base Exámenes'!$C$5:$C$1000, A154, 'Base Exámenes'!$E$5:$E$1000, "&lt;&gt;")&gt;0, "Completado", "Pendiente")</f>
        <v>Completado</v>
      </c>
      <c r="G154" s="27">
        <f>IFERROR(INDEX('Base Exámenes'!$D$5:$D$1000, MATCH(A154&amp;"|"&amp;J154, 'Base Exámenes'!$I$5:$I$1000, 0)), "")</f>
        <v>46308.564571759256</v>
      </c>
      <c r="H154" s="27">
        <f>IFERROR(INDEX('Base Exámenes'!$E$5:$E$1000, MATCH(A154&amp;"|"&amp;J154, 'Base Exámenes'!$I$5:$I$1000, 0)), "")</f>
        <v>46308.57119212963</v>
      </c>
      <c r="I154" s="26">
        <f>IFERROR(INDEX('Base Exámenes'!$F$5:$F$1000, MATCH(A154&amp;"|"&amp;J154, 'Base Exámenes'!$I$5:$I$1000, 0)), "")</f>
        <v>9.53333333333333</v>
      </c>
      <c r="J154" s="6">
        <f>IF(F154="Completado", _xlfn.MAXIFS('Base Exámenes'!$G$5:$G$1000, 'Base Exámenes'!$C$5:$C$1000, A154), "")</f>
        <v>100</v>
      </c>
      <c r="K154" s="6" t="str">
        <f>IFERROR(INDEX('Base Exámenes'!$H$5:$H$1000, MATCH(A154&amp;"|"&amp;J154, 'Base Exámenes'!$I$5:$I$1000, 0)), "anonymous")</f>
        <v>anonymous</v>
      </c>
      <c r="L154" s="95">
        <f>COUNTIF('Base Exámenes'!$C$5:$C$1000, A154)</f>
        <v>1</v>
      </c>
    </row>
    <row r="155">
      <c r="A155" s="4" t="str">
        <f>'Base Oficial'!A155</f>
        <v>470</v>
      </c>
      <c r="B155" s="6" t="str">
        <f>'Base Oficial'!B155</f>
        <v>ROSALBA RODRIGUEZ JIMENEZ </v>
      </c>
      <c r="C155" s="6" t="str">
        <f>'Base Oficial'!F155</f>
        <v>DEPARTAMENTO DE CREDITOS </v>
      </c>
      <c r="D155" s="6" t="str">
        <f>'Base Oficial'!G155</f>
        <v>Gerencia de Negocios</v>
      </c>
      <c r="E155" s="6" t="str">
        <f>'Base Oficial'!D155</f>
        <v>ANALISTA DE CREDITOS</v>
      </c>
      <c r="F155" s="4" t="str">
        <f>IF(COUNTIFS('Base Exámenes'!$C$5:$C$1000, A155, 'Base Exámenes'!$E$5:$E$1000, "&lt;&gt;")&gt;0, "Completado", "Pendiente")</f>
        <v>Completado</v>
      </c>
      <c r="G155" s="27">
        <f>IFERROR(INDEX('Base Exámenes'!$D$5:$D$1000, MATCH(A155&amp;"|"&amp;J155, 'Base Exámenes'!$I$5:$I$1000, 0)), "")</f>
        <v>46304.40576388889</v>
      </c>
      <c r="H155" s="27">
        <f>IFERROR(INDEX('Base Exámenes'!$E$5:$E$1000, MATCH(A155&amp;"|"&amp;J155, 'Base Exámenes'!$I$5:$I$1000, 0)), "")</f>
        <v>46304.409317129626</v>
      </c>
      <c r="I155" s="26">
        <f>IFERROR(INDEX('Base Exámenes'!$F$5:$F$1000, MATCH(A155&amp;"|"&amp;J155, 'Base Exámenes'!$I$5:$I$1000, 0)), "")</f>
        <v>5.11666666666667</v>
      </c>
      <c r="J155" s="6">
        <f>IF(F155="Completado", _xlfn.MAXIFS('Base Exámenes'!$G$5:$G$1000, 'Base Exámenes'!$C$5:$C$1000, A155), "")</f>
        <v>100</v>
      </c>
      <c r="K155" s="6" t="str">
        <f>IFERROR(INDEX('Base Exámenes'!$H$5:$H$1000, MATCH(A155&amp;"|"&amp;J155, 'Base Exámenes'!$I$5:$I$1000, 0)), "anonymous")</f>
        <v>anonymous</v>
      </c>
      <c r="L155" s="95">
        <f>COUNTIF('Base Exámenes'!$C$5:$C$1000, A155)</f>
        <v>1</v>
      </c>
    </row>
    <row r="156">
      <c r="A156" s="4" t="str">
        <f>'Base Oficial'!A156</f>
        <v>492</v>
      </c>
      <c r="B156" s="6" t="str">
        <f>'Base Oficial'!B156</f>
        <v>CINDIA IVETTE ZEPEDA VASQUEZ </v>
      </c>
      <c r="C156" s="6" t="str">
        <f>'Base Oficial'!F156</f>
        <v>DEPARTAMENTO DE CREDITOS </v>
      </c>
      <c r="D156" s="6" t="str">
        <f>'Base Oficial'!G156</f>
        <v>Gerencia de Negocios</v>
      </c>
      <c r="E156" s="6" t="str">
        <f>'Base Oficial'!D156</f>
        <v>AUXILIAR  DE CREDITOS</v>
      </c>
      <c r="F156" s="4" t="str">
        <f>IF(COUNTIFS('Base Exámenes'!$C$5:$C$1000, A156, 'Base Exámenes'!$E$5:$E$1000, "&lt;&gt;")&gt;0, "Completado", "Pendiente")</f>
        <v>Completado</v>
      </c>
      <c r="G156" s="27">
        <f>IFERROR(INDEX('Base Exámenes'!$D$5:$D$1000, MATCH(A156&amp;"|"&amp;J156, 'Base Exámenes'!$I$5:$I$1000, 0)), "")</f>
        <v>46297.65282407407</v>
      </c>
      <c r="H156" s="27">
        <f>IFERROR(INDEX('Base Exámenes'!$E$5:$E$1000, MATCH(A156&amp;"|"&amp;J156, 'Base Exámenes'!$I$5:$I$1000, 0)), "")</f>
        <v>46297.66012731481</v>
      </c>
      <c r="I156" s="26">
        <f>IFERROR(INDEX('Base Exámenes'!$F$5:$F$1000, MATCH(A156&amp;"|"&amp;J156, 'Base Exámenes'!$I$5:$I$1000, 0)), "")</f>
        <v>10.5166666666667</v>
      </c>
      <c r="J156" s="6">
        <f>IF(F156="Completado", _xlfn.MAXIFS('Base Exámenes'!$G$5:$G$1000, 'Base Exámenes'!$C$5:$C$1000, A156), "")</f>
        <v>100</v>
      </c>
      <c r="K156" s="6" t="str">
        <f>IFERROR(INDEX('Base Exámenes'!$H$5:$H$1000, MATCH(A156&amp;"|"&amp;J156, 'Base Exámenes'!$I$5:$I$1000, 0)), "anonymous")</f>
        <v>anonymous</v>
      </c>
      <c r="L156" s="95">
        <f>COUNTIF('Base Exámenes'!$C$5:$C$1000, A156)</f>
        <v>1</v>
      </c>
    </row>
    <row r="157">
      <c r="A157" s="4" t="str">
        <f>'Base Oficial'!A157</f>
        <v>719</v>
      </c>
      <c r="B157" s="6" t="str">
        <f>'Base Oficial'!B157</f>
        <v>INGRID ALEJANDRINA LISSETH  GUZMAN SANCHEZ</v>
      </c>
      <c r="C157" s="6" t="str">
        <f>'Base Oficial'!F157</f>
        <v>DEPARTAMENTO DE CREDITOS </v>
      </c>
      <c r="D157" s="6" t="str">
        <f>'Base Oficial'!G157</f>
        <v>Gerencia de Negocios</v>
      </c>
      <c r="E157" s="6" t="str">
        <f>'Base Oficial'!D157</f>
        <v>AUXILIAR  DE CREDITOS</v>
      </c>
      <c r="F157" s="4" t="str">
        <f>IF(COUNTIFS('Base Exámenes'!$C$5:$C$1000, A157, 'Base Exámenes'!$E$5:$E$1000, "&lt;&gt;")&gt;0, "Completado", "Pendiente")</f>
        <v>Completado</v>
      </c>
      <c r="G157" s="27">
        <f>IFERROR(INDEX('Base Exámenes'!$D$5:$D$1000, MATCH(A157&amp;"|"&amp;J157, 'Base Exámenes'!$I$5:$I$1000, 0)), "")</f>
        <v>46298.409837962965</v>
      </c>
      <c r="H157" s="27">
        <f>IFERROR(INDEX('Base Exámenes'!$E$5:$E$1000, MATCH(A157&amp;"|"&amp;J157, 'Base Exámenes'!$I$5:$I$1000, 0)), "")</f>
        <v>46298.41878472222</v>
      </c>
      <c r="I157" s="26">
        <f>IFERROR(INDEX('Base Exámenes'!$F$5:$F$1000, MATCH(A157&amp;"|"&amp;J157, 'Base Exámenes'!$I$5:$I$1000, 0)), "")</f>
        <v>12.8833333333333</v>
      </c>
      <c r="J157" s="6">
        <f>IF(F157="Completado", _xlfn.MAXIFS('Base Exámenes'!$G$5:$G$1000, 'Base Exámenes'!$C$5:$C$1000, A157), "")</f>
        <v>100</v>
      </c>
      <c r="K157" s="6" t="str">
        <f>IFERROR(INDEX('Base Exámenes'!$H$5:$H$1000, MATCH(A157&amp;"|"&amp;J157, 'Base Exámenes'!$I$5:$I$1000, 0)), "anonymous")</f>
        <v>anonymous</v>
      </c>
      <c r="L157" s="95">
        <f>COUNTIF('Base Exámenes'!$C$5:$C$1000, A157)</f>
        <v>1</v>
      </c>
    </row>
    <row r="158">
      <c r="A158" s="4" t="str">
        <f>'Base Oficial'!A158</f>
        <v>730</v>
      </c>
      <c r="B158" s="6" t="str">
        <f>'Base Oficial'!B158</f>
        <v>YANETH  HERNANDEZ YANES </v>
      </c>
      <c r="C158" s="6" t="str">
        <f>'Base Oficial'!F158</f>
        <v>DEPARTAMENTO DE CREDITOS </v>
      </c>
      <c r="D158" s="6" t="str">
        <f>'Base Oficial'!G158</f>
        <v>Gerencia de Negocios</v>
      </c>
      <c r="E158" s="6" t="str">
        <f>'Base Oficial'!D158</f>
        <v>JEFE DE CREDITOS</v>
      </c>
      <c r="F158" s="4" t="str">
        <f>IF(COUNTIFS('Base Exámenes'!$C$5:$C$1000, A158, 'Base Exámenes'!$E$5:$E$1000, "&lt;&gt;")&gt;0, "Completado", "Pendiente")</f>
        <v>Completado</v>
      </c>
      <c r="G158" s="27">
        <f>IFERROR(INDEX('Base Exámenes'!$D$5:$D$1000, MATCH(A158&amp;"|"&amp;J158, 'Base Exámenes'!$I$5:$I$1000, 0)), "")</f>
        <v>46305.56402777778</v>
      </c>
      <c r="H158" s="27">
        <f>IFERROR(INDEX('Base Exámenes'!$E$5:$E$1000, MATCH(A158&amp;"|"&amp;J158, 'Base Exámenes'!$I$5:$I$1000, 0)), "")</f>
        <v>46305.56736111111</v>
      </c>
      <c r="I158" s="26">
        <f>IFERROR(INDEX('Base Exámenes'!$F$5:$F$1000, MATCH(A158&amp;"|"&amp;J158, 'Base Exámenes'!$I$5:$I$1000, 0)), "")</f>
        <v>4.8</v>
      </c>
      <c r="J158" s="6">
        <f>IF(F158="Completado", _xlfn.MAXIFS('Base Exámenes'!$G$5:$G$1000, 'Base Exámenes'!$C$5:$C$1000, A158), "")</f>
        <v>100</v>
      </c>
      <c r="K158" s="6" t="str">
        <f>IFERROR(INDEX('Base Exámenes'!$H$5:$H$1000, MATCH(A158&amp;"|"&amp;J158, 'Base Exámenes'!$I$5:$I$1000, 0)), "anonymous")</f>
        <v>anonymous</v>
      </c>
      <c r="L158" s="95">
        <f>COUNTIF('Base Exámenes'!$C$5:$C$1000, A158)</f>
        <v>1</v>
      </c>
    </row>
    <row r="159">
      <c r="A159" s="4" t="str">
        <f>'Base Oficial'!A159</f>
        <v>780</v>
      </c>
      <c r="B159" s="6" t="str">
        <f>'Base Oficial'!B159</f>
        <v>JUAN ANTONIO DE JESUS NUNFIO </v>
      </c>
      <c r="C159" s="6" t="str">
        <f>'Base Oficial'!F159</f>
        <v>DEPARTAMENTO DE CREDITOS </v>
      </c>
      <c r="D159" s="6" t="str">
        <f>'Base Oficial'!G159</f>
        <v>Gerencia de Negocios</v>
      </c>
      <c r="E159" s="6" t="str">
        <f>'Base Oficial'!D159</f>
        <v>ANALISTA DE CREDITOS</v>
      </c>
      <c r="F159" s="4" t="str">
        <f>IF(COUNTIFS('Base Exámenes'!$C$5:$C$1000, A159, 'Base Exámenes'!$E$5:$E$1000, "&lt;&gt;")&gt;0, "Completado", "Pendiente")</f>
        <v>Completado</v>
      </c>
      <c r="G159" s="27">
        <f>IFERROR(INDEX('Base Exámenes'!$D$5:$D$1000, MATCH(A159&amp;"|"&amp;J159, 'Base Exámenes'!$I$5:$I$1000, 0)), "")</f>
        <v>46301.65331018518</v>
      </c>
      <c r="H159" s="27">
        <f>IFERROR(INDEX('Base Exámenes'!$E$5:$E$1000, MATCH(A159&amp;"|"&amp;J159, 'Base Exámenes'!$I$5:$I$1000, 0)), "")</f>
        <v>46301.65928240741</v>
      </c>
      <c r="I159" s="26">
        <f>IFERROR(INDEX('Base Exámenes'!$F$5:$F$1000, MATCH(A159&amp;"|"&amp;J159, 'Base Exámenes'!$I$5:$I$1000, 0)), "")</f>
        <v>8.6</v>
      </c>
      <c r="J159" s="6">
        <f>IF(F159="Completado", _xlfn.MAXIFS('Base Exámenes'!$G$5:$G$1000, 'Base Exámenes'!$C$5:$C$1000, A159), "")</f>
        <v>100</v>
      </c>
      <c r="K159" s="6" t="str">
        <f>IFERROR(INDEX('Base Exámenes'!$H$5:$H$1000, MATCH(A159&amp;"|"&amp;J159, 'Base Exámenes'!$I$5:$I$1000, 0)), "anonymous")</f>
        <v>anonymous</v>
      </c>
      <c r="L159" s="95">
        <f>COUNTIF('Base Exámenes'!$C$5:$C$1000, A159)</f>
        <v>1</v>
      </c>
    </row>
    <row r="160">
      <c r="A160" s="4" t="str">
        <f>'Base Oficial'!A160</f>
        <v>781</v>
      </c>
      <c r="B160" s="6" t="str">
        <f>'Base Oficial'!B160</f>
        <v>SOFIA SOLEDAD CASTRO VALLE </v>
      </c>
      <c r="C160" s="6" t="str">
        <f>'Base Oficial'!F160</f>
        <v>DEPARTAMENTO DE CREDITOS </v>
      </c>
      <c r="D160" s="6" t="str">
        <f>'Base Oficial'!G160</f>
        <v>Gerencia de Negocios</v>
      </c>
      <c r="E160" s="6" t="str">
        <f>'Base Oficial'!D160</f>
        <v>AUXILIAR  DE CREDITOS</v>
      </c>
      <c r="F160" s="4" t="str">
        <f>IF(COUNTIFS('Base Exámenes'!$C$5:$C$1000, A160, 'Base Exámenes'!$E$5:$E$1000, "&lt;&gt;")&gt;0, "Completado", "Pendiente")</f>
        <v>Completado</v>
      </c>
      <c r="G160" s="27">
        <f>IFERROR(INDEX('Base Exámenes'!$D$5:$D$1000, MATCH(A160&amp;"|"&amp;J160, 'Base Exámenes'!$I$5:$I$1000, 0)), "")</f>
        <v>46304.42932870371</v>
      </c>
      <c r="H160" s="27">
        <f>IFERROR(INDEX('Base Exámenes'!$E$5:$E$1000, MATCH(A160&amp;"|"&amp;J160, 'Base Exámenes'!$I$5:$I$1000, 0)), "")</f>
        <v>46304.444606481484</v>
      </c>
      <c r="I160" s="26">
        <f>IFERROR(INDEX('Base Exámenes'!$F$5:$F$1000, MATCH(A160&amp;"|"&amp;J160, 'Base Exámenes'!$I$5:$I$1000, 0)), "")</f>
        <v>22</v>
      </c>
      <c r="J160" s="6">
        <f>IF(F160="Completado", _xlfn.MAXIFS('Base Exámenes'!$G$5:$G$1000, 'Base Exámenes'!$C$5:$C$1000, A160), "")</f>
        <v>90</v>
      </c>
      <c r="K160" s="6" t="str">
        <f>IFERROR(INDEX('Base Exámenes'!$H$5:$H$1000, MATCH(A160&amp;"|"&amp;J160, 'Base Exámenes'!$I$5:$I$1000, 0)), "anonymous")</f>
        <v>anonymous</v>
      </c>
      <c r="L160" s="95">
        <f>COUNTIF('Base Exámenes'!$C$5:$C$1000, A160)</f>
        <v>1</v>
      </c>
    </row>
    <row r="161">
      <c r="A161" s="4" t="str">
        <f>'Base Oficial'!A161</f>
        <v>809</v>
      </c>
      <c r="B161" s="6" t="str">
        <f>'Base Oficial'!B161</f>
        <v>KARLA VANESSA GARCIA OLIVA </v>
      </c>
      <c r="C161" s="6" t="str">
        <f>'Base Oficial'!F161</f>
        <v>DEPARTAMENTO DE CREDITOS </v>
      </c>
      <c r="D161" s="6" t="str">
        <f>'Base Oficial'!G161</f>
        <v>Gerencia de Negocios</v>
      </c>
      <c r="E161" s="6" t="str">
        <f>'Base Oficial'!D161</f>
        <v>ANALISTA DE CREDITOS</v>
      </c>
      <c r="F161" s="4" t="str">
        <f>IF(COUNTIFS('Base Exámenes'!$C$5:$C$1000, A161, 'Base Exámenes'!$E$5:$E$1000, "&lt;&gt;")&gt;0, "Completado", "Pendiente")</f>
        <v>Completado</v>
      </c>
      <c r="G161" s="27">
        <f>IFERROR(INDEX('Base Exámenes'!$D$5:$D$1000, MATCH(A161&amp;"|"&amp;J161, 'Base Exámenes'!$I$5:$I$1000, 0)), "")</f>
        <v>46307.37898148148</v>
      </c>
      <c r="H161" s="27">
        <f>IFERROR(INDEX('Base Exámenes'!$E$5:$E$1000, MATCH(A161&amp;"|"&amp;J161, 'Base Exámenes'!$I$5:$I$1000, 0)), "")</f>
        <v>46307.384097222224</v>
      </c>
      <c r="I161" s="26">
        <f>IFERROR(INDEX('Base Exámenes'!$F$5:$F$1000, MATCH(A161&amp;"|"&amp;J161, 'Base Exámenes'!$I$5:$I$1000, 0)), "")</f>
        <v>7.36666666666667</v>
      </c>
      <c r="J161" s="6">
        <f>IF(F161="Completado", _xlfn.MAXIFS('Base Exámenes'!$G$5:$G$1000, 'Base Exámenes'!$C$5:$C$1000, A161), "")</f>
        <v>100</v>
      </c>
      <c r="K161" s="6" t="str">
        <f>IFERROR(INDEX('Base Exámenes'!$H$5:$H$1000, MATCH(A161&amp;"|"&amp;J161, 'Base Exámenes'!$I$5:$I$1000, 0)), "anonymous")</f>
        <v>anonymous</v>
      </c>
      <c r="L161" s="95">
        <f>COUNTIF('Base Exámenes'!$C$5:$C$1000, A161)</f>
        <v>1</v>
      </c>
    </row>
    <row r="162">
      <c r="A162" s="4" t="str">
        <f>'Base Oficial'!A162</f>
        <v>837</v>
      </c>
      <c r="B162" s="6" t="str">
        <f>'Base Oficial'!B162</f>
        <v>DAYANA ABIGAIL CHAVEZ CORDOVA</v>
      </c>
      <c r="C162" s="6" t="str">
        <f>'Base Oficial'!F162</f>
        <v>DEPARTAMENTO DE CREDITOS </v>
      </c>
      <c r="D162" s="6" t="str">
        <f>'Base Oficial'!G162</f>
        <v>Gerencia de Negocios</v>
      </c>
      <c r="E162" s="6" t="str">
        <f>'Base Oficial'!D162</f>
        <v>GESTOR DE EXPEDIENTES</v>
      </c>
      <c r="F162" s="4" t="str">
        <f>IF(COUNTIFS('Base Exámenes'!$C$5:$C$1000, A162, 'Base Exámenes'!$E$5:$E$1000, "&lt;&gt;")&gt;0, "Completado", "Pendiente")</f>
        <v>Completado</v>
      </c>
      <c r="G162" s="27">
        <f>IFERROR(INDEX('Base Exámenes'!$D$5:$D$1000, MATCH(A162&amp;"|"&amp;J162, 'Base Exámenes'!$I$5:$I$1000, 0)), "")</f>
        <v>46302.47519675926</v>
      </c>
      <c r="H162" s="27">
        <f>IFERROR(INDEX('Base Exámenes'!$E$5:$E$1000, MATCH(A162&amp;"|"&amp;J162, 'Base Exámenes'!$I$5:$I$1000, 0)), "")</f>
        <v>46302.48523148148</v>
      </c>
      <c r="I162" s="26">
        <f>IFERROR(INDEX('Base Exámenes'!$F$5:$F$1000, MATCH(A162&amp;"|"&amp;J162, 'Base Exámenes'!$I$5:$I$1000, 0)), "")</f>
        <v>14.45</v>
      </c>
      <c r="J162" s="6">
        <f>IF(F162="Completado", _xlfn.MAXIFS('Base Exámenes'!$G$5:$G$1000, 'Base Exámenes'!$C$5:$C$1000, A162), "")</f>
        <v>100</v>
      </c>
      <c r="K162" s="6" t="str">
        <f>IFERROR(INDEX('Base Exámenes'!$H$5:$H$1000, MATCH(A162&amp;"|"&amp;J162, 'Base Exámenes'!$I$5:$I$1000, 0)), "anonymous")</f>
        <v>anonymous</v>
      </c>
      <c r="L162" s="95">
        <f>COUNTIF('Base Exámenes'!$C$5:$C$1000, A162)</f>
        <v>1</v>
      </c>
    </row>
    <row r="163">
      <c r="A163" s="4" t="str">
        <f>'Base Oficial'!A163</f>
        <v>939</v>
      </c>
      <c r="B163" s="6" t="str">
        <f>'Base Oficial'!B163</f>
        <v>MARIO LEONEL CANDRAY FLORES </v>
      </c>
      <c r="C163" s="6" t="str">
        <f>'Base Oficial'!F163</f>
        <v>DEPARTAMENTO DE CREDITOS </v>
      </c>
      <c r="D163" s="6" t="str">
        <f>'Base Oficial'!G163</f>
        <v>Gerencia de Negocios</v>
      </c>
      <c r="E163" s="6" t="str">
        <f>'Base Oficial'!D163</f>
        <v>ANALISTA DE CREDITOS</v>
      </c>
      <c r="F163" s="4" t="str">
        <f>IF(COUNTIFS('Base Exámenes'!$C$5:$C$1000, A163, 'Base Exámenes'!$E$5:$E$1000, "&lt;&gt;")&gt;0, "Completado", "Pendiente")</f>
        <v>Completado</v>
      </c>
      <c r="G163" s="27">
        <f>IFERROR(INDEX('Base Exámenes'!$D$5:$D$1000, MATCH(A163&amp;"|"&amp;J163, 'Base Exámenes'!$I$5:$I$1000, 0)), "")</f>
        <v>46307.369363425925</v>
      </c>
      <c r="H163" s="27">
        <f>IFERROR(INDEX('Base Exámenes'!$E$5:$E$1000, MATCH(A163&amp;"|"&amp;J163, 'Base Exámenes'!$I$5:$I$1000, 0)), "")</f>
        <v>46307.37395833333</v>
      </c>
      <c r="I163" s="26">
        <f>IFERROR(INDEX('Base Exámenes'!$F$5:$F$1000, MATCH(A163&amp;"|"&amp;J163, 'Base Exámenes'!$I$5:$I$1000, 0)), "")</f>
        <v>6.61666666666667</v>
      </c>
      <c r="J163" s="6">
        <f>IF(F163="Completado", _xlfn.MAXIFS('Base Exámenes'!$G$5:$G$1000, 'Base Exámenes'!$C$5:$C$1000, A163), "")</f>
        <v>100</v>
      </c>
      <c r="K163" s="6" t="str">
        <f>IFERROR(INDEX('Base Exámenes'!$H$5:$H$1000, MATCH(A163&amp;"|"&amp;J163, 'Base Exámenes'!$I$5:$I$1000, 0)), "anonymous")</f>
        <v>anonymous</v>
      </c>
      <c r="L163" s="95">
        <f>COUNTIF('Base Exámenes'!$C$5:$C$1000, A163)</f>
        <v>1</v>
      </c>
    </row>
    <row r="164">
      <c r="A164" s="4" t="str">
        <f>'Base Oficial'!A164</f>
        <v>979</v>
      </c>
      <c r="B164" s="6" t="str">
        <f>'Base Oficial'!B164</f>
        <v>MARIA LILIAN MENJIVAR GUARDADO </v>
      </c>
      <c r="C164" s="6" t="str">
        <f>'Base Oficial'!F164</f>
        <v>DEPARTAMENTO DE CREDITOS </v>
      </c>
      <c r="D164" s="6" t="str">
        <f>'Base Oficial'!G164</f>
        <v>Gerencia de Negocios</v>
      </c>
      <c r="E164" s="6" t="str">
        <f>'Base Oficial'!D164</f>
        <v>ANALISTA DE CREDITOS</v>
      </c>
      <c r="F164" s="4" t="str">
        <f>IF(COUNTIFS('Base Exámenes'!$C$5:$C$1000, A164, 'Base Exámenes'!$E$5:$E$1000, "&lt;&gt;")&gt;0, "Completado", "Pendiente")</f>
        <v>Completado</v>
      </c>
      <c r="G164" s="27">
        <f>IFERROR(INDEX('Base Exámenes'!$D$5:$D$1000, MATCH(A164&amp;"|"&amp;J164, 'Base Exámenes'!$I$5:$I$1000, 0)), "")</f>
        <v>46307.36702546296</v>
      </c>
      <c r="H164" s="27">
        <f>IFERROR(INDEX('Base Exámenes'!$E$5:$E$1000, MATCH(A164&amp;"|"&amp;J164, 'Base Exámenes'!$I$5:$I$1000, 0)), "")</f>
        <v>46307.37511574074</v>
      </c>
      <c r="I164" s="26">
        <f>IFERROR(INDEX('Base Exámenes'!$F$5:$F$1000, MATCH(A164&amp;"|"&amp;J164, 'Base Exámenes'!$I$5:$I$1000, 0)), "")</f>
        <v>11.65</v>
      </c>
      <c r="J164" s="6">
        <f>IF(F164="Completado", _xlfn.MAXIFS('Base Exámenes'!$G$5:$G$1000, 'Base Exámenes'!$C$5:$C$1000, A164), "")</f>
        <v>100</v>
      </c>
      <c r="K164" s="6" t="str">
        <f>IFERROR(INDEX('Base Exámenes'!$H$5:$H$1000, MATCH(A164&amp;"|"&amp;J164, 'Base Exámenes'!$I$5:$I$1000, 0)), "anonymous")</f>
        <v>anonymous</v>
      </c>
      <c r="L164" s="95">
        <f>COUNTIF('Base Exámenes'!$C$5:$C$1000, A164)</f>
        <v>1</v>
      </c>
    </row>
    <row r="165">
      <c r="A165" s="4" t="str">
        <f>'Base Oficial'!A165</f>
        <v>544</v>
      </c>
      <c r="B165" s="6" t="str">
        <f>'Base Oficial'!B165</f>
        <v>CLAUDIA MARISOL MADRID BARRIENTOS</v>
      </c>
      <c r="C165" s="6" t="str">
        <f>'Base Oficial'!F165</f>
        <v>DEPARTAMENTO DE SEGUROS </v>
      </c>
      <c r="D165" s="6" t="str">
        <f>'Base Oficial'!G165</f>
        <v>Gerencia de Negocios</v>
      </c>
      <c r="E165" s="6" t="str">
        <f>'Base Oficial'!D165</f>
        <v>GESTOR DE  RECLAMOS Y SUSCRIPCIONES</v>
      </c>
      <c r="F165" s="4" t="str">
        <f>IF(COUNTIFS('Base Exámenes'!$C$5:$C$1000, A165, 'Base Exámenes'!$E$5:$E$1000, "&lt;&gt;")&gt;0, "Completado", "Pendiente")</f>
        <v>Completado</v>
      </c>
      <c r="G165" s="27">
        <f>IFERROR(INDEX('Base Exámenes'!$D$5:$D$1000, MATCH(A165&amp;"|"&amp;J165, 'Base Exámenes'!$I$5:$I$1000, 0)), "")</f>
        <v>46309.42065972222</v>
      </c>
      <c r="H165" s="27">
        <f>IFERROR(INDEX('Base Exámenes'!$E$5:$E$1000, MATCH(A165&amp;"|"&amp;J165, 'Base Exámenes'!$I$5:$I$1000, 0)), "")</f>
        <v>46309.43305555556</v>
      </c>
      <c r="I165" s="26">
        <f>IFERROR(INDEX('Base Exámenes'!$F$5:$F$1000, MATCH(A165&amp;"|"&amp;J165, 'Base Exámenes'!$I$5:$I$1000, 0)), "")</f>
        <v>17.85</v>
      </c>
      <c r="J165" s="6">
        <f>IF(F165="Completado", _xlfn.MAXIFS('Base Exámenes'!$G$5:$G$1000, 'Base Exámenes'!$C$5:$C$1000, A165), "")</f>
        <v>90</v>
      </c>
      <c r="K165" s="6" t="str">
        <f>IFERROR(INDEX('Base Exámenes'!$H$5:$H$1000, MATCH(A165&amp;"|"&amp;J165, 'Base Exámenes'!$I$5:$I$1000, 0)), "anonymous")</f>
        <v>anonymous</v>
      </c>
      <c r="L165" s="95">
        <f>COUNTIF('Base Exámenes'!$C$5:$C$1000, A165)</f>
        <v>1</v>
      </c>
    </row>
    <row r="166">
      <c r="A166" s="4" t="str">
        <f>'Base Oficial'!A166</f>
        <v>589</v>
      </c>
      <c r="B166" s="6" t="str">
        <f>'Base Oficial'!B166</f>
        <v>CLELIA LIZETH ORTIZ GALDAMEZ </v>
      </c>
      <c r="C166" s="6" t="str">
        <f>'Base Oficial'!F166</f>
        <v>DEPARTAMENTO DE SEGUROS </v>
      </c>
      <c r="D166" s="6" t="str">
        <f>'Base Oficial'!G166</f>
        <v>Gerencia de Negocios</v>
      </c>
      <c r="E166" s="6" t="str">
        <f>'Base Oficial'!D166</f>
        <v>AUXILIAR DE ADMINISTRACION DE SEGUROS</v>
      </c>
      <c r="F166" s="4" t="str">
        <f>IF(COUNTIFS('Base Exámenes'!$C$5:$C$1000, A166, 'Base Exámenes'!$E$5:$E$1000, "&lt;&gt;")&gt;0, "Completado", "Pendiente")</f>
        <v>Completado</v>
      </c>
      <c r="G166" s="27">
        <f>IFERROR(INDEX('Base Exámenes'!$D$5:$D$1000, MATCH(A166&amp;"|"&amp;J166, 'Base Exámenes'!$I$5:$I$1000, 0)), "")</f>
        <v>46301.67337962963</v>
      </c>
      <c r="H166" s="27">
        <f>IFERROR(INDEX('Base Exámenes'!$E$5:$E$1000, MATCH(A166&amp;"|"&amp;J166, 'Base Exámenes'!$I$5:$I$1000, 0)), "")</f>
        <v>46301.68011574074</v>
      </c>
      <c r="I166" s="26">
        <f>IFERROR(INDEX('Base Exámenes'!$F$5:$F$1000, MATCH(A166&amp;"|"&amp;J166, 'Base Exámenes'!$I$5:$I$1000, 0)), "")</f>
        <v>9.7</v>
      </c>
      <c r="J166" s="6">
        <f>IF(F166="Completado", _xlfn.MAXIFS('Base Exámenes'!$G$5:$G$1000, 'Base Exámenes'!$C$5:$C$1000, A166), "")</f>
        <v>90</v>
      </c>
      <c r="K166" s="6" t="str">
        <f>IFERROR(INDEX('Base Exámenes'!$H$5:$H$1000, MATCH(A166&amp;"|"&amp;J166, 'Base Exámenes'!$I$5:$I$1000, 0)), "anonymous")</f>
        <v>anonymous</v>
      </c>
      <c r="L166" s="95">
        <f>COUNTIF('Base Exámenes'!$C$5:$C$1000, A166)</f>
        <v>1</v>
      </c>
    </row>
    <row r="167">
      <c r="A167" s="4" t="str">
        <f>'Base Oficial'!A167</f>
        <v>639</v>
      </c>
      <c r="B167" s="6" t="str">
        <f>'Base Oficial'!B167</f>
        <v>CARLOS ALEXANDER ROMERO ROMERO </v>
      </c>
      <c r="C167" s="6" t="str">
        <f>'Base Oficial'!F167</f>
        <v>DEPARTAMENTO DE SEGUROS </v>
      </c>
      <c r="D167" s="6" t="str">
        <f>'Base Oficial'!G167</f>
        <v>Gerencia de Negocios</v>
      </c>
      <c r="E167" s="6" t="str">
        <f>'Base Oficial'!D167</f>
        <v>GESTOR DE CARTERA DE SEGUROS</v>
      </c>
      <c r="F167" s="4" t="str">
        <f>IF(COUNTIFS('Base Exámenes'!$C$5:$C$1000, A167, 'Base Exámenes'!$E$5:$E$1000, "&lt;&gt;")&gt;0, "Completado", "Pendiente")</f>
        <v>Completado</v>
      </c>
      <c r="G167" s="27">
        <f>IFERROR(INDEX('Base Exámenes'!$D$5:$D$1000, MATCH(A167&amp;"|"&amp;J167, 'Base Exámenes'!$I$5:$I$1000, 0)), "")</f>
        <v>46305.51498842592</v>
      </c>
      <c r="H167" s="27">
        <f>IFERROR(INDEX('Base Exámenes'!$E$5:$E$1000, MATCH(A167&amp;"|"&amp;J167, 'Base Exámenes'!$I$5:$I$1000, 0)), "")</f>
        <v>46305.51787037037</v>
      </c>
      <c r="I167" s="26">
        <f>IFERROR(INDEX('Base Exámenes'!$F$5:$F$1000, MATCH(A167&amp;"|"&amp;J167, 'Base Exámenes'!$I$5:$I$1000, 0)), "")</f>
        <v>4.15</v>
      </c>
      <c r="J167" s="6">
        <f>IF(F167="Completado", _xlfn.MAXIFS('Base Exámenes'!$G$5:$G$1000, 'Base Exámenes'!$C$5:$C$1000, A167), "")</f>
        <v>100</v>
      </c>
      <c r="K167" s="6" t="str">
        <f>IFERROR(INDEX('Base Exámenes'!$H$5:$H$1000, MATCH(A167&amp;"|"&amp;J167, 'Base Exámenes'!$I$5:$I$1000, 0)), "anonymous")</f>
        <v>anonymous</v>
      </c>
      <c r="L167" s="95">
        <f>COUNTIF('Base Exámenes'!$C$5:$C$1000, A167)</f>
        <v>1</v>
      </c>
    </row>
    <row r="168">
      <c r="A168" s="4" t="str">
        <f>'Base Oficial'!A168</f>
        <v>643</v>
      </c>
      <c r="B168" s="6" t="str">
        <f>'Base Oficial'!B168</f>
        <v>LISSETTE MARICELA SANCHEZ MOLINA </v>
      </c>
      <c r="C168" s="6" t="str">
        <f>'Base Oficial'!F168</f>
        <v>DEPARTAMENTO DE SEGUROS </v>
      </c>
      <c r="D168" s="6" t="str">
        <f>'Base Oficial'!G168</f>
        <v>Gerencia de Negocios</v>
      </c>
      <c r="E168" s="6" t="str">
        <f>'Base Oficial'!D168</f>
        <v>ASISTENTE DE SEGUROS</v>
      </c>
      <c r="F168" s="4" t="str">
        <f>IF(COUNTIFS('Base Exámenes'!$C$5:$C$1000, A168, 'Base Exámenes'!$E$5:$E$1000, "&lt;&gt;")&gt;0, "Completado", "Pendiente")</f>
        <v>Completado</v>
      </c>
      <c r="G168" s="27">
        <f>IFERROR(INDEX('Base Exámenes'!$D$5:$D$1000, MATCH(A168&amp;"|"&amp;J168, 'Base Exámenes'!$I$5:$I$1000, 0)), "")</f>
        <v>46309.63423611111</v>
      </c>
      <c r="H168" s="27">
        <f>IFERROR(INDEX('Base Exámenes'!$E$5:$E$1000, MATCH(A168&amp;"|"&amp;J168, 'Base Exámenes'!$I$5:$I$1000, 0)), "")</f>
        <v>46309.639328703706</v>
      </c>
      <c r="I168" s="26">
        <f>IFERROR(INDEX('Base Exámenes'!$F$5:$F$1000, MATCH(A168&amp;"|"&amp;J168, 'Base Exámenes'!$I$5:$I$1000, 0)), "")</f>
        <v>7.33333335025</v>
      </c>
      <c r="J168" s="6">
        <f>IF(F168="Completado", _xlfn.MAXIFS('Base Exámenes'!$G$5:$G$1000, 'Base Exámenes'!$C$5:$C$1000, A168), "")</f>
        <v>100</v>
      </c>
      <c r="K168" s="6" t="str">
        <f>IFERROR(INDEX('Base Exámenes'!$H$5:$H$1000, MATCH(A168&amp;"|"&amp;J168, 'Base Exámenes'!$I$5:$I$1000, 0)), "anonymous")</f>
        <v>anonymous</v>
      </c>
      <c r="L168" s="95">
        <f>COUNTIF('Base Exámenes'!$C$5:$C$1000, A168)</f>
        <v>1</v>
      </c>
    </row>
    <row r="169">
      <c r="A169" s="4" t="str">
        <f>'Base Oficial'!A169</f>
        <v>689</v>
      </c>
      <c r="B169" s="6" t="str">
        <f>'Base Oficial'!B169</f>
        <v>RAUL ERNESTO PALACIOS LANDAVERDE </v>
      </c>
      <c r="C169" s="6" t="str">
        <f>'Base Oficial'!F169</f>
        <v>DEPARTAMENTO DE SEGUROS </v>
      </c>
      <c r="D169" s="6" t="str">
        <f>'Base Oficial'!G169</f>
        <v>Gerencia de Negocios</v>
      </c>
      <c r="E169" s="6" t="str">
        <f>'Base Oficial'!D169</f>
        <v>TECNICO DEL SEGURO DE SALUD</v>
      </c>
      <c r="F169" s="4" t="str">
        <f>IF(COUNTIFS('Base Exámenes'!$C$5:$C$1000, A169, 'Base Exámenes'!$E$5:$E$1000, "&lt;&gt;")&gt;0, "Completado", "Pendiente")</f>
        <v>Completado</v>
      </c>
      <c r="G169" s="27">
        <f>IFERROR(INDEX('Base Exámenes'!$D$5:$D$1000, MATCH(A169&amp;"|"&amp;J169, 'Base Exámenes'!$I$5:$I$1000, 0)), "")</f>
        <v>46296.45379629629</v>
      </c>
      <c r="H169" s="27">
        <f>IFERROR(INDEX('Base Exámenes'!$E$5:$E$1000, MATCH(A169&amp;"|"&amp;J169, 'Base Exámenes'!$I$5:$I$1000, 0)), "")</f>
        <v>46296.46570601852</v>
      </c>
      <c r="I169" s="26">
        <f>IFERROR(INDEX('Base Exámenes'!$F$5:$F$1000, MATCH(A169&amp;"|"&amp;J169, 'Base Exámenes'!$I$5:$I$1000, 0)), "")</f>
        <v>17.15</v>
      </c>
      <c r="J169" s="6">
        <f>IF(F169="Completado", _xlfn.MAXIFS('Base Exámenes'!$G$5:$G$1000, 'Base Exámenes'!$C$5:$C$1000, A169), "")</f>
        <v>100</v>
      </c>
      <c r="K169" s="6" t="str">
        <f>IFERROR(INDEX('Base Exámenes'!$H$5:$H$1000, MATCH(A169&amp;"|"&amp;J169, 'Base Exámenes'!$I$5:$I$1000, 0)), "anonymous")</f>
        <v>anonymous</v>
      </c>
      <c r="L169" s="95">
        <f>COUNTIF('Base Exámenes'!$C$5:$C$1000, A169)</f>
        <v>1</v>
      </c>
    </row>
    <row r="170">
      <c r="A170" s="4" t="str">
        <f>'Base Oficial'!A170</f>
        <v>792</v>
      </c>
      <c r="B170" s="6" t="str">
        <f>'Base Oficial'!B170</f>
        <v>JENNYFER AYLIN ESCOBAR ZAMORA </v>
      </c>
      <c r="C170" s="6" t="str">
        <f>'Base Oficial'!F170</f>
        <v>DEPARTAMENTO DE SEGUROS </v>
      </c>
      <c r="D170" s="6" t="str">
        <f>'Base Oficial'!G170</f>
        <v>Gerencia de Negocios</v>
      </c>
      <c r="E170" s="6" t="str">
        <f>'Base Oficial'!D170</f>
        <v>COORDINADOR COMERCIAL DE SEGUROS</v>
      </c>
      <c r="F170" s="4" t="str">
        <f>IF(COUNTIFS('Base Exámenes'!$C$5:$C$1000, A170, 'Base Exámenes'!$E$5:$E$1000, "&lt;&gt;")&gt;0, "Completado", "Pendiente")</f>
        <v>Completado</v>
      </c>
      <c r="G170" s="27">
        <f>IFERROR(INDEX('Base Exámenes'!$D$5:$D$1000, MATCH(A170&amp;"|"&amp;J170, 'Base Exámenes'!$I$5:$I$1000, 0)), "")</f>
        <v>46309.47331018518</v>
      </c>
      <c r="H170" s="27">
        <f>IFERROR(INDEX('Base Exámenes'!$E$5:$E$1000, MATCH(A170&amp;"|"&amp;J170, 'Base Exámenes'!$I$5:$I$1000, 0)), "")</f>
        <v>46309.485625</v>
      </c>
      <c r="I170" s="26">
        <f>IFERROR(INDEX('Base Exámenes'!$F$5:$F$1000, MATCH(A170&amp;"|"&amp;J170, 'Base Exámenes'!$I$5:$I$1000, 0)), "")</f>
        <v>17.7333333333333</v>
      </c>
      <c r="J170" s="6">
        <f>IF(F170="Completado", _xlfn.MAXIFS('Base Exámenes'!$G$5:$G$1000, 'Base Exámenes'!$C$5:$C$1000, A170), "")</f>
        <v>100</v>
      </c>
      <c r="K170" s="6" t="str">
        <f>IFERROR(INDEX('Base Exámenes'!$H$5:$H$1000, MATCH(A170&amp;"|"&amp;J170, 'Base Exámenes'!$I$5:$I$1000, 0)), "anonymous")</f>
        <v>anonymous</v>
      </c>
      <c r="L170" s="95">
        <f>COUNTIF('Base Exámenes'!$C$5:$C$1000, A170)</f>
        <v>1</v>
      </c>
    </row>
    <row r="171">
      <c r="A171" s="4" t="str">
        <f>'Base Oficial'!A171</f>
        <v>793</v>
      </c>
      <c r="B171" s="6" t="str">
        <f>'Base Oficial'!B171</f>
        <v>KRIZIA BETSABE FLORES MARTINEZ</v>
      </c>
      <c r="C171" s="6" t="str">
        <f>'Base Oficial'!F171</f>
        <v>DEPARTAMENTO DE SEGUROS </v>
      </c>
      <c r="D171" s="6" t="str">
        <f>'Base Oficial'!G171</f>
        <v>Gerencia de Negocios</v>
      </c>
      <c r="E171" s="6" t="str">
        <f>'Base Oficial'!D171</f>
        <v>JEFE DE SEGUROS</v>
      </c>
      <c r="F171" s="4" t="str">
        <f>IF(COUNTIFS('Base Exámenes'!$C$5:$C$1000, A171, 'Base Exámenes'!$E$5:$E$1000, "&lt;&gt;")&gt;0, "Completado", "Pendiente")</f>
        <v>Completado</v>
      </c>
      <c r="G171" s="27">
        <f>IFERROR(INDEX('Base Exámenes'!$D$5:$D$1000, MATCH(A171&amp;"|"&amp;J171, 'Base Exámenes'!$I$5:$I$1000, 0)), "")</f>
        <v>46297.45885416667</v>
      </c>
      <c r="H171" s="27">
        <f>IFERROR(INDEX('Base Exámenes'!$E$5:$E$1000, MATCH(A171&amp;"|"&amp;J171, 'Base Exámenes'!$I$5:$I$1000, 0)), "")</f>
        <v>46297.49109953704</v>
      </c>
      <c r="I171" s="26">
        <f>IFERROR(INDEX('Base Exámenes'!$F$5:$F$1000, MATCH(A171&amp;"|"&amp;J171, 'Base Exámenes'!$I$5:$I$1000, 0)), "")</f>
        <v>46.4333333333333</v>
      </c>
      <c r="J171" s="6">
        <f>IF(F171="Completado", _xlfn.MAXIFS('Base Exámenes'!$G$5:$G$1000, 'Base Exámenes'!$C$5:$C$1000, A171), "")</f>
        <v>90</v>
      </c>
      <c r="K171" s="6" t="str">
        <f>IFERROR(INDEX('Base Exámenes'!$H$5:$H$1000, MATCH(A171&amp;"|"&amp;J171, 'Base Exámenes'!$I$5:$I$1000, 0)), "anonymous")</f>
        <v>anonymous</v>
      </c>
      <c r="L171" s="95">
        <f>COUNTIF('Base Exámenes'!$C$5:$C$1000, A171)</f>
        <v>1</v>
      </c>
    </row>
    <row r="172">
      <c r="A172" s="4" t="str">
        <f>'Base Oficial'!A172</f>
        <v>802</v>
      </c>
      <c r="B172" s="6" t="str">
        <f>'Base Oficial'!B172</f>
        <v>ERIKA VANESSA ALEMAN MIJANGO </v>
      </c>
      <c r="C172" s="6" t="str">
        <f>'Base Oficial'!F172</f>
        <v>DEPARTAMENTO DE SEGUROS </v>
      </c>
      <c r="D172" s="6" t="str">
        <f>'Base Oficial'!G172</f>
        <v>Gerencia de Negocios</v>
      </c>
      <c r="E172" s="6" t="str">
        <f>'Base Oficial'!D172</f>
        <v>EJECUTIVO DE VENTA DE SEGUROS</v>
      </c>
      <c r="F172" s="4" t="str">
        <f>IF(COUNTIFS('Base Exámenes'!$C$5:$C$1000, A172, 'Base Exámenes'!$E$5:$E$1000, "&lt;&gt;")&gt;0, "Completado", "Pendiente")</f>
        <v>Pendiente</v>
      </c>
      <c r="G172" s="27" t="str">
        <f>IFERROR(INDEX('Base Exámenes'!$D$5:$D$1000, MATCH(A172&amp;"|"&amp;J172, 'Base Exámenes'!$I$5:$I$1000, 0)), "")</f>
        <v/>
      </c>
      <c r="H172" s="27" t="str">
        <f>IFERROR(INDEX('Base Exámenes'!$E$5:$E$1000, MATCH(A172&amp;"|"&amp;J172, 'Base Exámenes'!$I$5:$I$1000, 0)), "")</f>
        <v/>
      </c>
      <c r="I172" s="26" t="str">
        <f>IFERROR(INDEX('Base Exámenes'!$F$5:$F$1000, MATCH(A172&amp;"|"&amp;J172, 'Base Exámenes'!$I$5:$I$1000, 0)), "")</f>
        <v/>
      </c>
      <c r="J172" s="6" t="str">
        <f>IF(F172="Completado", _xlfn.MAXIFS('Base Exámenes'!$G$5:$G$1000, 'Base Exámenes'!$C$5:$C$1000, A172), "")</f>
        <v/>
      </c>
      <c r="K172" s="6" t="str">
        <f>IFERROR(INDEX('Base Exámenes'!$H$5:$H$1000, MATCH(A172&amp;"|"&amp;J172, 'Base Exámenes'!$I$5:$I$1000, 0)), "anonymous")</f>
        <v>anonymous</v>
      </c>
      <c r="L172" s="95">
        <f>COUNTIF('Base Exámenes'!$C$5:$C$1000, A172)</f>
        <v>0</v>
      </c>
    </row>
    <row r="173">
      <c r="A173" s="4" t="str">
        <f>'Base Oficial'!A173</f>
        <v>805</v>
      </c>
      <c r="B173" s="6" t="str">
        <f>'Base Oficial'!B173</f>
        <v>JUANA HAZEL GARCIA COREAS </v>
      </c>
      <c r="C173" s="6" t="str">
        <f>'Base Oficial'!F173</f>
        <v>DEPARTAMENTO DE SEGUROS </v>
      </c>
      <c r="D173" s="6" t="str">
        <f>'Base Oficial'!G173</f>
        <v>Gerencia de Negocios</v>
      </c>
      <c r="E173" s="6" t="str">
        <f>'Base Oficial'!D173</f>
        <v>EJECUTIVO DE VENTA DE SEGUROS</v>
      </c>
      <c r="F173" s="4" t="str">
        <f>IF(COUNTIFS('Base Exámenes'!$C$5:$C$1000, A173, 'Base Exámenes'!$E$5:$E$1000, "&lt;&gt;")&gt;0, "Completado", "Pendiente")</f>
        <v>Completado</v>
      </c>
      <c r="G173" s="27">
        <f>IFERROR(INDEX('Base Exámenes'!$D$5:$D$1000, MATCH(A173&amp;"|"&amp;J173, 'Base Exámenes'!$I$5:$I$1000, 0)), "")</f>
        <v>46309.47760416667</v>
      </c>
      <c r="H173" s="27">
        <f>IFERROR(INDEX('Base Exámenes'!$E$5:$E$1000, MATCH(A173&amp;"|"&amp;J173, 'Base Exámenes'!$I$5:$I$1000, 0)), "")</f>
        <v>46309.48584490741</v>
      </c>
      <c r="I173" s="26">
        <f>IFERROR(INDEX('Base Exámenes'!$F$5:$F$1000, MATCH(A173&amp;"|"&amp;J173, 'Base Exámenes'!$I$5:$I$1000, 0)), "")</f>
        <v>11.8666666666667</v>
      </c>
      <c r="J173" s="6">
        <f>IF(F173="Completado", _xlfn.MAXIFS('Base Exámenes'!$G$5:$G$1000, 'Base Exámenes'!$C$5:$C$1000, A173), "")</f>
        <v>100</v>
      </c>
      <c r="K173" s="6" t="str">
        <f>IFERROR(INDEX('Base Exámenes'!$H$5:$H$1000, MATCH(A173&amp;"|"&amp;J173, 'Base Exámenes'!$I$5:$I$1000, 0)), "anonymous")</f>
        <v>anonymous</v>
      </c>
      <c r="L173" s="95">
        <f>COUNTIF('Base Exámenes'!$C$5:$C$1000, A173)</f>
        <v>1</v>
      </c>
    </row>
    <row r="174">
      <c r="A174" s="4" t="str">
        <f>'Base Oficial'!A174</f>
        <v>869</v>
      </c>
      <c r="B174" s="6" t="str">
        <f>'Base Oficial'!B174</f>
        <v>JENNIFER BETSABE MARAVILLA MORENO </v>
      </c>
      <c r="C174" s="6" t="str">
        <f>'Base Oficial'!F174</f>
        <v>DEPARTAMENTO DE SEGUROS </v>
      </c>
      <c r="D174" s="6" t="str">
        <f>'Base Oficial'!G174</f>
        <v>Gerencia de Negocios</v>
      </c>
      <c r="E174" s="6" t="str">
        <f>'Base Oficial'!D174</f>
        <v>EJECUTIVO DE VENTA DE SEGUROS</v>
      </c>
      <c r="F174" s="4" t="str">
        <f>IF(COUNTIFS('Base Exámenes'!$C$5:$C$1000, A174, 'Base Exámenes'!$E$5:$E$1000, "&lt;&gt;")&gt;0, "Completado", "Pendiente")</f>
        <v>Completado</v>
      </c>
      <c r="G174" s="27">
        <f>IFERROR(INDEX('Base Exámenes'!$D$5:$D$1000, MATCH(A174&amp;"|"&amp;J174, 'Base Exámenes'!$I$5:$I$1000, 0)), "")</f>
        <v>46296.67916666667</v>
      </c>
      <c r="H174" s="27">
        <f>IFERROR(INDEX('Base Exámenes'!$E$5:$E$1000, MATCH(A174&amp;"|"&amp;J174, 'Base Exámenes'!$I$5:$I$1000, 0)), "")</f>
        <v>46296.68630787037</v>
      </c>
      <c r="I174" s="26">
        <f>IFERROR(INDEX('Base Exámenes'!$F$5:$F$1000, MATCH(A174&amp;"|"&amp;J174, 'Base Exámenes'!$I$5:$I$1000, 0)), "")</f>
        <v>10.2833333333333</v>
      </c>
      <c r="J174" s="6">
        <f>IF(F174="Completado", _xlfn.MAXIFS('Base Exámenes'!$G$5:$G$1000, 'Base Exámenes'!$C$5:$C$1000, A174), "")</f>
        <v>100</v>
      </c>
      <c r="K174" s="6" t="str">
        <f>IFERROR(INDEX('Base Exámenes'!$H$5:$H$1000, MATCH(A174&amp;"|"&amp;J174, 'Base Exámenes'!$I$5:$I$1000, 0)), "anonymous")</f>
        <v>anonymous</v>
      </c>
      <c r="L174" s="95">
        <f>COUNTIF('Base Exámenes'!$C$5:$C$1000, A174)</f>
        <v>1</v>
      </c>
    </row>
    <row r="175">
      <c r="A175" s="4" t="str">
        <f>'Base Oficial'!A175</f>
        <v>894</v>
      </c>
      <c r="B175" s="6" t="str">
        <f>'Base Oficial'!B175</f>
        <v>HENRY OSWALDO PINEDA GARCIA </v>
      </c>
      <c r="C175" s="6" t="str">
        <f>'Base Oficial'!F175</f>
        <v>DEPARTAMENTO DE SEGUROS </v>
      </c>
      <c r="D175" s="6" t="str">
        <f>'Base Oficial'!G175</f>
        <v>Gerencia de Negocios</v>
      </c>
      <c r="E175" s="6" t="str">
        <f>'Base Oficial'!D175</f>
        <v>EJECUTIVO  MOVIL DE SEGUROS</v>
      </c>
      <c r="F175" s="4" t="str">
        <f>IF(COUNTIFS('Base Exámenes'!$C$5:$C$1000, A175, 'Base Exámenes'!$E$5:$E$1000, "&lt;&gt;")&gt;0, "Completado", "Pendiente")</f>
        <v>Completado</v>
      </c>
      <c r="G175" s="27">
        <f>IFERROR(INDEX('Base Exámenes'!$D$5:$D$1000, MATCH(A175&amp;"|"&amp;J175, 'Base Exámenes'!$I$5:$I$1000, 0)), "")</f>
        <v>46296.426412037035</v>
      </c>
      <c r="H175" s="27">
        <f>IFERROR(INDEX('Base Exámenes'!$E$5:$E$1000, MATCH(A175&amp;"|"&amp;J175, 'Base Exámenes'!$I$5:$I$1000, 0)), "")</f>
        <v>46296.431875</v>
      </c>
      <c r="I175" s="26">
        <f>IFERROR(INDEX('Base Exámenes'!$F$5:$F$1000, MATCH(A175&amp;"|"&amp;J175, 'Base Exámenes'!$I$5:$I$1000, 0)), "")</f>
        <v>7.86666666666667</v>
      </c>
      <c r="J175" s="6">
        <f>IF(F175="Completado", _xlfn.MAXIFS('Base Exámenes'!$G$5:$G$1000, 'Base Exámenes'!$C$5:$C$1000, A175), "")</f>
        <v>100</v>
      </c>
      <c r="K175" s="6" t="str">
        <f>IFERROR(INDEX('Base Exámenes'!$H$5:$H$1000, MATCH(A175&amp;"|"&amp;J175, 'Base Exámenes'!$I$5:$I$1000, 0)), "anonymous")</f>
        <v>anonymous</v>
      </c>
      <c r="L175" s="95">
        <f>COUNTIF('Base Exámenes'!$C$5:$C$1000, A175)</f>
        <v>2</v>
      </c>
    </row>
    <row r="176">
      <c r="A176" s="4" t="str">
        <f>'Base Oficial'!A176</f>
        <v>422</v>
      </c>
      <c r="B176" s="6" t="str">
        <f>'Base Oficial'!B176</f>
        <v>CLAUDIA VERONICA LARA RODAS</v>
      </c>
      <c r="C176" s="6" t="str">
        <f>'Base Oficial'!F176</f>
        <v>DEPARTAMENTO COMERCIAL DE TARJETA DE CREDITO Y DEBITO</v>
      </c>
      <c r="D176" s="6" t="str">
        <f>'Base Oficial'!G176</f>
        <v>Gerencia de Negocios</v>
      </c>
      <c r="E176" s="6" t="str">
        <f>'Base Oficial'!D176</f>
        <v>ASISTENTE COMERCIAL DE TARJETA DE CREDITO</v>
      </c>
      <c r="F176" s="4" t="str">
        <f>IF(COUNTIFS('Base Exámenes'!$C$5:$C$1000, A176, 'Base Exámenes'!$E$5:$E$1000, "&lt;&gt;")&gt;0, "Completado", "Pendiente")</f>
        <v>Completado</v>
      </c>
      <c r="G176" s="27">
        <f>IFERROR(INDEX('Base Exámenes'!$D$5:$D$1000, MATCH(A176&amp;"|"&amp;J176, 'Base Exámenes'!$I$5:$I$1000, 0)), "")</f>
        <v>46304.40586805555</v>
      </c>
      <c r="H176" s="27">
        <f>IFERROR(INDEX('Base Exámenes'!$E$5:$E$1000, MATCH(A176&amp;"|"&amp;J176, 'Base Exámenes'!$I$5:$I$1000, 0)), "")</f>
        <v>46304.41396990741</v>
      </c>
      <c r="I176" s="26">
        <f>IFERROR(INDEX('Base Exámenes'!$F$5:$F$1000, MATCH(A176&amp;"|"&amp;J176, 'Base Exámenes'!$I$5:$I$1000, 0)), "")</f>
        <v>11.6666666666667</v>
      </c>
      <c r="J176" s="6">
        <f>IF(F176="Completado", _xlfn.MAXIFS('Base Exámenes'!$G$5:$G$1000, 'Base Exámenes'!$C$5:$C$1000, A176), "")</f>
        <v>100</v>
      </c>
      <c r="K176" s="6" t="str">
        <f>IFERROR(INDEX('Base Exámenes'!$H$5:$H$1000, MATCH(A176&amp;"|"&amp;J176, 'Base Exámenes'!$I$5:$I$1000, 0)), "anonymous")</f>
        <v>anonymous</v>
      </c>
      <c r="L176" s="95">
        <f>COUNTIF('Base Exámenes'!$C$5:$C$1000, A176)</f>
        <v>1</v>
      </c>
    </row>
    <row r="177">
      <c r="A177" s="4" t="str">
        <f>'Base Oficial'!A177</f>
        <v>533</v>
      </c>
      <c r="B177" s="6" t="str">
        <f>'Base Oficial'!B177</f>
        <v>LIDIA PATRICIA MORALES AVALOS </v>
      </c>
      <c r="C177" s="6" t="str">
        <f>'Base Oficial'!F177</f>
        <v>DEPARTAMENTO COMERCIAL DE TARJETA DE CREDITO Y DEBITO</v>
      </c>
      <c r="D177" s="6" t="str">
        <f>'Base Oficial'!G177</f>
        <v>Gerencia de Negocios</v>
      </c>
      <c r="E177" s="6" t="str">
        <f>'Base Oficial'!D177</f>
        <v>JEFE COMERCIAL DE TARJETA DE CREDITO</v>
      </c>
      <c r="F177" s="4" t="str">
        <f>IF(COUNTIFS('Base Exámenes'!$C$5:$C$1000, A177, 'Base Exámenes'!$E$5:$E$1000, "&lt;&gt;")&gt;0, "Completado", "Pendiente")</f>
        <v>Completado</v>
      </c>
      <c r="G177" s="27">
        <f>IFERROR(INDEX('Base Exámenes'!$D$5:$D$1000, MATCH(A177&amp;"|"&amp;J177, 'Base Exámenes'!$I$5:$I$1000, 0)), "")</f>
        <v>46304.77427083333</v>
      </c>
      <c r="H177" s="27">
        <f>IFERROR(INDEX('Base Exámenes'!$E$5:$E$1000, MATCH(A177&amp;"|"&amp;J177, 'Base Exámenes'!$I$5:$I$1000, 0)), "")</f>
        <v>46304.7809837963</v>
      </c>
      <c r="I177" s="26">
        <f>IFERROR(INDEX('Base Exámenes'!$F$5:$F$1000, MATCH(A177&amp;"|"&amp;J177, 'Base Exámenes'!$I$5:$I$1000, 0)), "")</f>
        <v>9.66666666666667</v>
      </c>
      <c r="J177" s="6">
        <f>IF(F177="Completado", _xlfn.MAXIFS('Base Exámenes'!$G$5:$G$1000, 'Base Exámenes'!$C$5:$C$1000, A177), "")</f>
        <v>90</v>
      </c>
      <c r="K177" s="6" t="str">
        <f>IFERROR(INDEX('Base Exámenes'!$H$5:$H$1000, MATCH(A177&amp;"|"&amp;J177, 'Base Exámenes'!$I$5:$I$1000, 0)), "anonymous")</f>
        <v>anonymous</v>
      </c>
      <c r="L177" s="95">
        <f>COUNTIF('Base Exámenes'!$C$5:$C$1000, A177)</f>
        <v>1</v>
      </c>
    </row>
    <row r="178">
      <c r="A178" s="4" t="str">
        <f>'Base Oficial'!A178</f>
        <v>654</v>
      </c>
      <c r="B178" s="6" t="str">
        <f>'Base Oficial'!B178</f>
        <v>GABRIELA ALEJANDRA RODRIGUEZ ARIAS </v>
      </c>
      <c r="C178" s="6" t="str">
        <f>'Base Oficial'!F178</f>
        <v>DEPARTAMENTO COMERCIAL DE TARJETA DE CREDITO Y DEBITO</v>
      </c>
      <c r="D178" s="6" t="str">
        <f>'Base Oficial'!G178</f>
        <v>Gerencia de Negocios</v>
      </c>
      <c r="E178" s="6" t="str">
        <f>'Base Oficial'!D178</f>
        <v>AUXILIAR DE ATENCION AL CLIENTE</v>
      </c>
      <c r="F178" s="4" t="str">
        <f>IF(COUNTIFS('Base Exámenes'!$C$5:$C$1000, A178, 'Base Exámenes'!$E$5:$E$1000, "&lt;&gt;")&gt;0, "Completado", "Pendiente")</f>
        <v>Completado</v>
      </c>
      <c r="G178" s="27">
        <f>IFERROR(INDEX('Base Exámenes'!$D$5:$D$1000, MATCH(A178&amp;"|"&amp;J178, 'Base Exámenes'!$I$5:$I$1000, 0)), "")</f>
        <v>46304.67545138889</v>
      </c>
      <c r="H178" s="27">
        <f>IFERROR(INDEX('Base Exámenes'!$E$5:$E$1000, MATCH(A178&amp;"|"&amp;J178, 'Base Exámenes'!$I$5:$I$1000, 0)), "")</f>
        <v>46304.678506944445</v>
      </c>
      <c r="I178" s="26">
        <f>IFERROR(INDEX('Base Exámenes'!$F$5:$F$1000, MATCH(A178&amp;"|"&amp;J178, 'Base Exámenes'!$I$5:$I$1000, 0)), "")</f>
        <v>4.4</v>
      </c>
      <c r="J178" s="6">
        <f>IF(F178="Completado", _xlfn.MAXIFS('Base Exámenes'!$G$5:$G$1000, 'Base Exámenes'!$C$5:$C$1000, A178), "")</f>
        <v>80</v>
      </c>
      <c r="K178" s="6" t="str">
        <f>IFERROR(INDEX('Base Exámenes'!$H$5:$H$1000, MATCH(A178&amp;"|"&amp;J178, 'Base Exámenes'!$I$5:$I$1000, 0)), "anonymous")</f>
        <v>anonymous</v>
      </c>
      <c r="L178" s="95">
        <f>COUNTIF('Base Exámenes'!$C$5:$C$1000, A178)</f>
        <v>1</v>
      </c>
    </row>
    <row r="179">
      <c r="A179" s="4" t="str">
        <f>'Base Oficial'!A179</f>
        <v>655</v>
      </c>
      <c r="B179" s="6" t="str">
        <f>'Base Oficial'!B179</f>
        <v>JOSE ALEXANDER ABREGO </v>
      </c>
      <c r="C179" s="6" t="str">
        <f>'Base Oficial'!F179</f>
        <v>DEPARTAMENTO COMERCIAL DE TARJETA DE CREDITO Y DEBITO</v>
      </c>
      <c r="D179" s="6" t="str">
        <f>'Base Oficial'!G179</f>
        <v>Gerencia de Negocios</v>
      </c>
      <c r="E179" s="6" t="str">
        <f>'Base Oficial'!D179</f>
        <v>EJECUTIVO DE NEGOCIOS</v>
      </c>
      <c r="F179" s="4" t="str">
        <f>IF(COUNTIFS('Base Exámenes'!$C$5:$C$1000, A179, 'Base Exámenes'!$E$5:$E$1000, "&lt;&gt;")&gt;0, "Completado", "Pendiente")</f>
        <v>Completado</v>
      </c>
      <c r="G179" s="27">
        <f>IFERROR(INDEX('Base Exámenes'!$D$5:$D$1000, MATCH(A179&amp;"|"&amp;J179, 'Base Exámenes'!$I$5:$I$1000, 0)), "")</f>
        <v>46305.51121527778</v>
      </c>
      <c r="H179" s="27">
        <f>IFERROR(INDEX('Base Exámenes'!$E$5:$E$1000, MATCH(A179&amp;"|"&amp;J179, 'Base Exámenes'!$I$5:$I$1000, 0)), "")</f>
        <v>46305.51431712963</v>
      </c>
      <c r="I179" s="26">
        <f>IFERROR(INDEX('Base Exámenes'!$F$5:$F$1000, MATCH(A179&amp;"|"&amp;J179, 'Base Exámenes'!$I$5:$I$1000, 0)), "")</f>
        <v>4.46666666666667</v>
      </c>
      <c r="J179" s="6">
        <f>IF(F179="Completado", _xlfn.MAXIFS('Base Exámenes'!$G$5:$G$1000, 'Base Exámenes'!$C$5:$C$1000, A179), "")</f>
        <v>65</v>
      </c>
      <c r="K179" s="6" t="str">
        <f>IFERROR(INDEX('Base Exámenes'!$H$5:$H$1000, MATCH(A179&amp;"|"&amp;J179, 'Base Exámenes'!$I$5:$I$1000, 0)), "anonymous")</f>
        <v>anonymous</v>
      </c>
      <c r="L179" s="95">
        <f>COUNTIF('Base Exámenes'!$C$5:$C$1000, A179)</f>
        <v>1</v>
      </c>
    </row>
    <row r="180">
      <c r="A180" s="4" t="str">
        <f>'Base Oficial'!A180</f>
        <v>669</v>
      </c>
      <c r="B180" s="6" t="str">
        <f>'Base Oficial'!B180</f>
        <v>ANTONIO ALEXANDER  ALFARO ARGUETA </v>
      </c>
      <c r="C180" s="6" t="str">
        <f>'Base Oficial'!F180</f>
        <v>DEPARTAMENTO COMERCIAL DE TARJETA DE CREDITO Y DEBITO</v>
      </c>
      <c r="D180" s="6" t="str">
        <f>'Base Oficial'!G180</f>
        <v>Gerencia de Negocios</v>
      </c>
      <c r="E180" s="6" t="str">
        <f>'Base Oficial'!D180</f>
        <v>EJECUTIVO DE NEGOCIOS</v>
      </c>
      <c r="F180" s="4" t="str">
        <f>IF(COUNTIFS('Base Exámenes'!$C$5:$C$1000, A180, 'Base Exámenes'!$E$5:$E$1000, "&lt;&gt;")&gt;0, "Completado", "Pendiente")</f>
        <v>Completado</v>
      </c>
      <c r="G180" s="27">
        <f>IFERROR(INDEX('Base Exámenes'!$D$5:$D$1000, MATCH(A180&amp;"|"&amp;J180, 'Base Exámenes'!$I$5:$I$1000, 0)), "")</f>
        <v>46305.47315972222</v>
      </c>
      <c r="H180" s="27">
        <f>IFERROR(INDEX('Base Exámenes'!$E$5:$E$1000, MATCH(A180&amp;"|"&amp;J180, 'Base Exámenes'!$I$5:$I$1000, 0)), "")</f>
        <v>46305.48725694444</v>
      </c>
      <c r="I180" s="26">
        <f>IFERROR(INDEX('Base Exámenes'!$F$5:$F$1000, MATCH(A180&amp;"|"&amp;J180, 'Base Exámenes'!$I$5:$I$1000, 0)), "")</f>
        <v>20.3</v>
      </c>
      <c r="J180" s="6">
        <f>IF(F180="Completado", _xlfn.MAXIFS('Base Exámenes'!$G$5:$G$1000, 'Base Exámenes'!$C$5:$C$1000, A180), "")</f>
        <v>90</v>
      </c>
      <c r="K180" s="6" t="str">
        <f>IFERROR(INDEX('Base Exámenes'!$H$5:$H$1000, MATCH(A180&amp;"|"&amp;J180, 'Base Exámenes'!$I$5:$I$1000, 0)), "anonymous")</f>
        <v>anonymous</v>
      </c>
      <c r="L180" s="95">
        <f>COUNTIF('Base Exámenes'!$C$5:$C$1000, A180)</f>
        <v>1</v>
      </c>
    </row>
    <row r="181">
      <c r="A181" s="4" t="str">
        <f>'Base Oficial'!A181</f>
        <v>715</v>
      </c>
      <c r="B181" s="6" t="str">
        <f>'Base Oficial'!B181</f>
        <v>KAREN MARCELA BARILLAS MOLINA </v>
      </c>
      <c r="C181" s="6" t="str">
        <f>'Base Oficial'!F181</f>
        <v>DEPARTAMENTO COMERCIAL DE TARJETA DE CREDITO Y DEBITO</v>
      </c>
      <c r="D181" s="6" t="str">
        <f>'Base Oficial'!G181</f>
        <v>Gerencia de Negocios</v>
      </c>
      <c r="E181" s="6" t="str">
        <f>'Base Oficial'!D181</f>
        <v>AUXILIAR DE ATENCION AL TARJETAHABIENTE</v>
      </c>
      <c r="F181" s="4" t="str">
        <f>IF(COUNTIFS('Base Exámenes'!$C$5:$C$1000, A181, 'Base Exámenes'!$E$5:$E$1000, "&lt;&gt;")&gt;0, "Completado", "Pendiente")</f>
        <v>Completado</v>
      </c>
      <c r="G181" s="27">
        <f>IFERROR(INDEX('Base Exámenes'!$D$5:$D$1000, MATCH(A181&amp;"|"&amp;J181, 'Base Exámenes'!$I$5:$I$1000, 0)), "")</f>
        <v>46297.7059375</v>
      </c>
      <c r="H181" s="27">
        <f>IFERROR(INDEX('Base Exámenes'!$E$5:$E$1000, MATCH(A181&amp;"|"&amp;J181, 'Base Exámenes'!$I$5:$I$1000, 0)), "")</f>
        <v>46297.71334490741</v>
      </c>
      <c r="I181" s="26">
        <f>IFERROR(INDEX('Base Exámenes'!$F$5:$F$1000, MATCH(A181&amp;"|"&amp;J181, 'Base Exámenes'!$I$5:$I$1000, 0)), "")</f>
        <v>10.6666666666667</v>
      </c>
      <c r="J181" s="6">
        <f>IF(F181="Completado", _xlfn.MAXIFS('Base Exámenes'!$G$5:$G$1000, 'Base Exámenes'!$C$5:$C$1000, A181), "")</f>
        <v>85</v>
      </c>
      <c r="K181" s="6" t="str">
        <f>IFERROR(INDEX('Base Exámenes'!$H$5:$H$1000, MATCH(A181&amp;"|"&amp;J181, 'Base Exámenes'!$I$5:$I$1000, 0)), "anonymous")</f>
        <v>anonymous</v>
      </c>
      <c r="L181" s="95">
        <f>COUNTIF('Base Exámenes'!$C$5:$C$1000, A181)</f>
        <v>1</v>
      </c>
    </row>
    <row r="182">
      <c r="A182" s="4" t="str">
        <f>'Base Oficial'!A182</f>
        <v>835</v>
      </c>
      <c r="B182" s="6" t="str">
        <f>'Base Oficial'!B182</f>
        <v>LUIS ALBERTO MEJIA DELGADO </v>
      </c>
      <c r="C182" s="6" t="str">
        <f>'Base Oficial'!F182</f>
        <v>DEPARTAMENTO COMERCIAL DE TARJETA DE CREDITO Y DEBITO</v>
      </c>
      <c r="D182" s="6" t="str">
        <f>'Base Oficial'!G182</f>
        <v>Gerencia de Negocios</v>
      </c>
      <c r="E182" s="6" t="str">
        <f>'Base Oficial'!D182</f>
        <v>EJECUTIVO DE NEGOCIOS</v>
      </c>
      <c r="F182" s="4" t="str">
        <f>IF(COUNTIFS('Base Exámenes'!$C$5:$C$1000, A182, 'Base Exámenes'!$E$5:$E$1000, "&lt;&gt;")&gt;0, "Completado", "Pendiente")</f>
        <v>Pendiente</v>
      </c>
      <c r="G182" s="27" t="str">
        <f>IFERROR(INDEX('Base Exámenes'!$D$5:$D$1000, MATCH(A182&amp;"|"&amp;J182, 'Base Exámenes'!$I$5:$I$1000, 0)), "")</f>
        <v/>
      </c>
      <c r="H182" s="27" t="str">
        <f>IFERROR(INDEX('Base Exámenes'!$E$5:$E$1000, MATCH(A182&amp;"|"&amp;J182, 'Base Exámenes'!$I$5:$I$1000, 0)), "")</f>
        <v/>
      </c>
      <c r="I182" s="26" t="str">
        <f>IFERROR(INDEX('Base Exámenes'!$F$5:$F$1000, MATCH(A182&amp;"|"&amp;J182, 'Base Exámenes'!$I$5:$I$1000, 0)), "")</f>
        <v/>
      </c>
      <c r="J182" s="6" t="str">
        <f>IF(F182="Completado", _xlfn.MAXIFS('Base Exámenes'!$G$5:$G$1000, 'Base Exámenes'!$C$5:$C$1000, A182), "")</f>
        <v/>
      </c>
      <c r="K182" s="6" t="str">
        <f>IFERROR(INDEX('Base Exámenes'!$H$5:$H$1000, MATCH(A182&amp;"|"&amp;J182, 'Base Exámenes'!$I$5:$I$1000, 0)), "anonymous")</f>
        <v>anonymous</v>
      </c>
      <c r="L182" s="95">
        <f>COUNTIF('Base Exámenes'!$C$5:$C$1000, A182)</f>
        <v>0</v>
      </c>
    </row>
    <row r="183">
      <c r="A183" s="4" t="str">
        <f>'Base Oficial'!A183</f>
        <v>858</v>
      </c>
      <c r="B183" s="6" t="str">
        <f>'Base Oficial'!B183</f>
        <v>GABRIEL FRANCISCO MOLINA DIAZ </v>
      </c>
      <c r="C183" s="6" t="str">
        <f>'Base Oficial'!F183</f>
        <v>DEPARTAMENTO COMERCIAL DE TARJETA DE CREDITO Y DEBITO</v>
      </c>
      <c r="D183" s="6" t="str">
        <f>'Base Oficial'!G183</f>
        <v>Gerencia de Negocios</v>
      </c>
      <c r="E183" s="6" t="str">
        <f>'Base Oficial'!D183</f>
        <v>EJECUTIVO DE NEGOCIOS</v>
      </c>
      <c r="F183" s="4" t="str">
        <f>IF(COUNTIFS('Base Exámenes'!$C$5:$C$1000, A183, 'Base Exámenes'!$E$5:$E$1000, "&lt;&gt;")&gt;0, "Completado", "Pendiente")</f>
        <v>Completado</v>
      </c>
      <c r="G183" s="27">
        <f>IFERROR(INDEX('Base Exámenes'!$D$5:$D$1000, MATCH(A183&amp;"|"&amp;J183, 'Base Exámenes'!$I$5:$I$1000, 0)), "")</f>
        <v>46305.47688657408</v>
      </c>
      <c r="H183" s="27">
        <f>IFERROR(INDEX('Base Exámenes'!$E$5:$E$1000, MATCH(A183&amp;"|"&amp;J183, 'Base Exámenes'!$I$5:$I$1000, 0)), "")</f>
        <v>46305.49159722222</v>
      </c>
      <c r="I183" s="26">
        <f>IFERROR(INDEX('Base Exámenes'!$F$5:$F$1000, MATCH(A183&amp;"|"&amp;J183, 'Base Exámenes'!$I$5:$I$1000, 0)), "")</f>
        <v>21.1833333333333</v>
      </c>
      <c r="J183" s="6">
        <f>IF(F183="Completado", _xlfn.MAXIFS('Base Exámenes'!$G$5:$G$1000, 'Base Exámenes'!$C$5:$C$1000, A183), "")</f>
        <v>95</v>
      </c>
      <c r="K183" s="6" t="str">
        <f>IFERROR(INDEX('Base Exámenes'!$H$5:$H$1000, MATCH(A183&amp;"|"&amp;J183, 'Base Exámenes'!$I$5:$I$1000, 0)), "anonymous")</f>
        <v>anonymous</v>
      </c>
      <c r="L183" s="95">
        <f>COUNTIF('Base Exámenes'!$C$5:$C$1000, A183)</f>
        <v>1</v>
      </c>
    </row>
    <row r="184">
      <c r="A184" s="4" t="str">
        <f>'Base Oficial'!A184</f>
        <v>215</v>
      </c>
      <c r="B184" s="6" t="str">
        <f>'Base Oficial'!B184</f>
        <v>LUIS MARCELO CRUZ VIGIL </v>
      </c>
      <c r="C184" s="6" t="str">
        <f>'Base Oficial'!F184</f>
        <v>SUB GERENCIA DE CANALES </v>
      </c>
      <c r="D184" s="6" t="str">
        <f>'Base Oficial'!G184</f>
        <v>Gerencia de Negocios</v>
      </c>
      <c r="E184" s="6" t="str">
        <f>'Base Oficial'!D184</f>
        <v>SUB GERENTE DE CANALES</v>
      </c>
      <c r="F184" s="4" t="str">
        <f>IF(COUNTIFS('Base Exámenes'!$C$5:$C$1000, A184, 'Base Exámenes'!$E$5:$E$1000, "&lt;&gt;")&gt;0, "Completado", "Pendiente")</f>
        <v>Completado</v>
      </c>
      <c r="G184" s="27">
        <f>IFERROR(INDEX('Base Exámenes'!$D$5:$D$1000, MATCH(A184&amp;"|"&amp;J184, 'Base Exámenes'!$I$5:$I$1000, 0)), "")</f>
        <v>46300.40697916667</v>
      </c>
      <c r="H184" s="27">
        <f>IFERROR(INDEX('Base Exámenes'!$E$5:$E$1000, MATCH(A184&amp;"|"&amp;J184, 'Base Exámenes'!$I$5:$I$1000, 0)), "")</f>
        <v>46300.41096064815</v>
      </c>
      <c r="I184" s="26">
        <f>IFERROR(INDEX('Base Exámenes'!$F$5:$F$1000, MATCH(A184&amp;"|"&amp;J184, 'Base Exámenes'!$I$5:$I$1000, 0)), "")</f>
        <v>5.73333333333333</v>
      </c>
      <c r="J184" s="6">
        <f>IF(F184="Completado", _xlfn.MAXIFS('Base Exámenes'!$G$5:$G$1000, 'Base Exámenes'!$C$5:$C$1000, A184), "")</f>
        <v>100</v>
      </c>
      <c r="K184" s="6" t="str">
        <f>IFERROR(INDEX('Base Exámenes'!$H$5:$H$1000, MATCH(A184&amp;"|"&amp;J184, 'Base Exámenes'!$I$5:$I$1000, 0)), "anonymous")</f>
        <v>anonymous</v>
      </c>
      <c r="L184" s="95">
        <f>COUNTIF('Base Exámenes'!$C$5:$C$1000, A184)</f>
        <v>1</v>
      </c>
    </row>
    <row r="185">
      <c r="A185" s="4" t="str">
        <f>'Base Oficial'!A185</f>
        <v>581</v>
      </c>
      <c r="B185" s="6" t="str">
        <f>'Base Oficial'!B185</f>
        <v>JUAN CARLOS AGUILAR ASCENCIO </v>
      </c>
      <c r="C185" s="6" t="str">
        <f>'Base Oficial'!F185</f>
        <v>SUB GERENCIA DE CANALES </v>
      </c>
      <c r="D185" s="6" t="str">
        <f>'Base Oficial'!G185</f>
        <v>Gerencia de Negocios</v>
      </c>
      <c r="E185" s="6" t="str">
        <f>'Base Oficial'!D185</f>
        <v>CAJERO MOVIL</v>
      </c>
      <c r="F185" s="4" t="str">
        <f>IF(COUNTIFS('Base Exámenes'!$C$5:$C$1000, A185, 'Base Exámenes'!$E$5:$E$1000, "&lt;&gt;")&gt;0, "Completado", "Pendiente")</f>
        <v>Pendiente</v>
      </c>
      <c r="G185" s="27" t="str">
        <f>IFERROR(INDEX('Base Exámenes'!$D$5:$D$1000, MATCH(A185&amp;"|"&amp;J185, 'Base Exámenes'!$I$5:$I$1000, 0)), "")</f>
        <v/>
      </c>
      <c r="H185" s="27" t="str">
        <f>IFERROR(INDEX('Base Exámenes'!$E$5:$E$1000, MATCH(A185&amp;"|"&amp;J185, 'Base Exámenes'!$I$5:$I$1000, 0)), "")</f>
        <v/>
      </c>
      <c r="I185" s="26" t="str">
        <f>IFERROR(INDEX('Base Exámenes'!$F$5:$F$1000, MATCH(A185&amp;"|"&amp;J185, 'Base Exámenes'!$I$5:$I$1000, 0)), "")</f>
        <v/>
      </c>
      <c r="J185" s="6" t="str">
        <f>IF(F185="Completado", _xlfn.MAXIFS('Base Exámenes'!$G$5:$G$1000, 'Base Exámenes'!$C$5:$C$1000, A185), "")</f>
        <v/>
      </c>
      <c r="K185" s="6" t="str">
        <f>IFERROR(INDEX('Base Exámenes'!$H$5:$H$1000, MATCH(A185&amp;"|"&amp;J185, 'Base Exámenes'!$I$5:$I$1000, 0)), "anonymous")</f>
        <v>anonymous</v>
      </c>
      <c r="L185" s="95">
        <f>COUNTIF('Base Exámenes'!$C$5:$C$1000, A185)</f>
        <v>0</v>
      </c>
    </row>
    <row r="186">
      <c r="A186" s="4" t="str">
        <f>'Base Oficial'!A186</f>
        <v>585</v>
      </c>
      <c r="B186" s="6" t="str">
        <f>'Base Oficial'!B186</f>
        <v>NANCY ROCIO MENJIVAR RIVAS </v>
      </c>
      <c r="C186" s="6" t="str">
        <f>'Base Oficial'!F186</f>
        <v>SUB GERENCIA DE CANALES </v>
      </c>
      <c r="D186" s="6" t="str">
        <f>'Base Oficial'!G186</f>
        <v>Gerencia de Negocios</v>
      </c>
      <c r="E186" s="6" t="str">
        <f>'Base Oficial'!D186</f>
        <v>EJECUTIVO  MOVIL DE SEGUROS</v>
      </c>
      <c r="F186" s="4" t="str">
        <f>IF(COUNTIFS('Base Exámenes'!$C$5:$C$1000, A186, 'Base Exámenes'!$E$5:$E$1000, "&lt;&gt;")&gt;0, "Completado", "Pendiente")</f>
        <v>Completado</v>
      </c>
      <c r="G186" s="27">
        <f>IFERROR(INDEX('Base Exámenes'!$D$5:$D$1000, MATCH(A186&amp;"|"&amp;J186, 'Base Exámenes'!$I$5:$I$1000, 0)), "")</f>
        <v>46302.46341435185</v>
      </c>
      <c r="H186" s="27">
        <f>IFERROR(INDEX('Base Exámenes'!$E$5:$E$1000, MATCH(A186&amp;"|"&amp;J186, 'Base Exámenes'!$I$5:$I$1000, 0)), "")</f>
        <v>46302.479097222225</v>
      </c>
      <c r="I186" s="26">
        <f>IFERROR(INDEX('Base Exámenes'!$F$5:$F$1000, MATCH(A186&amp;"|"&amp;J186, 'Base Exámenes'!$I$5:$I$1000, 0)), "")</f>
        <v>22.5833333528</v>
      </c>
      <c r="J186" s="6">
        <f>IF(F186="Completado", _xlfn.MAXIFS('Base Exámenes'!$G$5:$G$1000, 'Base Exámenes'!$C$5:$C$1000, A186), "")</f>
        <v>100</v>
      </c>
      <c r="K186" s="6" t="str">
        <f>IFERROR(INDEX('Base Exámenes'!$H$5:$H$1000, MATCH(A186&amp;"|"&amp;J186, 'Base Exámenes'!$I$5:$I$1000, 0)), "anonymous")</f>
        <v>anonymous</v>
      </c>
      <c r="L186" s="95">
        <f>COUNTIF('Base Exámenes'!$C$5:$C$1000, A186)</f>
        <v>1</v>
      </c>
    </row>
    <row r="187">
      <c r="A187" s="4" t="str">
        <f>'Base Oficial'!A187</f>
        <v>651</v>
      </c>
      <c r="B187" s="6" t="str">
        <f>'Base Oficial'!B187</f>
        <v>LUIS FERNANDO MORAN GARCIA </v>
      </c>
      <c r="C187" s="6" t="str">
        <f>'Base Oficial'!F187</f>
        <v>SUB GERENCIA DE CANALES </v>
      </c>
      <c r="D187" s="6" t="str">
        <f>'Base Oficial'!G187</f>
        <v>Gerencia de Negocios</v>
      </c>
      <c r="E187" s="6" t="str">
        <f>'Base Oficial'!D187</f>
        <v>JEFE MOVIL DE AGENCIAS</v>
      </c>
      <c r="F187" s="4" t="str">
        <f>IF(COUNTIFS('Base Exámenes'!$C$5:$C$1000, A187, 'Base Exámenes'!$E$5:$E$1000, "&lt;&gt;")&gt;0, "Completado", "Pendiente")</f>
        <v>Pendiente</v>
      </c>
      <c r="G187" s="27" t="str">
        <f>IFERROR(INDEX('Base Exámenes'!$D$5:$D$1000, MATCH(A187&amp;"|"&amp;J187, 'Base Exámenes'!$I$5:$I$1000, 0)), "")</f>
        <v/>
      </c>
      <c r="H187" s="27" t="str">
        <f>IFERROR(INDEX('Base Exámenes'!$E$5:$E$1000, MATCH(A187&amp;"|"&amp;J187, 'Base Exámenes'!$I$5:$I$1000, 0)), "")</f>
        <v/>
      </c>
      <c r="I187" s="26" t="str">
        <f>IFERROR(INDEX('Base Exámenes'!$F$5:$F$1000, MATCH(A187&amp;"|"&amp;J187, 'Base Exámenes'!$I$5:$I$1000, 0)), "")</f>
        <v/>
      </c>
      <c r="J187" s="6" t="str">
        <f>IF(F187="Completado", _xlfn.MAXIFS('Base Exámenes'!$G$5:$G$1000, 'Base Exámenes'!$C$5:$C$1000, A187), "")</f>
        <v/>
      </c>
      <c r="K187" s="6" t="str">
        <f>IFERROR(INDEX('Base Exámenes'!$H$5:$H$1000, MATCH(A187&amp;"|"&amp;J187, 'Base Exámenes'!$I$5:$I$1000, 0)), "anonymous")</f>
        <v>anonymous</v>
      </c>
      <c r="L187" s="95">
        <f>COUNTIF('Base Exámenes'!$C$5:$C$1000, A187)</f>
        <v>0</v>
      </c>
    </row>
    <row r="188">
      <c r="A188" s="4" t="str">
        <f>'Base Oficial'!A188</f>
        <v>713</v>
      </c>
      <c r="B188" s="6" t="str">
        <f>'Base Oficial'!B188</f>
        <v>SANDRA VERONICA ACEVEDO BELTRAN </v>
      </c>
      <c r="C188" s="6" t="str">
        <f>'Base Oficial'!F188</f>
        <v>SUB GERENCIA DE CANALES </v>
      </c>
      <c r="D188" s="6" t="str">
        <f>'Base Oficial'!G188</f>
        <v>Gerencia de Negocios</v>
      </c>
      <c r="E188" s="6" t="str">
        <f>'Base Oficial'!D188</f>
        <v>ASISTENTE PARA CORRESPONSALES FINANCIEROS </v>
      </c>
      <c r="F188" s="4" t="str">
        <f>IF(COUNTIFS('Base Exámenes'!$C$5:$C$1000, A188, 'Base Exámenes'!$E$5:$E$1000, "&lt;&gt;")&gt;0, "Completado", "Pendiente")</f>
        <v>Pendiente</v>
      </c>
      <c r="G188" s="27" t="str">
        <f>IFERROR(INDEX('Base Exámenes'!$D$5:$D$1000, MATCH(A188&amp;"|"&amp;J188, 'Base Exámenes'!$I$5:$I$1000, 0)), "")</f>
        <v/>
      </c>
      <c r="H188" s="27" t="str">
        <f>IFERROR(INDEX('Base Exámenes'!$E$5:$E$1000, MATCH(A188&amp;"|"&amp;J188, 'Base Exámenes'!$I$5:$I$1000, 0)), "")</f>
        <v/>
      </c>
      <c r="I188" s="26" t="str">
        <f>IFERROR(INDEX('Base Exámenes'!$F$5:$F$1000, MATCH(A188&amp;"|"&amp;J188, 'Base Exámenes'!$I$5:$I$1000, 0)), "")</f>
        <v/>
      </c>
      <c r="J188" s="6" t="str">
        <f>IF(F188="Completado", _xlfn.MAXIFS('Base Exámenes'!$G$5:$G$1000, 'Base Exámenes'!$C$5:$C$1000, A188), "")</f>
        <v/>
      </c>
      <c r="K188" s="6" t="str">
        <f>IFERROR(INDEX('Base Exámenes'!$H$5:$H$1000, MATCH(A188&amp;"|"&amp;J188, 'Base Exámenes'!$I$5:$I$1000, 0)), "anonymous")</f>
        <v>anonymous</v>
      </c>
      <c r="L188" s="95">
        <f>COUNTIF('Base Exámenes'!$C$5:$C$1000, A188)</f>
        <v>0</v>
      </c>
    </row>
    <row r="189">
      <c r="A189" s="4" t="str">
        <f>'Base Oficial'!A189</f>
        <v>854</v>
      </c>
      <c r="B189" s="6" t="str">
        <f>'Base Oficial'!B189</f>
        <v>REBECA ABIGAIL VEGA FLORES </v>
      </c>
      <c r="C189" s="6" t="str">
        <f>'Base Oficial'!F189</f>
        <v>SUB GERENCIA DE CANALES </v>
      </c>
      <c r="D189" s="6" t="str">
        <f>'Base Oficial'!G189</f>
        <v>Gerencia de Negocios</v>
      </c>
      <c r="E189" s="6" t="str">
        <f>'Base Oficial'!D189</f>
        <v>CAJERO MOVIL</v>
      </c>
      <c r="F189" s="4" t="str">
        <f>IF(COUNTIFS('Base Exámenes'!$C$5:$C$1000, A189, 'Base Exámenes'!$E$5:$E$1000, "&lt;&gt;")&gt;0, "Completado", "Pendiente")</f>
        <v>Pendiente</v>
      </c>
      <c r="G189" s="27" t="str">
        <f>IFERROR(INDEX('Base Exámenes'!$D$5:$D$1000, MATCH(A189&amp;"|"&amp;J189, 'Base Exámenes'!$I$5:$I$1000, 0)), "")</f>
        <v/>
      </c>
      <c r="H189" s="27" t="str">
        <f>IFERROR(INDEX('Base Exámenes'!$E$5:$E$1000, MATCH(A189&amp;"|"&amp;J189, 'Base Exámenes'!$I$5:$I$1000, 0)), "")</f>
        <v/>
      </c>
      <c r="I189" s="26" t="str">
        <f>IFERROR(INDEX('Base Exámenes'!$F$5:$F$1000, MATCH(A189&amp;"|"&amp;J189, 'Base Exámenes'!$I$5:$I$1000, 0)), "")</f>
        <v/>
      </c>
      <c r="J189" s="6" t="str">
        <f>IF(F189="Completado", _xlfn.MAXIFS('Base Exámenes'!$G$5:$G$1000, 'Base Exámenes'!$C$5:$C$1000, A189), "")</f>
        <v/>
      </c>
      <c r="K189" s="6" t="str">
        <f>IFERROR(INDEX('Base Exámenes'!$H$5:$H$1000, MATCH(A189&amp;"|"&amp;J189, 'Base Exámenes'!$I$5:$I$1000, 0)), "anonymous")</f>
        <v>anonymous</v>
      </c>
      <c r="L189" s="95">
        <f>COUNTIF('Base Exámenes'!$C$5:$C$1000, A189)</f>
        <v>0</v>
      </c>
    </row>
    <row r="190">
      <c r="A190" s="4" t="str">
        <f>'Base Oficial'!A190</f>
        <v>968</v>
      </c>
      <c r="B190" s="6" t="str">
        <f>'Base Oficial'!B190</f>
        <v>SAMUEL ALBERTO SALGUERO RODRIGUEZ </v>
      </c>
      <c r="C190" s="6" t="str">
        <f>'Base Oficial'!F190</f>
        <v>SUB GERENCIA DE CANALES </v>
      </c>
      <c r="D190" s="6" t="str">
        <f>'Base Oficial'!G190</f>
        <v>Gerencia de Negocios</v>
      </c>
      <c r="E190" s="6" t="str">
        <f>'Base Oficial'!D190</f>
        <v>CAJERO MOVIL</v>
      </c>
      <c r="F190" s="4" t="str">
        <f>IF(COUNTIFS('Base Exámenes'!$C$5:$C$1000, A190, 'Base Exámenes'!$E$5:$E$1000, "&lt;&gt;")&gt;0, "Completado", "Pendiente")</f>
        <v>Completado</v>
      </c>
      <c r="G190" s="27">
        <f>IFERROR(INDEX('Base Exámenes'!$D$5:$D$1000, MATCH(A190&amp;"|"&amp;J190, 'Base Exámenes'!$I$5:$I$1000, 0)), "")</f>
        <v>46309.37976851852</v>
      </c>
      <c r="H190" s="27">
        <f>IFERROR(INDEX('Base Exámenes'!$E$5:$E$1000, MATCH(A190&amp;"|"&amp;J190, 'Base Exámenes'!$I$5:$I$1000, 0)), "")</f>
        <v>46309.38234953704</v>
      </c>
      <c r="I190" s="26">
        <f>IFERROR(INDEX('Base Exámenes'!$F$5:$F$1000, MATCH(A190&amp;"|"&amp;J190, 'Base Exámenes'!$I$5:$I$1000, 0)), "")</f>
        <v>3.71666666666667</v>
      </c>
      <c r="J190" s="6">
        <f>IF(F190="Completado", _xlfn.MAXIFS('Base Exámenes'!$G$5:$G$1000, 'Base Exámenes'!$C$5:$C$1000, A190), "")</f>
        <v>90</v>
      </c>
      <c r="K190" s="6" t="str">
        <f>IFERROR(INDEX('Base Exámenes'!$H$5:$H$1000, MATCH(A190&amp;"|"&amp;J190, 'Base Exámenes'!$I$5:$I$1000, 0)), "anonymous")</f>
        <v>anonymous</v>
      </c>
      <c r="L190" s="95">
        <f>COUNTIF('Base Exámenes'!$C$5:$C$1000, A190)</f>
        <v>1</v>
      </c>
    </row>
    <row r="191">
      <c r="A191" s="4" t="str">
        <f>'Base Oficial'!A191</f>
        <v>33</v>
      </c>
      <c r="B191" s="6" t="str">
        <f>'Base Oficial'!B191</f>
        <v>CAROLINA ELIZABETH RAMIREZ PONCE </v>
      </c>
      <c r="C191" s="6" t="str">
        <f>'Base Oficial'!F191</f>
        <v>AGENCIA CENTRAL  </v>
      </c>
      <c r="D191" s="6" t="str">
        <f>'Base Oficial'!G191</f>
        <v>Gerencia de Negocios</v>
      </c>
      <c r="E191" s="6" t="str">
        <f>'Base Oficial'!D191</f>
        <v>SUBJEFE DE  AGENCIA</v>
      </c>
      <c r="F191" s="4" t="str">
        <f>IF(COUNTIFS('Base Exámenes'!$C$5:$C$1000, A191, 'Base Exámenes'!$E$5:$E$1000, "&lt;&gt;")&gt;0, "Completado", "Pendiente")</f>
        <v>Completado</v>
      </c>
      <c r="G191" s="27">
        <f>IFERROR(INDEX('Base Exámenes'!$D$5:$D$1000, MATCH(A191&amp;"|"&amp;J191, 'Base Exámenes'!$I$5:$I$1000, 0)), "")</f>
        <v>46308.60721064815</v>
      </c>
      <c r="H191" s="27">
        <f>IFERROR(INDEX('Base Exámenes'!$E$5:$E$1000, MATCH(A191&amp;"|"&amp;J191, 'Base Exámenes'!$I$5:$I$1000, 0)), "")</f>
        <v>46308.61247685185</v>
      </c>
      <c r="I191" s="26">
        <f>IFERROR(INDEX('Base Exámenes'!$F$5:$F$1000, MATCH(A191&amp;"|"&amp;J191, 'Base Exámenes'!$I$5:$I$1000, 0)), "")</f>
        <v>7.58333333333333</v>
      </c>
      <c r="J191" s="6">
        <f>IF(F191="Completado", _xlfn.MAXIFS('Base Exámenes'!$G$5:$G$1000, 'Base Exámenes'!$C$5:$C$1000, A191), "")</f>
        <v>100</v>
      </c>
      <c r="K191" s="6" t="str">
        <f>IFERROR(INDEX('Base Exámenes'!$H$5:$H$1000, MATCH(A191&amp;"|"&amp;J191, 'Base Exámenes'!$I$5:$I$1000, 0)), "anonymous")</f>
        <v>anonymous</v>
      </c>
      <c r="L191" s="95">
        <f>COUNTIF('Base Exámenes'!$C$5:$C$1000, A191)</f>
        <v>1</v>
      </c>
    </row>
    <row r="192">
      <c r="A192" s="4" t="str">
        <f>'Base Oficial'!A192</f>
        <v>49</v>
      </c>
      <c r="B192" s="6" t="str">
        <f>'Base Oficial'!B192</f>
        <v>GRISELDA DEL CARMEN DOMINGUEZ MERINO</v>
      </c>
      <c r="C192" s="6" t="str">
        <f>'Base Oficial'!F192</f>
        <v>AGENCIA CENTRAL  </v>
      </c>
      <c r="D192" s="6" t="str">
        <f>'Base Oficial'!G192</f>
        <v>Gerencia de Negocios</v>
      </c>
      <c r="E192" s="6" t="str">
        <f>'Base Oficial'!D192</f>
        <v>EJECUTIVO DE NEGOCIOS</v>
      </c>
      <c r="F192" s="4" t="str">
        <f>IF(COUNTIFS('Base Exámenes'!$C$5:$C$1000, A192, 'Base Exámenes'!$E$5:$E$1000, "&lt;&gt;")&gt;0, "Completado", "Pendiente")</f>
        <v>Pendiente</v>
      </c>
      <c r="G192" s="27" t="str">
        <f>IFERROR(INDEX('Base Exámenes'!$D$5:$D$1000, MATCH(A192&amp;"|"&amp;J192, 'Base Exámenes'!$I$5:$I$1000, 0)), "")</f>
        <v/>
      </c>
      <c r="H192" s="27" t="str">
        <f>IFERROR(INDEX('Base Exámenes'!$E$5:$E$1000, MATCH(A192&amp;"|"&amp;J192, 'Base Exámenes'!$I$5:$I$1000, 0)), "")</f>
        <v/>
      </c>
      <c r="I192" s="26" t="str">
        <f>IFERROR(INDEX('Base Exámenes'!$F$5:$F$1000, MATCH(A192&amp;"|"&amp;J192, 'Base Exámenes'!$I$5:$I$1000, 0)), "")</f>
        <v/>
      </c>
      <c r="J192" s="6" t="str">
        <f>IF(F192="Completado", _xlfn.MAXIFS('Base Exámenes'!$G$5:$G$1000, 'Base Exámenes'!$C$5:$C$1000, A192), "")</f>
        <v/>
      </c>
      <c r="K192" s="6" t="str">
        <f>IFERROR(INDEX('Base Exámenes'!$H$5:$H$1000, MATCH(A192&amp;"|"&amp;J192, 'Base Exámenes'!$I$5:$I$1000, 0)), "anonymous")</f>
        <v>anonymous</v>
      </c>
      <c r="L192" s="95">
        <f>COUNTIF('Base Exámenes'!$C$5:$C$1000, A192)</f>
        <v>0</v>
      </c>
    </row>
    <row r="193">
      <c r="A193" s="4" t="str">
        <f>'Base Oficial'!A193</f>
        <v>234</v>
      </c>
      <c r="B193" s="6" t="str">
        <f>'Base Oficial'!B193</f>
        <v>LETICIA ESMERALDA ROSA </v>
      </c>
      <c r="C193" s="6" t="str">
        <f>'Base Oficial'!F193</f>
        <v>AGENCIA CENTRAL  </v>
      </c>
      <c r="D193" s="6" t="str">
        <f>'Base Oficial'!G193</f>
        <v>Gerencia de Negocios</v>
      </c>
      <c r="E193" s="6" t="str">
        <f>'Base Oficial'!D193</f>
        <v>EJECUTIVO DE NEGOCIOS</v>
      </c>
      <c r="F193" s="4" t="str">
        <f>IF(COUNTIFS('Base Exámenes'!$C$5:$C$1000, A193, 'Base Exámenes'!$E$5:$E$1000, "&lt;&gt;")&gt;0, "Completado", "Pendiente")</f>
        <v>Pendiente</v>
      </c>
      <c r="G193" s="27" t="str">
        <f>IFERROR(INDEX('Base Exámenes'!$D$5:$D$1000, MATCH(A193&amp;"|"&amp;J193, 'Base Exámenes'!$I$5:$I$1000, 0)), "")</f>
        <v/>
      </c>
      <c r="H193" s="27" t="str">
        <f>IFERROR(INDEX('Base Exámenes'!$E$5:$E$1000, MATCH(A193&amp;"|"&amp;J193, 'Base Exámenes'!$I$5:$I$1000, 0)), "")</f>
        <v/>
      </c>
      <c r="I193" s="26" t="str">
        <f>IFERROR(INDEX('Base Exámenes'!$F$5:$F$1000, MATCH(A193&amp;"|"&amp;J193, 'Base Exámenes'!$I$5:$I$1000, 0)), "")</f>
        <v/>
      </c>
      <c r="J193" s="6" t="str">
        <f>IF(F193="Completado", _xlfn.MAXIFS('Base Exámenes'!$G$5:$G$1000, 'Base Exámenes'!$C$5:$C$1000, A193), "")</f>
        <v/>
      </c>
      <c r="K193" s="6" t="str">
        <f>IFERROR(INDEX('Base Exámenes'!$H$5:$H$1000, MATCH(A193&amp;"|"&amp;J193, 'Base Exámenes'!$I$5:$I$1000, 0)), "anonymous")</f>
        <v>anonymous</v>
      </c>
      <c r="L193" s="95">
        <f>COUNTIF('Base Exámenes'!$C$5:$C$1000, A193)</f>
        <v>0</v>
      </c>
    </row>
    <row r="194">
      <c r="A194" s="4" t="str">
        <f>'Base Oficial'!A194</f>
        <v>253</v>
      </c>
      <c r="B194" s="6" t="str">
        <f>'Base Oficial'!B194</f>
        <v>ELSY GUADALUPE COREA AGUILUZ </v>
      </c>
      <c r="C194" s="6" t="str">
        <f>'Base Oficial'!F194</f>
        <v>AGENCIA CENTRAL  </v>
      </c>
      <c r="D194" s="6" t="str">
        <f>'Base Oficial'!G194</f>
        <v>Gerencia de Negocios</v>
      </c>
      <c r="E194" s="6" t="str">
        <f>'Base Oficial'!D194</f>
        <v>EJECUTIVO DE NEGOCIOS</v>
      </c>
      <c r="F194" s="4" t="str">
        <f>IF(COUNTIFS('Base Exámenes'!$C$5:$C$1000, A194, 'Base Exámenes'!$E$5:$E$1000, "&lt;&gt;")&gt;0, "Completado", "Pendiente")</f>
        <v>Pendiente</v>
      </c>
      <c r="G194" s="27" t="str">
        <f>IFERROR(INDEX('Base Exámenes'!$D$5:$D$1000, MATCH(A194&amp;"|"&amp;J194, 'Base Exámenes'!$I$5:$I$1000, 0)), "")</f>
        <v/>
      </c>
      <c r="H194" s="27" t="str">
        <f>IFERROR(INDEX('Base Exámenes'!$E$5:$E$1000, MATCH(A194&amp;"|"&amp;J194, 'Base Exámenes'!$I$5:$I$1000, 0)), "")</f>
        <v/>
      </c>
      <c r="I194" s="26" t="str">
        <f>IFERROR(INDEX('Base Exámenes'!$F$5:$F$1000, MATCH(A194&amp;"|"&amp;J194, 'Base Exámenes'!$I$5:$I$1000, 0)), "")</f>
        <v/>
      </c>
      <c r="J194" s="6" t="str">
        <f>IF(F194="Completado", _xlfn.MAXIFS('Base Exámenes'!$G$5:$G$1000, 'Base Exámenes'!$C$5:$C$1000, A194), "")</f>
        <v/>
      </c>
      <c r="K194" s="6" t="str">
        <f>IFERROR(INDEX('Base Exámenes'!$H$5:$H$1000, MATCH(A194&amp;"|"&amp;J194, 'Base Exámenes'!$I$5:$I$1000, 0)), "anonymous")</f>
        <v>anonymous</v>
      </c>
      <c r="L194" s="95">
        <f>COUNTIF('Base Exámenes'!$C$5:$C$1000, A194)</f>
        <v>0</v>
      </c>
    </row>
    <row r="195">
      <c r="A195" s="4" t="str">
        <f>'Base Oficial'!A195</f>
        <v>385</v>
      </c>
      <c r="B195" s="6" t="str">
        <f>'Base Oficial'!B195</f>
        <v>BLANCA ARACELY MORENO HERNANDEZ </v>
      </c>
      <c r="C195" s="6" t="str">
        <f>'Base Oficial'!F195</f>
        <v>AGENCIA CENTRAL  </v>
      </c>
      <c r="D195" s="6" t="str">
        <f>'Base Oficial'!G195</f>
        <v>Gerencia de Negocios</v>
      </c>
      <c r="E195" s="6" t="str">
        <f>'Base Oficial'!D195</f>
        <v>AUXILIAR DE OPERACIONES Y ATENCION EN  AGENCIA</v>
      </c>
      <c r="F195" s="4" t="str">
        <f>IF(COUNTIFS('Base Exámenes'!$C$5:$C$1000, A195, 'Base Exámenes'!$E$5:$E$1000, "&lt;&gt;")&gt;0, "Completado", "Pendiente")</f>
        <v>Pendiente</v>
      </c>
      <c r="G195" s="27" t="str">
        <f>IFERROR(INDEX('Base Exámenes'!$D$5:$D$1000, MATCH(A195&amp;"|"&amp;J195, 'Base Exámenes'!$I$5:$I$1000, 0)), "")</f>
        <v/>
      </c>
      <c r="H195" s="27" t="str">
        <f>IFERROR(INDEX('Base Exámenes'!$E$5:$E$1000, MATCH(A195&amp;"|"&amp;J195, 'Base Exámenes'!$I$5:$I$1000, 0)), "")</f>
        <v/>
      </c>
      <c r="I195" s="26" t="str">
        <f>IFERROR(INDEX('Base Exámenes'!$F$5:$F$1000, MATCH(A195&amp;"|"&amp;J195, 'Base Exámenes'!$I$5:$I$1000, 0)), "")</f>
        <v/>
      </c>
      <c r="J195" s="6" t="str">
        <f>IF(F195="Completado", _xlfn.MAXIFS('Base Exámenes'!$G$5:$G$1000, 'Base Exámenes'!$C$5:$C$1000, A195), "")</f>
        <v/>
      </c>
      <c r="K195" s="6" t="str">
        <f>IFERROR(INDEX('Base Exámenes'!$H$5:$H$1000, MATCH(A195&amp;"|"&amp;J195, 'Base Exámenes'!$I$5:$I$1000, 0)), "anonymous")</f>
        <v>anonymous</v>
      </c>
      <c r="L195" s="95">
        <f>COUNTIF('Base Exámenes'!$C$5:$C$1000, A195)</f>
        <v>0</v>
      </c>
    </row>
    <row r="196">
      <c r="A196" s="4" t="str">
        <f>'Base Oficial'!A196</f>
        <v>440</v>
      </c>
      <c r="B196" s="6" t="str">
        <f>'Base Oficial'!B196</f>
        <v>KARLA MERCEDES DELEON DELGADO </v>
      </c>
      <c r="C196" s="6" t="str">
        <f>'Base Oficial'!F196</f>
        <v>AGENCIA CENTRAL  </v>
      </c>
      <c r="D196" s="6" t="str">
        <f>'Base Oficial'!G196</f>
        <v>Gerencia de Negocios</v>
      </c>
      <c r="E196" s="6" t="str">
        <f>'Base Oficial'!D196</f>
        <v>JEFE DE AGENCIA  </v>
      </c>
      <c r="F196" s="4" t="str">
        <f>IF(COUNTIFS('Base Exámenes'!$C$5:$C$1000, A196, 'Base Exámenes'!$E$5:$E$1000, "&lt;&gt;")&gt;0, "Completado", "Pendiente")</f>
        <v>Pendiente</v>
      </c>
      <c r="G196" s="27" t="str">
        <f>IFERROR(INDEX('Base Exámenes'!$D$5:$D$1000, MATCH(A196&amp;"|"&amp;J196, 'Base Exámenes'!$I$5:$I$1000, 0)), "")</f>
        <v/>
      </c>
      <c r="H196" s="27" t="str">
        <f>IFERROR(INDEX('Base Exámenes'!$E$5:$E$1000, MATCH(A196&amp;"|"&amp;J196, 'Base Exámenes'!$I$5:$I$1000, 0)), "")</f>
        <v/>
      </c>
      <c r="I196" s="26" t="str">
        <f>IFERROR(INDEX('Base Exámenes'!$F$5:$F$1000, MATCH(A196&amp;"|"&amp;J196, 'Base Exámenes'!$I$5:$I$1000, 0)), "")</f>
        <v/>
      </c>
      <c r="J196" s="6" t="str">
        <f>IF(F196="Completado", _xlfn.MAXIFS('Base Exámenes'!$G$5:$G$1000, 'Base Exámenes'!$C$5:$C$1000, A196), "")</f>
        <v/>
      </c>
      <c r="K196" s="6" t="str">
        <f>IFERROR(INDEX('Base Exámenes'!$H$5:$H$1000, MATCH(A196&amp;"|"&amp;J196, 'Base Exámenes'!$I$5:$I$1000, 0)), "anonymous")</f>
        <v>anonymous</v>
      </c>
      <c r="L196" s="95">
        <f>COUNTIF('Base Exámenes'!$C$5:$C$1000, A196)</f>
        <v>0</v>
      </c>
    </row>
    <row r="197">
      <c r="A197" s="4" t="str">
        <f>'Base Oficial'!A197</f>
        <v>542</v>
      </c>
      <c r="B197" s="6" t="str">
        <f>'Base Oficial'!B197</f>
        <v>ANA SILVIA ROQUE SANCHEZ </v>
      </c>
      <c r="C197" s="6" t="str">
        <f>'Base Oficial'!F197</f>
        <v>AGENCIA CENTRAL  </v>
      </c>
      <c r="D197" s="6" t="str">
        <f>'Base Oficial'!G197</f>
        <v>Gerencia de Negocios</v>
      </c>
      <c r="E197" s="6" t="str">
        <f>'Base Oficial'!D197</f>
        <v>EJECUTIVA DE SEGUROS</v>
      </c>
      <c r="F197" s="4" t="str">
        <f>IF(COUNTIFS('Base Exámenes'!$C$5:$C$1000, A197, 'Base Exámenes'!$E$5:$E$1000, "&lt;&gt;")&gt;0, "Completado", "Pendiente")</f>
        <v>Completado</v>
      </c>
      <c r="G197" s="27">
        <f>IFERROR(INDEX('Base Exámenes'!$D$5:$D$1000, MATCH(A197&amp;"|"&amp;J197, 'Base Exámenes'!$I$5:$I$1000, 0)), "")</f>
        <v>46302.63820601852</v>
      </c>
      <c r="H197" s="27">
        <f>IFERROR(INDEX('Base Exámenes'!$E$5:$E$1000, MATCH(A197&amp;"|"&amp;J197, 'Base Exámenes'!$I$5:$I$1000, 0)), "")</f>
        <v>46302.67400462963</v>
      </c>
      <c r="I197" s="26">
        <f>IFERROR(INDEX('Base Exámenes'!$F$5:$F$1000, MATCH(A197&amp;"|"&amp;J197, 'Base Exámenes'!$I$5:$I$1000, 0)), "")</f>
        <v>51.55</v>
      </c>
      <c r="J197" s="6">
        <f>IF(F197="Completado", _xlfn.MAXIFS('Base Exámenes'!$G$5:$G$1000, 'Base Exámenes'!$C$5:$C$1000, A197), "")</f>
        <v>95</v>
      </c>
      <c r="K197" s="6" t="str">
        <f>IFERROR(INDEX('Base Exámenes'!$H$5:$H$1000, MATCH(A197&amp;"|"&amp;J197, 'Base Exámenes'!$I$5:$I$1000, 0)), "anonymous")</f>
        <v>anonymous</v>
      </c>
      <c r="L197" s="95">
        <f>COUNTIF('Base Exámenes'!$C$5:$C$1000, A197)</f>
        <v>1</v>
      </c>
    </row>
    <row r="198">
      <c r="A198" s="4" t="str">
        <f>'Base Oficial'!A198</f>
        <v>739</v>
      </c>
      <c r="B198" s="6" t="str">
        <f>'Base Oficial'!B198</f>
        <v>JOHANA PATRICIA LUNA RAMOS </v>
      </c>
      <c r="C198" s="6" t="str">
        <f>'Base Oficial'!F198</f>
        <v>AGENCIA CENTRAL  </v>
      </c>
      <c r="D198" s="6" t="str">
        <f>'Base Oficial'!G198</f>
        <v>Gerencia de Negocios</v>
      </c>
      <c r="E198" s="6" t="str">
        <f>'Base Oficial'!D198</f>
        <v>CAJERO</v>
      </c>
      <c r="F198" s="4" t="str">
        <f>IF(COUNTIFS('Base Exámenes'!$C$5:$C$1000, A198, 'Base Exámenes'!$E$5:$E$1000, "&lt;&gt;")&gt;0, "Completado", "Pendiente")</f>
        <v>Pendiente</v>
      </c>
      <c r="G198" s="27" t="str">
        <f>IFERROR(INDEX('Base Exámenes'!$D$5:$D$1000, MATCH(A198&amp;"|"&amp;J198, 'Base Exámenes'!$I$5:$I$1000, 0)), "")</f>
        <v/>
      </c>
      <c r="H198" s="27" t="str">
        <f>IFERROR(INDEX('Base Exámenes'!$E$5:$E$1000, MATCH(A198&amp;"|"&amp;J198, 'Base Exámenes'!$I$5:$I$1000, 0)), "")</f>
        <v/>
      </c>
      <c r="I198" s="26" t="str">
        <f>IFERROR(INDEX('Base Exámenes'!$F$5:$F$1000, MATCH(A198&amp;"|"&amp;J198, 'Base Exámenes'!$I$5:$I$1000, 0)), "")</f>
        <v/>
      </c>
      <c r="J198" s="6" t="str">
        <f>IF(F198="Completado", _xlfn.MAXIFS('Base Exámenes'!$G$5:$G$1000, 'Base Exámenes'!$C$5:$C$1000, A198), "")</f>
        <v/>
      </c>
      <c r="K198" s="6" t="str">
        <f>IFERROR(INDEX('Base Exámenes'!$H$5:$H$1000, MATCH(A198&amp;"|"&amp;J198, 'Base Exámenes'!$I$5:$I$1000, 0)), "anonymous")</f>
        <v>anonymous</v>
      </c>
      <c r="L198" s="95">
        <f>COUNTIF('Base Exámenes'!$C$5:$C$1000, A198)</f>
        <v>0</v>
      </c>
    </row>
    <row r="199">
      <c r="A199" s="4" t="str">
        <f>'Base Oficial'!A199</f>
        <v>757</v>
      </c>
      <c r="B199" s="6" t="str">
        <f>'Base Oficial'!B199</f>
        <v>MARIA DE LOS ANGELES  OSORIO GIL </v>
      </c>
      <c r="C199" s="6" t="str">
        <f>'Base Oficial'!F199</f>
        <v>AGENCIA CENTRAL  </v>
      </c>
      <c r="D199" s="6" t="str">
        <f>'Base Oficial'!G199</f>
        <v>Gerencia de Negocios</v>
      </c>
      <c r="E199" s="6" t="str">
        <f>'Base Oficial'!D199</f>
        <v>CAJERO</v>
      </c>
      <c r="F199" s="4" t="str">
        <f>IF(COUNTIFS('Base Exámenes'!$C$5:$C$1000, A199, 'Base Exámenes'!$E$5:$E$1000, "&lt;&gt;")&gt;0, "Completado", "Pendiente")</f>
        <v>Completado</v>
      </c>
      <c r="G199" s="27">
        <f>IFERROR(INDEX('Base Exámenes'!$D$5:$D$1000, MATCH(A199&amp;"|"&amp;J199, 'Base Exámenes'!$I$5:$I$1000, 0)), "")</f>
        <v>46303.441712962966</v>
      </c>
      <c r="H199" s="27">
        <f>IFERROR(INDEX('Base Exámenes'!$E$5:$E$1000, MATCH(A199&amp;"|"&amp;J199, 'Base Exámenes'!$I$5:$I$1000, 0)), "")</f>
        <v>46303.443460648145</v>
      </c>
      <c r="I199" s="26">
        <f>IFERROR(INDEX('Base Exámenes'!$F$5:$F$1000, MATCH(A199&amp;"|"&amp;J199, 'Base Exámenes'!$I$5:$I$1000, 0)), "")</f>
        <v>2.5166666368</v>
      </c>
      <c r="J199" s="6">
        <f>IF(F199="Completado", _xlfn.MAXIFS('Base Exámenes'!$G$5:$G$1000, 'Base Exámenes'!$C$5:$C$1000, A199), "")</f>
        <v>100</v>
      </c>
      <c r="K199" s="6" t="str">
        <f>IFERROR(INDEX('Base Exámenes'!$H$5:$H$1000, MATCH(A199&amp;"|"&amp;J199, 'Base Exámenes'!$I$5:$I$1000, 0)), "anonymous")</f>
        <v>anonymous</v>
      </c>
      <c r="L199" s="95">
        <f>COUNTIF('Base Exámenes'!$C$5:$C$1000, A199)</f>
        <v>1</v>
      </c>
    </row>
    <row r="200">
      <c r="A200" s="4" t="str">
        <f>'Base Oficial'!A200</f>
        <v>768</v>
      </c>
      <c r="B200" s="6" t="str">
        <f>'Base Oficial'!B200</f>
        <v>KATHERINE MICHELLE LOPEZ LOPEZ </v>
      </c>
      <c r="C200" s="6" t="str">
        <f>'Base Oficial'!F200</f>
        <v>AGENCIA CENTRAL  </v>
      </c>
      <c r="D200" s="6" t="str">
        <f>'Base Oficial'!G200</f>
        <v>Gerencia de Negocios</v>
      </c>
      <c r="E200" s="6" t="str">
        <f>'Base Oficial'!D200</f>
        <v>AUXILIAR DE OPERACIONES Y ATENCION EN  AGENCIA</v>
      </c>
      <c r="F200" s="4" t="str">
        <f>IF(COUNTIFS('Base Exámenes'!$C$5:$C$1000, A200, 'Base Exámenes'!$E$5:$E$1000, "&lt;&gt;")&gt;0, "Completado", "Pendiente")</f>
        <v>Pendiente</v>
      </c>
      <c r="G200" s="27" t="str">
        <f>IFERROR(INDEX('Base Exámenes'!$D$5:$D$1000, MATCH(A200&amp;"|"&amp;J200, 'Base Exámenes'!$I$5:$I$1000, 0)), "")</f>
        <v/>
      </c>
      <c r="H200" s="27" t="str">
        <f>IFERROR(INDEX('Base Exámenes'!$E$5:$E$1000, MATCH(A200&amp;"|"&amp;J200, 'Base Exámenes'!$I$5:$I$1000, 0)), "")</f>
        <v/>
      </c>
      <c r="I200" s="26" t="str">
        <f>IFERROR(INDEX('Base Exámenes'!$F$5:$F$1000, MATCH(A200&amp;"|"&amp;J200, 'Base Exámenes'!$I$5:$I$1000, 0)), "")</f>
        <v/>
      </c>
      <c r="J200" s="6" t="str">
        <f>IF(F200="Completado", _xlfn.MAXIFS('Base Exámenes'!$G$5:$G$1000, 'Base Exámenes'!$C$5:$C$1000, A200), "")</f>
        <v/>
      </c>
      <c r="K200" s="6" t="str">
        <f>IFERROR(INDEX('Base Exámenes'!$H$5:$H$1000, MATCH(A200&amp;"|"&amp;J200, 'Base Exámenes'!$I$5:$I$1000, 0)), "anonymous")</f>
        <v>anonymous</v>
      </c>
      <c r="L200" s="95">
        <f>COUNTIF('Base Exámenes'!$C$5:$C$1000, A200)</f>
        <v>0</v>
      </c>
    </row>
    <row r="201">
      <c r="A201" s="4" t="str">
        <f>'Base Oficial'!A201</f>
        <v>848</v>
      </c>
      <c r="B201" s="6" t="str">
        <f>'Base Oficial'!B201</f>
        <v>JAZMIN ABIGAIL VASQUEZ AVELAR </v>
      </c>
      <c r="C201" s="6" t="str">
        <f>'Base Oficial'!F201</f>
        <v>AGENCIA CENTRAL  </v>
      </c>
      <c r="D201" s="6" t="str">
        <f>'Base Oficial'!G201</f>
        <v>Gerencia de Negocios</v>
      </c>
      <c r="E201" s="6" t="str">
        <f>'Base Oficial'!D201</f>
        <v>CAJERO</v>
      </c>
      <c r="F201" s="4" t="str">
        <f>IF(COUNTIFS('Base Exámenes'!$C$5:$C$1000, A201, 'Base Exámenes'!$E$5:$E$1000, "&lt;&gt;")&gt;0, "Completado", "Pendiente")</f>
        <v>Pendiente</v>
      </c>
      <c r="G201" s="27" t="str">
        <f>IFERROR(INDEX('Base Exámenes'!$D$5:$D$1000, MATCH(A201&amp;"|"&amp;J201, 'Base Exámenes'!$I$5:$I$1000, 0)), "")</f>
        <v/>
      </c>
      <c r="H201" s="27" t="str">
        <f>IFERROR(INDEX('Base Exámenes'!$E$5:$E$1000, MATCH(A201&amp;"|"&amp;J201, 'Base Exámenes'!$I$5:$I$1000, 0)), "")</f>
        <v/>
      </c>
      <c r="I201" s="26" t="str">
        <f>IFERROR(INDEX('Base Exámenes'!$F$5:$F$1000, MATCH(A201&amp;"|"&amp;J201, 'Base Exámenes'!$I$5:$I$1000, 0)), "")</f>
        <v/>
      </c>
      <c r="J201" s="6" t="str">
        <f>IF(F201="Completado", _xlfn.MAXIFS('Base Exámenes'!$G$5:$G$1000, 'Base Exámenes'!$C$5:$C$1000, A201), "")</f>
        <v/>
      </c>
      <c r="K201" s="6" t="str">
        <f>IFERROR(INDEX('Base Exámenes'!$H$5:$H$1000, MATCH(A201&amp;"|"&amp;J201, 'Base Exámenes'!$I$5:$I$1000, 0)), "anonymous")</f>
        <v>anonymous</v>
      </c>
      <c r="L201" s="95">
        <f>COUNTIF('Base Exámenes'!$C$5:$C$1000, A201)</f>
        <v>0</v>
      </c>
    </row>
    <row r="202">
      <c r="A202" s="4" t="str">
        <f>'Base Oficial'!A202</f>
        <v>857</v>
      </c>
      <c r="B202" s="6" t="str">
        <f>'Base Oficial'!B202</f>
        <v>ESTHER ABIGAIL FLORES GRANDE </v>
      </c>
      <c r="C202" s="6" t="str">
        <f>'Base Oficial'!F202</f>
        <v>AGENCIA CENTRAL  </v>
      </c>
      <c r="D202" s="6" t="str">
        <f>'Base Oficial'!G202</f>
        <v>Gerencia de Negocios</v>
      </c>
      <c r="E202" s="6" t="str">
        <f>'Base Oficial'!D202</f>
        <v>AUXILIAR DE OPERACIONES Y ATENCION EN  AGENCIA</v>
      </c>
      <c r="F202" s="4" t="str">
        <f>IF(COUNTIFS('Base Exámenes'!$C$5:$C$1000, A202, 'Base Exámenes'!$E$5:$E$1000, "&lt;&gt;")&gt;0, "Completado", "Pendiente")</f>
        <v>Pendiente</v>
      </c>
      <c r="G202" s="27" t="str">
        <f>IFERROR(INDEX('Base Exámenes'!$D$5:$D$1000, MATCH(A202&amp;"|"&amp;J202, 'Base Exámenes'!$I$5:$I$1000, 0)), "")</f>
        <v/>
      </c>
      <c r="H202" s="27" t="str">
        <f>IFERROR(INDEX('Base Exámenes'!$E$5:$E$1000, MATCH(A202&amp;"|"&amp;J202, 'Base Exámenes'!$I$5:$I$1000, 0)), "")</f>
        <v/>
      </c>
      <c r="I202" s="26" t="str">
        <f>IFERROR(INDEX('Base Exámenes'!$F$5:$F$1000, MATCH(A202&amp;"|"&amp;J202, 'Base Exámenes'!$I$5:$I$1000, 0)), "")</f>
        <v/>
      </c>
      <c r="J202" s="6" t="str">
        <f>IF(F202="Completado", _xlfn.MAXIFS('Base Exámenes'!$G$5:$G$1000, 'Base Exámenes'!$C$5:$C$1000, A202), "")</f>
        <v/>
      </c>
      <c r="K202" s="6" t="str">
        <f>IFERROR(INDEX('Base Exámenes'!$H$5:$H$1000, MATCH(A202&amp;"|"&amp;J202, 'Base Exámenes'!$I$5:$I$1000, 0)), "anonymous")</f>
        <v>anonymous</v>
      </c>
      <c r="L202" s="95">
        <f>COUNTIF('Base Exámenes'!$C$5:$C$1000, A202)</f>
        <v>0</v>
      </c>
    </row>
    <row r="203">
      <c r="A203" s="4" t="str">
        <f>'Base Oficial'!A203</f>
        <v>953</v>
      </c>
      <c r="B203" s="6" t="str">
        <f>'Base Oficial'!B203</f>
        <v>JESUS ADRIAN MENA AVALOS </v>
      </c>
      <c r="C203" s="6" t="str">
        <f>'Base Oficial'!F203</f>
        <v>AGENCIA CENTRAL  </v>
      </c>
      <c r="D203" s="6" t="str">
        <f>'Base Oficial'!G203</f>
        <v>Gerencia de Negocios</v>
      </c>
      <c r="E203" s="6" t="str">
        <f>'Base Oficial'!D203</f>
        <v>CAJERO</v>
      </c>
      <c r="F203" s="4" t="str">
        <f>IF(COUNTIFS('Base Exámenes'!$C$5:$C$1000, A203, 'Base Exámenes'!$E$5:$E$1000, "&lt;&gt;")&gt;0, "Completado", "Pendiente")</f>
        <v>Completado</v>
      </c>
      <c r="G203" s="27">
        <f>IFERROR(INDEX('Base Exámenes'!$D$5:$D$1000, MATCH(A203&amp;"|"&amp;J203, 'Base Exámenes'!$I$5:$I$1000, 0)), "")</f>
        <v>46302.62548611111</v>
      </c>
      <c r="H203" s="27">
        <f>IFERROR(INDEX('Base Exámenes'!$E$5:$E$1000, MATCH(A203&amp;"|"&amp;J203, 'Base Exámenes'!$I$5:$I$1000, 0)), "")</f>
        <v>46302.62670138889</v>
      </c>
      <c r="I203" s="26">
        <f>IFERROR(INDEX('Base Exámenes'!$F$5:$F$1000, MATCH(A203&amp;"|"&amp;J203, 'Base Exámenes'!$I$5:$I$1000, 0)), "")</f>
        <v>1.75</v>
      </c>
      <c r="J203" s="6">
        <f>IF(F203="Completado", _xlfn.MAXIFS('Base Exámenes'!$G$5:$G$1000, 'Base Exámenes'!$C$5:$C$1000, A203), "")</f>
        <v>100</v>
      </c>
      <c r="K203" s="6" t="str">
        <f>IFERROR(INDEX('Base Exámenes'!$H$5:$H$1000, MATCH(A203&amp;"|"&amp;J203, 'Base Exámenes'!$I$5:$I$1000, 0)), "anonymous")</f>
        <v>anonymous</v>
      </c>
      <c r="L203" s="95">
        <f>COUNTIF('Base Exámenes'!$C$5:$C$1000, A203)</f>
        <v>1</v>
      </c>
    </row>
    <row r="204">
      <c r="A204" s="4" t="str">
        <f>'Base Oficial'!A204</f>
        <v>956</v>
      </c>
      <c r="B204" s="6" t="str">
        <f>'Base Oficial'!B204</f>
        <v>ANGELA GABRIELA  REYES MOLINA </v>
      </c>
      <c r="C204" s="6" t="str">
        <f>'Base Oficial'!F204</f>
        <v>AGENCIA CENTRAL  </v>
      </c>
      <c r="D204" s="6" t="str">
        <f>'Base Oficial'!G204</f>
        <v>Gerencia de Negocios</v>
      </c>
      <c r="E204" s="6" t="str">
        <f>'Base Oficial'!D204</f>
        <v>CAJERO</v>
      </c>
      <c r="F204" s="4" t="str">
        <f>IF(COUNTIFS('Base Exámenes'!$C$5:$C$1000, A204, 'Base Exámenes'!$E$5:$E$1000, "&lt;&gt;")&gt;0, "Completado", "Pendiente")</f>
        <v>Completado</v>
      </c>
      <c r="G204" s="27">
        <f>IFERROR(INDEX('Base Exámenes'!$D$5:$D$1000, MATCH(A204&amp;"|"&amp;J204, 'Base Exámenes'!$I$5:$I$1000, 0)), "")</f>
        <v>46309.359456018516</v>
      </c>
      <c r="H204" s="27">
        <f>IFERROR(INDEX('Base Exámenes'!$E$5:$E$1000, MATCH(A204&amp;"|"&amp;J204, 'Base Exámenes'!$I$5:$I$1000, 0)), "")</f>
        <v>46309.366736111115</v>
      </c>
      <c r="I204" s="26">
        <f>IFERROR(INDEX('Base Exámenes'!$F$5:$F$1000, MATCH(A204&amp;"|"&amp;J204, 'Base Exámenes'!$I$5:$I$1000, 0)), "")</f>
        <v>10.4833333333333</v>
      </c>
      <c r="J204" s="6">
        <f>IF(F204="Completado", _xlfn.MAXIFS('Base Exámenes'!$G$5:$G$1000, 'Base Exámenes'!$C$5:$C$1000, A204), "")</f>
        <v>100</v>
      </c>
      <c r="K204" s="6" t="str">
        <f>IFERROR(INDEX('Base Exámenes'!$H$5:$H$1000, MATCH(A204&amp;"|"&amp;J204, 'Base Exámenes'!$I$5:$I$1000, 0)), "anonymous")</f>
        <v>anonymous</v>
      </c>
      <c r="L204" s="95">
        <f>COUNTIF('Base Exámenes'!$C$5:$C$1000, A204)</f>
        <v>1</v>
      </c>
    </row>
    <row r="205">
      <c r="A205" s="4" t="str">
        <f>'Base Oficial'!A205</f>
        <v>958</v>
      </c>
      <c r="B205" s="6" t="str">
        <f>'Base Oficial'!B205</f>
        <v>ALEXANDRA DANIELA PINEDA JIMENEZ </v>
      </c>
      <c r="C205" s="6" t="str">
        <f>'Base Oficial'!F205</f>
        <v>AGENCIA CENTRAL  </v>
      </c>
      <c r="D205" s="6" t="str">
        <f>'Base Oficial'!G205</f>
        <v>Gerencia de Negocios</v>
      </c>
      <c r="E205" s="6" t="str">
        <f>'Base Oficial'!D205</f>
        <v>AUXILIAR DE ATENCION A  ASOCIADOS</v>
      </c>
      <c r="F205" s="4" t="str">
        <f>IF(COUNTIFS('Base Exámenes'!$C$5:$C$1000, A205, 'Base Exámenes'!$E$5:$E$1000, "&lt;&gt;")&gt;0, "Completado", "Pendiente")</f>
        <v>Completado</v>
      </c>
      <c r="G205" s="27">
        <f>IFERROR(INDEX('Base Exámenes'!$D$5:$D$1000, MATCH(A205&amp;"|"&amp;J205, 'Base Exámenes'!$I$5:$I$1000, 0)), "")</f>
        <v>46305.38385416667</v>
      </c>
      <c r="H205" s="27">
        <f>IFERROR(INDEX('Base Exámenes'!$E$5:$E$1000, MATCH(A205&amp;"|"&amp;J205, 'Base Exámenes'!$I$5:$I$1000, 0)), "")</f>
        <v>46305.39554398148</v>
      </c>
      <c r="I205" s="26">
        <f>IFERROR(INDEX('Base Exámenes'!$F$5:$F$1000, MATCH(A205&amp;"|"&amp;J205, 'Base Exámenes'!$I$5:$I$1000, 0)), "")</f>
        <v>16.8333333333333</v>
      </c>
      <c r="J205" s="6">
        <f>IF(F205="Completado", _xlfn.MAXIFS('Base Exámenes'!$G$5:$G$1000, 'Base Exámenes'!$C$5:$C$1000, A205), "")</f>
        <v>75</v>
      </c>
      <c r="K205" s="6" t="str">
        <f>IFERROR(INDEX('Base Exámenes'!$H$5:$H$1000, MATCH(A205&amp;"|"&amp;J205, 'Base Exámenes'!$I$5:$I$1000, 0)), "anonymous")</f>
        <v>anonymous</v>
      </c>
      <c r="L205" s="95">
        <f>COUNTIF('Base Exámenes'!$C$5:$C$1000, A205)</f>
        <v>1</v>
      </c>
    </row>
    <row r="206">
      <c r="A206" s="4" t="str">
        <f>'Base Oficial'!A206</f>
        <v>960</v>
      </c>
      <c r="B206" s="6" t="str">
        <f>'Base Oficial'!B206</f>
        <v>LORENA DEL CARMEN MEJIA HERRERA </v>
      </c>
      <c r="C206" s="6" t="str">
        <f>'Base Oficial'!F206</f>
        <v>AGENCIA CENTRAL  </v>
      </c>
      <c r="D206" s="6" t="str">
        <f>'Base Oficial'!G206</f>
        <v>Gerencia de Negocios</v>
      </c>
      <c r="E206" s="6" t="str">
        <f>'Base Oficial'!D206</f>
        <v>CAJERO</v>
      </c>
      <c r="F206" s="4" t="str">
        <f>IF(COUNTIFS('Base Exámenes'!$C$5:$C$1000, A206, 'Base Exámenes'!$E$5:$E$1000, "&lt;&gt;")&gt;0, "Completado", "Pendiente")</f>
        <v>Completado</v>
      </c>
      <c r="G206" s="27">
        <f>IFERROR(INDEX('Base Exámenes'!$D$5:$D$1000, MATCH(A206&amp;"|"&amp;J206, 'Base Exámenes'!$I$5:$I$1000, 0)), "")</f>
        <v>46302.469988425924</v>
      </c>
      <c r="H206" s="27">
        <f>IFERROR(INDEX('Base Exámenes'!$E$5:$E$1000, MATCH(A206&amp;"|"&amp;J206, 'Base Exámenes'!$I$5:$I$1000, 0)), "")</f>
        <v>46302.48327546296</v>
      </c>
      <c r="I206" s="26">
        <f>IFERROR(INDEX('Base Exámenes'!$F$5:$F$1000, MATCH(A206&amp;"|"&amp;J206, 'Base Exámenes'!$I$5:$I$1000, 0)), "")</f>
        <v>19.1333333333333</v>
      </c>
      <c r="J206" s="6">
        <f>IF(F206="Completado", _xlfn.MAXIFS('Base Exámenes'!$G$5:$G$1000, 'Base Exámenes'!$C$5:$C$1000, A206), "")</f>
        <v>100</v>
      </c>
      <c r="K206" s="6" t="str">
        <f>IFERROR(INDEX('Base Exámenes'!$H$5:$H$1000, MATCH(A206&amp;"|"&amp;J206, 'Base Exámenes'!$I$5:$I$1000, 0)), "anonymous")</f>
        <v>anonymous</v>
      </c>
      <c r="L206" s="95">
        <f>COUNTIF('Base Exámenes'!$C$5:$C$1000, A206)</f>
        <v>1</v>
      </c>
    </row>
    <row r="207">
      <c r="A207" s="4" t="str">
        <f>'Base Oficial'!A207</f>
        <v>974</v>
      </c>
      <c r="B207" s="6" t="str">
        <f>'Base Oficial'!B207</f>
        <v>LEIDY VANESSA GUZMAN SERVELLON  </v>
      </c>
      <c r="C207" s="6" t="str">
        <f>'Base Oficial'!F207</f>
        <v>AGENCIA CENTRAL  </v>
      </c>
      <c r="D207" s="6" t="str">
        <f>'Base Oficial'!G207</f>
        <v>Gerencia de Negocios</v>
      </c>
      <c r="E207" s="6" t="str">
        <f>'Base Oficial'!D207</f>
        <v>CAJERO</v>
      </c>
      <c r="F207" s="4" t="str">
        <f>IF(COUNTIFS('Base Exámenes'!$C$5:$C$1000, A207, 'Base Exámenes'!$E$5:$E$1000, "&lt;&gt;")&gt;0, "Completado", "Pendiente")</f>
        <v>Pendiente</v>
      </c>
      <c r="G207" s="27" t="str">
        <f>IFERROR(INDEX('Base Exámenes'!$D$5:$D$1000, MATCH(A207&amp;"|"&amp;J207, 'Base Exámenes'!$I$5:$I$1000, 0)), "")</f>
        <v/>
      </c>
      <c r="H207" s="27" t="str">
        <f>IFERROR(INDEX('Base Exámenes'!$E$5:$E$1000, MATCH(A207&amp;"|"&amp;J207, 'Base Exámenes'!$I$5:$I$1000, 0)), "")</f>
        <v/>
      </c>
      <c r="I207" s="26" t="str">
        <f>IFERROR(INDEX('Base Exámenes'!$F$5:$F$1000, MATCH(A207&amp;"|"&amp;J207, 'Base Exámenes'!$I$5:$I$1000, 0)), "")</f>
        <v/>
      </c>
      <c r="J207" s="6" t="str">
        <f>IF(F207="Completado", _xlfn.MAXIFS('Base Exámenes'!$G$5:$G$1000, 'Base Exámenes'!$C$5:$C$1000, A207), "")</f>
        <v/>
      </c>
      <c r="K207" s="6" t="str">
        <f>IFERROR(INDEX('Base Exámenes'!$H$5:$H$1000, MATCH(A207&amp;"|"&amp;J207, 'Base Exámenes'!$I$5:$I$1000, 0)), "anonymous")</f>
        <v>anonymous</v>
      </c>
      <c r="L207" s="95">
        <f>COUNTIF('Base Exámenes'!$C$5:$C$1000, A207)</f>
        <v>0</v>
      </c>
    </row>
    <row r="208">
      <c r="A208" s="4" t="str">
        <f>'Base Oficial'!A208</f>
        <v>976</v>
      </c>
      <c r="B208" s="6" t="str">
        <f>'Base Oficial'!B208</f>
        <v>KEVIN ARTURO ANDRADE PALACIOS </v>
      </c>
      <c r="C208" s="6" t="str">
        <f>'Base Oficial'!F208</f>
        <v>AGENCIA CENTRAL  </v>
      </c>
      <c r="D208" s="6" t="str">
        <f>'Base Oficial'!G208</f>
        <v>Gerencia de Negocios</v>
      </c>
      <c r="E208" s="6" t="str">
        <f>'Base Oficial'!D208</f>
        <v>CAJERO</v>
      </c>
      <c r="F208" s="4" t="str">
        <f>IF(COUNTIFS('Base Exámenes'!$C$5:$C$1000, A208, 'Base Exámenes'!$E$5:$E$1000, "&lt;&gt;")&gt;0, "Completado", "Pendiente")</f>
        <v>Completado</v>
      </c>
      <c r="G208" s="27">
        <f>IFERROR(INDEX('Base Exámenes'!$D$5:$D$1000, MATCH(A208&amp;"|"&amp;J208, 'Base Exámenes'!$I$5:$I$1000, 0)), "")</f>
        <v>46302.59699074074</v>
      </c>
      <c r="H208" s="27">
        <f>IFERROR(INDEX('Base Exámenes'!$E$5:$E$1000, MATCH(A208&amp;"|"&amp;J208, 'Base Exámenes'!$I$5:$I$1000, 0)), "")</f>
        <v>46302.59866898148</v>
      </c>
      <c r="I208" s="26">
        <f>IFERROR(INDEX('Base Exámenes'!$F$5:$F$1000, MATCH(A208&amp;"|"&amp;J208, 'Base Exámenes'!$I$5:$I$1000, 0)), "")</f>
        <v>2.41666666666667</v>
      </c>
      <c r="J208" s="6">
        <f>IF(F208="Completado", _xlfn.MAXIFS('Base Exámenes'!$G$5:$G$1000, 'Base Exámenes'!$C$5:$C$1000, A208), "")</f>
        <v>100</v>
      </c>
      <c r="K208" s="6" t="str">
        <f>IFERROR(INDEX('Base Exámenes'!$H$5:$H$1000, MATCH(A208&amp;"|"&amp;J208, 'Base Exámenes'!$I$5:$I$1000, 0)), "anonymous")</f>
        <v>anonymous</v>
      </c>
      <c r="L208" s="95">
        <f>COUNTIF('Base Exámenes'!$C$5:$C$1000, A208)</f>
        <v>1</v>
      </c>
    </row>
    <row r="209">
      <c r="A209" s="4" t="str">
        <f>'Base Oficial'!A209</f>
        <v>26</v>
      </c>
      <c r="B209" s="6" t="str">
        <f>'Base Oficial'!B209</f>
        <v>FLOR IMELDA VILLALOBOS ARDON</v>
      </c>
      <c r="C209" s="6" t="str">
        <f>'Base Oficial'!F209</f>
        <v>AGENCIA COLEGIO MEDICO </v>
      </c>
      <c r="D209" s="6" t="str">
        <f>'Base Oficial'!G209</f>
        <v>Gerencia de Negocios</v>
      </c>
      <c r="E209" s="6" t="str">
        <f>'Base Oficial'!D209</f>
        <v>EJECUTIVO DE NEGOCIOS</v>
      </c>
      <c r="F209" s="4" t="str">
        <f>IF(COUNTIFS('Base Exámenes'!$C$5:$C$1000, A209, 'Base Exámenes'!$E$5:$E$1000, "&lt;&gt;")&gt;0, "Completado", "Pendiente")</f>
        <v>Pendiente</v>
      </c>
      <c r="G209" s="27" t="str">
        <f>IFERROR(INDEX('Base Exámenes'!$D$5:$D$1000, MATCH(A209&amp;"|"&amp;J209, 'Base Exámenes'!$I$5:$I$1000, 0)), "")</f>
        <v/>
      </c>
      <c r="H209" s="27" t="str">
        <f>IFERROR(INDEX('Base Exámenes'!$E$5:$E$1000, MATCH(A209&amp;"|"&amp;J209, 'Base Exámenes'!$I$5:$I$1000, 0)), "")</f>
        <v/>
      </c>
      <c r="I209" s="26" t="str">
        <f>IFERROR(INDEX('Base Exámenes'!$F$5:$F$1000, MATCH(A209&amp;"|"&amp;J209, 'Base Exámenes'!$I$5:$I$1000, 0)), "")</f>
        <v/>
      </c>
      <c r="J209" s="6" t="str">
        <f>IF(F209="Completado", _xlfn.MAXIFS('Base Exámenes'!$G$5:$G$1000, 'Base Exámenes'!$C$5:$C$1000, A209), "")</f>
        <v/>
      </c>
      <c r="K209" s="6" t="str">
        <f>IFERROR(INDEX('Base Exámenes'!$H$5:$H$1000, MATCH(A209&amp;"|"&amp;J209, 'Base Exámenes'!$I$5:$I$1000, 0)), "anonymous")</f>
        <v>anonymous</v>
      </c>
      <c r="L209" s="95">
        <f>COUNTIF('Base Exámenes'!$C$5:$C$1000, A209)</f>
        <v>0</v>
      </c>
    </row>
    <row r="210">
      <c r="A210" s="4" t="str">
        <f>'Base Oficial'!A210</f>
        <v>29</v>
      </c>
      <c r="B210" s="6" t="str">
        <f>'Base Oficial'!B210</f>
        <v>YANIRA ELIZABETH ORTEGA MIRANDA</v>
      </c>
      <c r="C210" s="6" t="str">
        <f>'Base Oficial'!F210</f>
        <v>AGENCIA COLEGIO MEDICO </v>
      </c>
      <c r="D210" s="6" t="str">
        <f>'Base Oficial'!G210</f>
        <v>Gerencia de Negocios</v>
      </c>
      <c r="E210" s="6" t="str">
        <f>'Base Oficial'!D210</f>
        <v>SUBJEFE DE  AGENCIA</v>
      </c>
      <c r="F210" s="4" t="str">
        <f>IF(COUNTIFS('Base Exámenes'!$C$5:$C$1000, A210, 'Base Exámenes'!$E$5:$E$1000, "&lt;&gt;")&gt;0, "Completado", "Pendiente")</f>
        <v>Completado</v>
      </c>
      <c r="G210" s="27">
        <f>IFERROR(INDEX('Base Exámenes'!$D$5:$D$1000, MATCH(A210&amp;"|"&amp;J210, 'Base Exámenes'!$I$5:$I$1000, 0)), "")</f>
        <v>46305.425150462965</v>
      </c>
      <c r="H210" s="27">
        <f>IFERROR(INDEX('Base Exámenes'!$E$5:$E$1000, MATCH(A210&amp;"|"&amp;J210, 'Base Exámenes'!$I$5:$I$1000, 0)), "")</f>
        <v>46305.43096064815</v>
      </c>
      <c r="I210" s="26">
        <f>IFERROR(INDEX('Base Exámenes'!$F$5:$F$1000, MATCH(A210&amp;"|"&amp;J210, 'Base Exámenes'!$I$5:$I$1000, 0)), "")</f>
        <v>8.36666666666667</v>
      </c>
      <c r="J210" s="6">
        <f>IF(F210="Completado", _xlfn.MAXIFS('Base Exámenes'!$G$5:$G$1000, 'Base Exámenes'!$C$5:$C$1000, A210), "")</f>
        <v>100</v>
      </c>
      <c r="K210" s="6" t="str">
        <f>IFERROR(INDEX('Base Exámenes'!$H$5:$H$1000, MATCH(A210&amp;"|"&amp;J210, 'Base Exámenes'!$I$5:$I$1000, 0)), "anonymous")</f>
        <v>anonymous</v>
      </c>
      <c r="L210" s="95">
        <f>COUNTIF('Base Exámenes'!$C$5:$C$1000, A210)</f>
        <v>1</v>
      </c>
    </row>
    <row r="211">
      <c r="A211" s="4" t="str">
        <f>'Base Oficial'!A211</f>
        <v>190</v>
      </c>
      <c r="B211" s="6" t="str">
        <f>'Base Oficial'!B211</f>
        <v>MERCI ANTONIA CERON MEJIA </v>
      </c>
      <c r="C211" s="6" t="str">
        <f>'Base Oficial'!F211</f>
        <v>AGENCIA COLEGIO MEDICO </v>
      </c>
      <c r="D211" s="6" t="str">
        <f>'Base Oficial'!G211</f>
        <v>Gerencia de Negocios</v>
      </c>
      <c r="E211" s="6" t="str">
        <f>'Base Oficial'!D211</f>
        <v>EJECUTIVO DE NEGOCIOS</v>
      </c>
      <c r="F211" s="4" t="str">
        <f>IF(COUNTIFS('Base Exámenes'!$C$5:$C$1000, A211, 'Base Exámenes'!$E$5:$E$1000, "&lt;&gt;")&gt;0, "Completado", "Pendiente")</f>
        <v>Completado</v>
      </c>
      <c r="G211" s="27">
        <f>IFERROR(INDEX('Base Exámenes'!$D$5:$D$1000, MATCH(A211&amp;"|"&amp;J211, 'Base Exámenes'!$I$5:$I$1000, 0)), "")</f>
        <v>46305.51119212963</v>
      </c>
      <c r="H211" s="27">
        <f>IFERROR(INDEX('Base Exámenes'!$E$5:$E$1000, MATCH(A211&amp;"|"&amp;J211, 'Base Exámenes'!$I$5:$I$1000, 0)), "")</f>
        <v>46305.513344907406</v>
      </c>
      <c r="I211" s="26">
        <f>IFERROR(INDEX('Base Exámenes'!$F$5:$F$1000, MATCH(A211&amp;"|"&amp;J211, 'Base Exámenes'!$I$5:$I$1000, 0)), "")</f>
        <v>3.1</v>
      </c>
      <c r="J211" s="6">
        <f>IF(F211="Completado", _xlfn.MAXIFS('Base Exámenes'!$G$5:$G$1000, 'Base Exámenes'!$C$5:$C$1000, A211), "")</f>
        <v>100</v>
      </c>
      <c r="K211" s="6" t="str">
        <f>IFERROR(INDEX('Base Exámenes'!$H$5:$H$1000, MATCH(A211&amp;"|"&amp;J211, 'Base Exámenes'!$I$5:$I$1000, 0)), "anonymous")</f>
        <v>anonymous</v>
      </c>
      <c r="L211" s="95">
        <f>COUNTIF('Base Exámenes'!$C$5:$C$1000, A211)</f>
        <v>1</v>
      </c>
    </row>
    <row r="212">
      <c r="A212" s="4" t="str">
        <f>'Base Oficial'!A212</f>
        <v>360</v>
      </c>
      <c r="B212" s="6" t="str">
        <f>'Base Oficial'!B212</f>
        <v>PATRICIA ESMERALDA PORTILLO  CESPEDES</v>
      </c>
      <c r="C212" s="6" t="str">
        <f>'Base Oficial'!F212</f>
        <v>AGENCIA COLEGIO MEDICO </v>
      </c>
      <c r="D212" s="6" t="str">
        <f>'Base Oficial'!G212</f>
        <v>Gerencia de Negocios</v>
      </c>
      <c r="E212" s="6" t="str">
        <f>'Base Oficial'!D212</f>
        <v>JEFE DE AGENCIA  </v>
      </c>
      <c r="F212" s="4" t="str">
        <f>IF(COUNTIFS('Base Exámenes'!$C$5:$C$1000, A212, 'Base Exámenes'!$E$5:$E$1000, "&lt;&gt;")&gt;0, "Completado", "Pendiente")</f>
        <v>Completado</v>
      </c>
      <c r="G212" s="27">
        <f>IFERROR(INDEX('Base Exámenes'!$D$5:$D$1000, MATCH(A212&amp;"|"&amp;J212, 'Base Exámenes'!$I$5:$I$1000, 0)), "")</f>
        <v>46296.47090277778</v>
      </c>
      <c r="H212" s="27">
        <f>IFERROR(INDEX('Base Exámenes'!$E$5:$E$1000, MATCH(A212&amp;"|"&amp;J212, 'Base Exámenes'!$I$5:$I$1000, 0)), "")</f>
        <v>46296.47634259259</v>
      </c>
      <c r="I212" s="26">
        <f>IFERROR(INDEX('Base Exámenes'!$F$5:$F$1000, MATCH(A212&amp;"|"&amp;J212, 'Base Exámenes'!$I$5:$I$1000, 0)), "")</f>
        <v>7.83333333333333</v>
      </c>
      <c r="J212" s="6">
        <f>IF(F212="Completado", _xlfn.MAXIFS('Base Exámenes'!$G$5:$G$1000, 'Base Exámenes'!$C$5:$C$1000, A212), "")</f>
        <v>100</v>
      </c>
      <c r="K212" s="6" t="str">
        <f>IFERROR(INDEX('Base Exámenes'!$H$5:$H$1000, MATCH(A212&amp;"|"&amp;J212, 'Base Exámenes'!$I$5:$I$1000, 0)), "anonymous")</f>
        <v>anonymous</v>
      </c>
      <c r="L212" s="95">
        <f>COUNTIF('Base Exámenes'!$C$5:$C$1000, A212)</f>
        <v>1</v>
      </c>
    </row>
    <row r="213">
      <c r="A213" s="4" t="str">
        <f>'Base Oficial'!A213</f>
        <v>466</v>
      </c>
      <c r="B213" s="6" t="str">
        <f>'Base Oficial'!B213</f>
        <v>DORIS ELISA HERNANDEZ </v>
      </c>
      <c r="C213" s="6" t="str">
        <f>'Base Oficial'!F213</f>
        <v>AGENCIA COLEGIO MEDICO </v>
      </c>
      <c r="D213" s="6" t="str">
        <f>'Base Oficial'!G213</f>
        <v>Gerencia de Negocios</v>
      </c>
      <c r="E213" s="6" t="str">
        <f>'Base Oficial'!D213</f>
        <v>SERVICIOS VARIOS</v>
      </c>
      <c r="F213" s="4" t="str">
        <f>IF(COUNTIFS('Base Exámenes'!$C$5:$C$1000, A213, 'Base Exámenes'!$E$5:$E$1000, "&lt;&gt;")&gt;0, "Completado", "Pendiente")</f>
        <v>Pendiente</v>
      </c>
      <c r="G213" s="27" t="str">
        <f>IFERROR(INDEX('Base Exámenes'!$D$5:$D$1000, MATCH(A213&amp;"|"&amp;J213, 'Base Exámenes'!$I$5:$I$1000, 0)), "")</f>
        <v/>
      </c>
      <c r="H213" s="27" t="str">
        <f>IFERROR(INDEX('Base Exámenes'!$E$5:$E$1000, MATCH(A213&amp;"|"&amp;J213, 'Base Exámenes'!$I$5:$I$1000, 0)), "")</f>
        <v/>
      </c>
      <c r="I213" s="26" t="str">
        <f>IFERROR(INDEX('Base Exámenes'!$F$5:$F$1000, MATCH(A213&amp;"|"&amp;J213, 'Base Exámenes'!$I$5:$I$1000, 0)), "")</f>
        <v/>
      </c>
      <c r="J213" s="6" t="str">
        <f>IF(F213="Completado", _xlfn.MAXIFS('Base Exámenes'!$G$5:$G$1000, 'Base Exámenes'!$C$5:$C$1000, A213), "")</f>
        <v/>
      </c>
      <c r="K213" s="6" t="str">
        <f>IFERROR(INDEX('Base Exámenes'!$H$5:$H$1000, MATCH(A213&amp;"|"&amp;J213, 'Base Exámenes'!$I$5:$I$1000, 0)), "anonymous")</f>
        <v>anonymous</v>
      </c>
      <c r="L213" s="95">
        <f>COUNTIF('Base Exámenes'!$C$5:$C$1000, A213)</f>
        <v>0</v>
      </c>
    </row>
    <row r="214">
      <c r="A214" s="4" t="str">
        <f>'Base Oficial'!A214</f>
        <v>536</v>
      </c>
      <c r="B214" s="6" t="str">
        <f>'Base Oficial'!B214</f>
        <v>MARTHA ESPERANZA VALTEZ GARCIA </v>
      </c>
      <c r="C214" s="6" t="str">
        <f>'Base Oficial'!F214</f>
        <v>AGENCIA COLEGIO MEDICO </v>
      </c>
      <c r="D214" s="6" t="str">
        <f>'Base Oficial'!G214</f>
        <v>Gerencia de Negocios</v>
      </c>
      <c r="E214" s="6" t="str">
        <f>'Base Oficial'!D214</f>
        <v>CAJERO</v>
      </c>
      <c r="F214" s="4" t="str">
        <f>IF(COUNTIFS('Base Exámenes'!$C$5:$C$1000, A214, 'Base Exámenes'!$E$5:$E$1000, "&lt;&gt;")&gt;0, "Completado", "Pendiente")</f>
        <v>Completado</v>
      </c>
      <c r="G214" s="27">
        <f>IFERROR(INDEX('Base Exámenes'!$D$5:$D$1000, MATCH(A214&amp;"|"&amp;J214, 'Base Exámenes'!$I$5:$I$1000, 0)), "")</f>
        <v>46305.51107638889</v>
      </c>
      <c r="H214" s="27">
        <f>IFERROR(INDEX('Base Exámenes'!$E$5:$E$1000, MATCH(A214&amp;"|"&amp;J214, 'Base Exámenes'!$I$5:$I$1000, 0)), "")</f>
        <v>46305.51391203704</v>
      </c>
      <c r="I214" s="26">
        <f>IFERROR(INDEX('Base Exámenes'!$F$5:$F$1000, MATCH(A214&amp;"|"&amp;J214, 'Base Exámenes'!$I$5:$I$1000, 0)), "")</f>
        <v>4.08333333333333</v>
      </c>
      <c r="J214" s="6">
        <f>IF(F214="Completado", _xlfn.MAXIFS('Base Exámenes'!$G$5:$G$1000, 'Base Exámenes'!$C$5:$C$1000, A214), "")</f>
        <v>100</v>
      </c>
      <c r="K214" s="6" t="str">
        <f>IFERROR(INDEX('Base Exámenes'!$H$5:$H$1000, MATCH(A214&amp;"|"&amp;J214, 'Base Exámenes'!$I$5:$I$1000, 0)), "anonymous")</f>
        <v>anonymous</v>
      </c>
      <c r="L214" s="95">
        <f>COUNTIF('Base Exámenes'!$C$5:$C$1000, A214)</f>
        <v>1</v>
      </c>
    </row>
    <row r="215">
      <c r="A215" s="4" t="str">
        <f>'Base Oficial'!A215</f>
        <v>543</v>
      </c>
      <c r="B215" s="6" t="str">
        <f>'Base Oficial'!B215</f>
        <v>CLAUDIA ELENA GUARDADO VARELA</v>
      </c>
      <c r="C215" s="6" t="str">
        <f>'Base Oficial'!F215</f>
        <v>AGENCIA COLEGIO MEDICO </v>
      </c>
      <c r="D215" s="6" t="str">
        <f>'Base Oficial'!G215</f>
        <v>Gerencia de Negocios</v>
      </c>
      <c r="E215" s="6" t="str">
        <f>'Base Oficial'!D215</f>
        <v>EJECUTIVA DE SEGUROS</v>
      </c>
      <c r="F215" s="4" t="str">
        <f>IF(COUNTIFS('Base Exámenes'!$C$5:$C$1000, A215, 'Base Exámenes'!$E$5:$E$1000, "&lt;&gt;")&gt;0, "Completado", "Pendiente")</f>
        <v>Completado</v>
      </c>
      <c r="G215" s="27">
        <f>IFERROR(INDEX('Base Exámenes'!$D$5:$D$1000, MATCH(A215&amp;"|"&amp;J215, 'Base Exámenes'!$I$5:$I$1000, 0)), "")</f>
        <v>46305.39409722222</v>
      </c>
      <c r="H215" s="27">
        <f>IFERROR(INDEX('Base Exámenes'!$E$5:$E$1000, MATCH(A215&amp;"|"&amp;J215, 'Base Exámenes'!$I$5:$I$1000, 0)), "")</f>
        <v>46305.407002314816</v>
      </c>
      <c r="I215" s="26">
        <f>IFERROR(INDEX('Base Exámenes'!$F$5:$F$1000, MATCH(A215&amp;"|"&amp;J215, 'Base Exámenes'!$I$5:$I$1000, 0)), "")</f>
        <v>18.58333335025</v>
      </c>
      <c r="J215" s="6">
        <f>IF(F215="Completado", _xlfn.MAXIFS('Base Exámenes'!$G$5:$G$1000, 'Base Exámenes'!$C$5:$C$1000, A215), "")</f>
        <v>100</v>
      </c>
      <c r="K215" s="6" t="str">
        <f>IFERROR(INDEX('Base Exámenes'!$H$5:$H$1000, MATCH(A215&amp;"|"&amp;J215, 'Base Exámenes'!$I$5:$I$1000, 0)), "anonymous")</f>
        <v>anonymous</v>
      </c>
      <c r="L215" s="95">
        <f>COUNTIF('Base Exámenes'!$C$5:$C$1000, A215)</f>
        <v>1</v>
      </c>
    </row>
    <row r="216">
      <c r="A216" s="4" t="str">
        <f>'Base Oficial'!A216</f>
        <v>811</v>
      </c>
      <c r="B216" s="6" t="str">
        <f>'Base Oficial'!B216</f>
        <v>JACQUELINE ADRIANA CHAVEZ SARAVIA </v>
      </c>
      <c r="C216" s="6" t="str">
        <f>'Base Oficial'!F216</f>
        <v>AGENCIA COLEGIO MEDICO </v>
      </c>
      <c r="D216" s="6" t="str">
        <f>'Base Oficial'!G216</f>
        <v>Gerencia de Negocios</v>
      </c>
      <c r="E216" s="6" t="str">
        <f>'Base Oficial'!D216</f>
        <v>CAJERO</v>
      </c>
      <c r="F216" s="4" t="str">
        <f>IF(COUNTIFS('Base Exámenes'!$C$5:$C$1000, A216, 'Base Exámenes'!$E$5:$E$1000, "&lt;&gt;")&gt;0, "Completado", "Pendiente")</f>
        <v>Completado</v>
      </c>
      <c r="G216" s="27">
        <f>IFERROR(INDEX('Base Exámenes'!$D$5:$D$1000, MATCH(A216&amp;"|"&amp;J216, 'Base Exámenes'!$I$5:$I$1000, 0)), "")</f>
        <v>46305.45777777778</v>
      </c>
      <c r="H216" s="27">
        <f>IFERROR(INDEX('Base Exámenes'!$E$5:$E$1000, MATCH(A216&amp;"|"&amp;J216, 'Base Exámenes'!$I$5:$I$1000, 0)), "")</f>
        <v>46305.465902777774</v>
      </c>
      <c r="I216" s="26">
        <f>IFERROR(INDEX('Base Exámenes'!$F$5:$F$1000, MATCH(A216&amp;"|"&amp;J216, 'Base Exámenes'!$I$5:$I$1000, 0)), "")</f>
        <v>11.69999997945</v>
      </c>
      <c r="J216" s="6">
        <f>IF(F216="Completado", _xlfn.MAXIFS('Base Exámenes'!$G$5:$G$1000, 'Base Exámenes'!$C$5:$C$1000, A216), "")</f>
        <v>90</v>
      </c>
      <c r="K216" s="6" t="str">
        <f>IFERROR(INDEX('Base Exámenes'!$H$5:$H$1000, MATCH(A216&amp;"|"&amp;J216, 'Base Exámenes'!$I$5:$I$1000, 0)), "anonymous")</f>
        <v>anonymous</v>
      </c>
      <c r="L216" s="95">
        <f>COUNTIF('Base Exámenes'!$C$5:$C$1000, A216)</f>
        <v>1</v>
      </c>
    </row>
    <row r="217">
      <c r="A217" s="4" t="str">
        <f>'Base Oficial'!A217</f>
        <v>841</v>
      </c>
      <c r="B217" s="6" t="str">
        <f>'Base Oficial'!B217</f>
        <v>KRISSIA ANDREA  DOMINGUEZ OSORIO </v>
      </c>
      <c r="C217" s="6" t="str">
        <f>'Base Oficial'!F217</f>
        <v>AGENCIA COLEGIO MEDICO </v>
      </c>
      <c r="D217" s="6" t="str">
        <f>'Base Oficial'!G217</f>
        <v>Gerencia de Negocios</v>
      </c>
      <c r="E217" s="6" t="str">
        <f>'Base Oficial'!D217</f>
        <v>CAJERO</v>
      </c>
      <c r="F217" s="4" t="str">
        <f>IF(COUNTIFS('Base Exámenes'!$C$5:$C$1000, A217, 'Base Exámenes'!$E$5:$E$1000, "&lt;&gt;")&gt;0, "Completado", "Pendiente")</f>
        <v>Completado</v>
      </c>
      <c r="G217" s="27">
        <f>IFERROR(INDEX('Base Exámenes'!$D$5:$D$1000, MATCH(A217&amp;"|"&amp;J217, 'Base Exámenes'!$I$5:$I$1000, 0)), "")</f>
        <v>46305.38912037037</v>
      </c>
      <c r="H217" s="27">
        <f>IFERROR(INDEX('Base Exámenes'!$E$5:$E$1000, MATCH(A217&amp;"|"&amp;J217, 'Base Exámenes'!$I$5:$I$1000, 0)), "")</f>
        <v>46305.39891203704</v>
      </c>
      <c r="I217" s="26">
        <f>IFERROR(INDEX('Base Exámenes'!$F$5:$F$1000, MATCH(A217&amp;"|"&amp;J217, 'Base Exámenes'!$I$5:$I$1000, 0)), "")</f>
        <v>14.1</v>
      </c>
      <c r="J217" s="6">
        <f>IF(F217="Completado", _xlfn.MAXIFS('Base Exámenes'!$G$5:$G$1000, 'Base Exámenes'!$C$5:$C$1000, A217), "")</f>
        <v>100</v>
      </c>
      <c r="K217" s="6" t="str">
        <f>IFERROR(INDEX('Base Exámenes'!$H$5:$H$1000, MATCH(A217&amp;"|"&amp;J217, 'Base Exámenes'!$I$5:$I$1000, 0)), "anonymous")</f>
        <v>anonymous</v>
      </c>
      <c r="L217" s="95">
        <f>COUNTIF('Base Exámenes'!$C$5:$C$1000, A217)</f>
        <v>1</v>
      </c>
    </row>
    <row r="218">
      <c r="A218" s="4" t="str">
        <f>'Base Oficial'!A218</f>
        <v>890</v>
      </c>
      <c r="B218" s="6" t="str">
        <f>'Base Oficial'!B218</f>
        <v>WILBER ERNESTO DIAZ GONZALEZ </v>
      </c>
      <c r="C218" s="6" t="str">
        <f>'Base Oficial'!F218</f>
        <v>AGENCIA COLEGIO MEDICO </v>
      </c>
      <c r="D218" s="6" t="str">
        <f>'Base Oficial'!G218</f>
        <v>Gerencia de Negocios</v>
      </c>
      <c r="E218" s="6" t="str">
        <f>'Base Oficial'!D218</f>
        <v>CAJERO</v>
      </c>
      <c r="F218" s="4" t="str">
        <f>IF(COUNTIFS('Base Exámenes'!$C$5:$C$1000, A218, 'Base Exámenes'!$E$5:$E$1000, "&lt;&gt;")&gt;0, "Completado", "Pendiente")</f>
        <v>Completado</v>
      </c>
      <c r="G218" s="27">
        <f>IFERROR(INDEX('Base Exámenes'!$D$5:$D$1000, MATCH(A218&amp;"|"&amp;J218, 'Base Exámenes'!$I$5:$I$1000, 0)), "")</f>
        <v>46307.426724537036</v>
      </c>
      <c r="H218" s="27">
        <f>IFERROR(INDEX('Base Exámenes'!$E$5:$E$1000, MATCH(A218&amp;"|"&amp;J218, 'Base Exámenes'!$I$5:$I$1000, 0)), "")</f>
        <v>46307.43005787037</v>
      </c>
      <c r="I218" s="26">
        <f>IFERROR(INDEX('Base Exámenes'!$F$5:$F$1000, MATCH(A218&amp;"|"&amp;J218, 'Base Exámenes'!$I$5:$I$1000, 0)), "")</f>
        <v>4.8</v>
      </c>
      <c r="J218" s="6">
        <f>IF(F218="Completado", _xlfn.MAXIFS('Base Exámenes'!$G$5:$G$1000, 'Base Exámenes'!$C$5:$C$1000, A218), "")</f>
        <v>90</v>
      </c>
      <c r="K218" s="6" t="str">
        <f>IFERROR(INDEX('Base Exámenes'!$H$5:$H$1000, MATCH(A218&amp;"|"&amp;J218, 'Base Exámenes'!$I$5:$I$1000, 0)), "anonymous")</f>
        <v>anonymous</v>
      </c>
      <c r="L218" s="95">
        <f>COUNTIF('Base Exámenes'!$C$5:$C$1000, A218)</f>
        <v>1</v>
      </c>
    </row>
    <row r="219">
      <c r="A219" s="4" t="str">
        <f>'Base Oficial'!A219</f>
        <v>971</v>
      </c>
      <c r="B219" s="6" t="str">
        <f>'Base Oficial'!B219</f>
        <v>JAQUELIN JAZMIN ROMERO FLORES </v>
      </c>
      <c r="C219" s="6" t="str">
        <f>'Base Oficial'!F219</f>
        <v>AGENCIA COLEGIO MEDICO </v>
      </c>
      <c r="D219" s="6" t="str">
        <f>'Base Oficial'!G219</f>
        <v>Gerencia de Negocios</v>
      </c>
      <c r="E219" s="6" t="str">
        <f>'Base Oficial'!D219</f>
        <v>CAJERO</v>
      </c>
      <c r="F219" s="4" t="str">
        <f>IF(COUNTIFS('Base Exámenes'!$C$5:$C$1000, A219, 'Base Exámenes'!$E$5:$E$1000, "&lt;&gt;")&gt;0, "Completado", "Pendiente")</f>
        <v>Completado</v>
      </c>
      <c r="G219" s="27">
        <f>IFERROR(INDEX('Base Exámenes'!$D$5:$D$1000, MATCH(A219&amp;"|"&amp;J219, 'Base Exámenes'!$I$5:$I$1000, 0)), "")</f>
        <v>46305.43693287037</v>
      </c>
      <c r="H219" s="27">
        <f>IFERROR(INDEX('Base Exámenes'!$E$5:$E$1000, MATCH(A219&amp;"|"&amp;J219, 'Base Exámenes'!$I$5:$I$1000, 0)), "")</f>
        <v>46305.44142361111</v>
      </c>
      <c r="I219" s="26">
        <f>IFERROR(INDEX('Base Exámenes'!$F$5:$F$1000, MATCH(A219&amp;"|"&amp;J219, 'Base Exámenes'!$I$5:$I$1000, 0)), "")</f>
        <v>6.46666666666667</v>
      </c>
      <c r="J219" s="6">
        <f>IF(F219="Completado", _xlfn.MAXIFS('Base Exámenes'!$G$5:$G$1000, 'Base Exámenes'!$C$5:$C$1000, A219), "")</f>
        <v>100</v>
      </c>
      <c r="K219" s="6" t="str">
        <f>IFERROR(INDEX('Base Exámenes'!$H$5:$H$1000, MATCH(A219&amp;"|"&amp;J219, 'Base Exámenes'!$I$5:$I$1000, 0)), "anonymous")</f>
        <v>anonymous</v>
      </c>
      <c r="L219" s="95">
        <f>COUNTIF('Base Exámenes'!$C$5:$C$1000, A219)</f>
        <v>1</v>
      </c>
    </row>
    <row r="220">
      <c r="A220" s="4" t="str">
        <f>'Base Oficial'!A220</f>
        <v>975</v>
      </c>
      <c r="B220" s="6" t="str">
        <f>'Base Oficial'!B220</f>
        <v>GABRIELA CONCEPCION GARCIA GUTIERREZ </v>
      </c>
      <c r="C220" s="6" t="str">
        <f>'Base Oficial'!F220</f>
        <v>AGENCIA COLEGIO MEDICO </v>
      </c>
      <c r="D220" s="6" t="str">
        <f>'Base Oficial'!G220</f>
        <v>Gerencia de Negocios</v>
      </c>
      <c r="E220" s="6" t="str">
        <f>'Base Oficial'!D220</f>
        <v>AUXILIAR DE ATENCION AL ASOCIADO EN AGENCIA</v>
      </c>
      <c r="F220" s="4" t="str">
        <f>IF(COUNTIFS('Base Exámenes'!$C$5:$C$1000, A220, 'Base Exámenes'!$E$5:$E$1000, "&lt;&gt;")&gt;0, "Completado", "Pendiente")</f>
        <v>Completado</v>
      </c>
      <c r="G220" s="27">
        <f>IFERROR(INDEX('Base Exámenes'!$D$5:$D$1000, MATCH(A220&amp;"|"&amp;J220, 'Base Exámenes'!$I$5:$I$1000, 0)), "")</f>
        <v>46305.46927083333</v>
      </c>
      <c r="H220" s="27">
        <f>IFERROR(INDEX('Base Exámenes'!$E$5:$E$1000, MATCH(A220&amp;"|"&amp;J220, 'Base Exámenes'!$I$5:$I$1000, 0)), "")</f>
        <v>46305.4796412037</v>
      </c>
      <c r="I220" s="26">
        <f>IFERROR(INDEX('Base Exámenes'!$F$5:$F$1000, MATCH(A220&amp;"|"&amp;J220, 'Base Exámenes'!$I$5:$I$1000, 0)), "")</f>
        <v>14.9333333333333</v>
      </c>
      <c r="J220" s="6">
        <f>IF(F220="Completado", _xlfn.MAXIFS('Base Exámenes'!$G$5:$G$1000, 'Base Exámenes'!$C$5:$C$1000, A220), "")</f>
        <v>90</v>
      </c>
      <c r="K220" s="6" t="str">
        <f>IFERROR(INDEX('Base Exámenes'!$H$5:$H$1000, MATCH(A220&amp;"|"&amp;J220, 'Base Exámenes'!$I$5:$I$1000, 0)), "anonymous")</f>
        <v>anonymous</v>
      </c>
      <c r="L220" s="95">
        <f>COUNTIF('Base Exámenes'!$C$5:$C$1000, A220)</f>
        <v>1</v>
      </c>
    </row>
    <row r="221">
      <c r="A221" s="4" t="str">
        <f>'Base Oficial'!A221</f>
        <v>197</v>
      </c>
      <c r="B221" s="6" t="str">
        <f>'Base Oficial'!B221</f>
        <v>THELMA ESPERANZA FIGUEROA SORTO</v>
      </c>
      <c r="C221" s="6" t="str">
        <f>'Base Oficial'!F221</f>
        <v>AGENCIA SAN  MIGUEL  </v>
      </c>
      <c r="D221" s="6" t="str">
        <f>'Base Oficial'!G221</f>
        <v>Gerencia de Negocios</v>
      </c>
      <c r="E221" s="6" t="str">
        <f>'Base Oficial'!D221</f>
        <v>EJECUTIVO DE NEGOCIOS</v>
      </c>
      <c r="F221" s="4" t="str">
        <f>IF(COUNTIFS('Base Exámenes'!$C$5:$C$1000, A221, 'Base Exámenes'!$E$5:$E$1000, "&lt;&gt;")&gt;0, "Completado", "Pendiente")</f>
        <v>Completado</v>
      </c>
      <c r="G221" s="27">
        <f>IFERROR(INDEX('Base Exámenes'!$D$5:$D$1000, MATCH(A221&amp;"|"&amp;J221, 'Base Exámenes'!$I$5:$I$1000, 0)), "")</f>
        <v>46296.43491898148</v>
      </c>
      <c r="H221" s="27">
        <f>IFERROR(INDEX('Base Exámenes'!$E$5:$E$1000, MATCH(A221&amp;"|"&amp;J221, 'Base Exámenes'!$I$5:$I$1000, 0)), "")</f>
        <v>46296.44064814815</v>
      </c>
      <c r="I221" s="26">
        <f>IFERROR(INDEX('Base Exámenes'!$F$5:$F$1000, MATCH(A221&amp;"|"&amp;J221, 'Base Exámenes'!$I$5:$I$1000, 0)), "")</f>
        <v>8.25</v>
      </c>
      <c r="J221" s="6">
        <f>IF(F221="Completado", _xlfn.MAXIFS('Base Exámenes'!$G$5:$G$1000, 'Base Exámenes'!$C$5:$C$1000, A221), "")</f>
        <v>100</v>
      </c>
      <c r="K221" s="6" t="str">
        <f>IFERROR(INDEX('Base Exámenes'!$H$5:$H$1000, MATCH(A221&amp;"|"&amp;J221, 'Base Exámenes'!$I$5:$I$1000, 0)), "anonymous")</f>
        <v>anonymous</v>
      </c>
      <c r="L221" s="95">
        <f>COUNTIF('Base Exámenes'!$C$5:$C$1000, A221)</f>
        <v>1</v>
      </c>
    </row>
    <row r="222">
      <c r="A222" s="4" t="str">
        <f>'Base Oficial'!A222</f>
        <v>200</v>
      </c>
      <c r="B222" s="6" t="str">
        <f>'Base Oficial'!B222</f>
        <v>JOSE MANUEL SERRANO ROVIRA </v>
      </c>
      <c r="C222" s="6" t="str">
        <f>'Base Oficial'!F222</f>
        <v>AGENCIA SAN  MIGUEL  </v>
      </c>
      <c r="D222" s="6" t="str">
        <f>'Base Oficial'!G222</f>
        <v>Gerencia de Negocios</v>
      </c>
      <c r="E222" s="6" t="str">
        <f>'Base Oficial'!D222</f>
        <v>JEFE DE AGENCIA  </v>
      </c>
      <c r="F222" s="4" t="str">
        <f>IF(COUNTIFS('Base Exámenes'!$C$5:$C$1000, A222, 'Base Exámenes'!$E$5:$E$1000, "&lt;&gt;")&gt;0, "Completado", "Pendiente")</f>
        <v>Completado</v>
      </c>
      <c r="G222" s="27">
        <f>IFERROR(INDEX('Base Exámenes'!$D$5:$D$1000, MATCH(A222&amp;"|"&amp;J222, 'Base Exámenes'!$I$5:$I$1000, 0)), "")</f>
        <v>46296.48715277778</v>
      </c>
      <c r="H222" s="27">
        <f>IFERROR(INDEX('Base Exámenes'!$E$5:$E$1000, MATCH(A222&amp;"|"&amp;J222, 'Base Exámenes'!$I$5:$I$1000, 0)), "")</f>
        <v>46296.49199074074</v>
      </c>
      <c r="I222" s="26">
        <f>IFERROR(INDEX('Base Exámenes'!$F$5:$F$1000, MATCH(A222&amp;"|"&amp;J222, 'Base Exámenes'!$I$5:$I$1000, 0)), "")</f>
        <v>6.96666666666667</v>
      </c>
      <c r="J222" s="6">
        <f>IF(F222="Completado", _xlfn.MAXIFS('Base Exámenes'!$G$5:$G$1000, 'Base Exámenes'!$C$5:$C$1000, A222), "")</f>
        <v>90</v>
      </c>
      <c r="K222" s="6" t="str">
        <f>IFERROR(INDEX('Base Exámenes'!$H$5:$H$1000, MATCH(A222&amp;"|"&amp;J222, 'Base Exámenes'!$I$5:$I$1000, 0)), "anonymous")</f>
        <v>anonymous</v>
      </c>
      <c r="L222" s="95">
        <f>COUNTIF('Base Exámenes'!$C$5:$C$1000, A222)</f>
        <v>1</v>
      </c>
    </row>
    <row r="223">
      <c r="A223" s="4" t="str">
        <f>'Base Oficial'!A223</f>
        <v>390</v>
      </c>
      <c r="B223" s="6" t="str">
        <f>'Base Oficial'!B223</f>
        <v>MARTHA LORENA GONZALEZ GONZALEZ </v>
      </c>
      <c r="C223" s="6" t="str">
        <f>'Base Oficial'!F223</f>
        <v>AGENCIA SAN  MIGUEL  </v>
      </c>
      <c r="D223" s="6" t="str">
        <f>'Base Oficial'!G223</f>
        <v>Gerencia de Negocios</v>
      </c>
      <c r="E223" s="6" t="str">
        <f>'Base Oficial'!D223</f>
        <v>AUXILIAR DE OPERACIONES Y ATENCION EN  AGENCIA</v>
      </c>
      <c r="F223" s="4" t="str">
        <f>IF(COUNTIFS('Base Exámenes'!$C$5:$C$1000, A223, 'Base Exámenes'!$E$5:$E$1000, "&lt;&gt;")&gt;0, "Completado", "Pendiente")</f>
        <v>Completado</v>
      </c>
      <c r="G223" s="27">
        <f>IFERROR(INDEX('Base Exámenes'!$D$5:$D$1000, MATCH(A223&amp;"|"&amp;J223, 'Base Exámenes'!$I$5:$I$1000, 0)), "")</f>
        <v>46296.44636574074</v>
      </c>
      <c r="H223" s="27">
        <f>IFERROR(INDEX('Base Exámenes'!$E$5:$E$1000, MATCH(A223&amp;"|"&amp;J223, 'Base Exámenes'!$I$5:$I$1000, 0)), "")</f>
        <v>46296.44844907407</v>
      </c>
      <c r="I223" s="26">
        <f>IFERROR(INDEX('Base Exámenes'!$F$5:$F$1000, MATCH(A223&amp;"|"&amp;J223, 'Base Exámenes'!$I$5:$I$1000, 0)), "")</f>
        <v>3</v>
      </c>
      <c r="J223" s="6">
        <f>IF(F223="Completado", _xlfn.MAXIFS('Base Exámenes'!$G$5:$G$1000, 'Base Exámenes'!$C$5:$C$1000, A223), "")</f>
        <v>100</v>
      </c>
      <c r="K223" s="6" t="str">
        <f>IFERROR(INDEX('Base Exámenes'!$H$5:$H$1000, MATCH(A223&amp;"|"&amp;J223, 'Base Exámenes'!$I$5:$I$1000, 0)), "anonymous")</f>
        <v>anonymous</v>
      </c>
      <c r="L223" s="95">
        <f>COUNTIF('Base Exámenes'!$C$5:$C$1000, A223)</f>
        <v>1</v>
      </c>
    </row>
    <row r="224">
      <c r="A224" s="4" t="str">
        <f>'Base Oficial'!A224</f>
        <v>545</v>
      </c>
      <c r="B224" s="6" t="str">
        <f>'Base Oficial'!B224</f>
        <v>LEIBY NATHALY ROMERO VANEGAS </v>
      </c>
      <c r="C224" s="6" t="str">
        <f>'Base Oficial'!F224</f>
        <v>AGENCIA SAN  MIGUEL  </v>
      </c>
      <c r="D224" s="6" t="str">
        <f>'Base Oficial'!G224</f>
        <v>Gerencia de Negocios</v>
      </c>
      <c r="E224" s="6" t="str">
        <f>'Base Oficial'!D224</f>
        <v>SUBJEFE DE  AGENCIA</v>
      </c>
      <c r="F224" s="4" t="str">
        <f>IF(COUNTIFS('Base Exámenes'!$C$5:$C$1000, A224, 'Base Exámenes'!$E$5:$E$1000, "&lt;&gt;")&gt;0, "Completado", "Pendiente")</f>
        <v>Completado</v>
      </c>
      <c r="G224" s="27">
        <f>IFERROR(INDEX('Base Exámenes'!$D$5:$D$1000, MATCH(A224&amp;"|"&amp;J224, 'Base Exámenes'!$I$5:$I$1000, 0)), "")</f>
        <v>46296.44934027778</v>
      </c>
      <c r="H224" s="27">
        <f>IFERROR(INDEX('Base Exámenes'!$E$5:$E$1000, MATCH(A224&amp;"|"&amp;J224, 'Base Exámenes'!$I$5:$I$1000, 0)), "")</f>
        <v>46296.45449074074</v>
      </c>
      <c r="I224" s="26">
        <f>IFERROR(INDEX('Base Exámenes'!$F$5:$F$1000, MATCH(A224&amp;"|"&amp;J224, 'Base Exámenes'!$I$5:$I$1000, 0)), "")</f>
        <v>7.41666666666667</v>
      </c>
      <c r="J224" s="6">
        <f>IF(F224="Completado", _xlfn.MAXIFS('Base Exámenes'!$G$5:$G$1000, 'Base Exámenes'!$C$5:$C$1000, A224), "")</f>
        <v>100</v>
      </c>
      <c r="K224" s="6" t="str">
        <f>IFERROR(INDEX('Base Exámenes'!$H$5:$H$1000, MATCH(A224&amp;"|"&amp;J224, 'Base Exámenes'!$I$5:$I$1000, 0)), "anonymous")</f>
        <v>anonymous</v>
      </c>
      <c r="L224" s="95">
        <f>COUNTIF('Base Exámenes'!$C$5:$C$1000, A224)</f>
        <v>1</v>
      </c>
    </row>
    <row r="225">
      <c r="A225" s="4" t="str">
        <f>'Base Oficial'!A225</f>
        <v>776</v>
      </c>
      <c r="B225" s="6" t="str">
        <f>'Base Oficial'!B225</f>
        <v>DIEGO GERARDO GUANDIQUE TORRES </v>
      </c>
      <c r="C225" s="6" t="str">
        <f>'Base Oficial'!F225</f>
        <v>AGENCIA SAN  MIGUEL  </v>
      </c>
      <c r="D225" s="6" t="str">
        <f>'Base Oficial'!G225</f>
        <v>Gerencia de Negocios</v>
      </c>
      <c r="E225" s="6" t="str">
        <f>'Base Oficial'!D225</f>
        <v>CAJERO</v>
      </c>
      <c r="F225" s="4" t="str">
        <f>IF(COUNTIFS('Base Exámenes'!$C$5:$C$1000, A225, 'Base Exámenes'!$E$5:$E$1000, "&lt;&gt;")&gt;0, "Completado", "Pendiente")</f>
        <v>Completado</v>
      </c>
      <c r="G225" s="27">
        <f>IFERROR(INDEX('Base Exámenes'!$D$5:$D$1000, MATCH(A225&amp;"|"&amp;J225, 'Base Exámenes'!$I$5:$I$1000, 0)), "")</f>
        <v>46296.44304398148</v>
      </c>
      <c r="H225" s="27">
        <f>IFERROR(INDEX('Base Exámenes'!$E$5:$E$1000, MATCH(A225&amp;"|"&amp;J225, 'Base Exámenes'!$I$5:$I$1000, 0)), "")</f>
        <v>46296.44540509259</v>
      </c>
      <c r="I225" s="26">
        <f>IFERROR(INDEX('Base Exámenes'!$F$5:$F$1000, MATCH(A225&amp;"|"&amp;J225, 'Base Exámenes'!$I$5:$I$1000, 0)), "")</f>
        <v>3.4</v>
      </c>
      <c r="J225" s="6">
        <f>IF(F225="Completado", _xlfn.MAXIFS('Base Exámenes'!$G$5:$G$1000, 'Base Exámenes'!$C$5:$C$1000, A225), "")</f>
        <v>100</v>
      </c>
      <c r="K225" s="6" t="str">
        <f>IFERROR(INDEX('Base Exámenes'!$H$5:$H$1000, MATCH(A225&amp;"|"&amp;J225, 'Base Exámenes'!$I$5:$I$1000, 0)), "anonymous")</f>
        <v>anonymous</v>
      </c>
      <c r="L225" s="95">
        <f>COUNTIF('Base Exámenes'!$C$5:$C$1000, A225)</f>
        <v>2</v>
      </c>
    </row>
    <row r="226">
      <c r="A226" s="4" t="str">
        <f>'Base Oficial'!A226</f>
        <v>777</v>
      </c>
      <c r="B226" s="6" t="str">
        <f>'Base Oficial'!B226</f>
        <v>MARCELINA YAMILETH LOPEZ VASQUEZ </v>
      </c>
      <c r="C226" s="6" t="str">
        <f>'Base Oficial'!F226</f>
        <v>AGENCIA SAN  MIGUEL  </v>
      </c>
      <c r="D226" s="6" t="str">
        <f>'Base Oficial'!G226</f>
        <v>Gerencia de Negocios</v>
      </c>
      <c r="E226" s="6" t="str">
        <f>'Base Oficial'!D226</f>
        <v>CAJERO</v>
      </c>
      <c r="F226" s="4" t="str">
        <f>IF(COUNTIFS('Base Exámenes'!$C$5:$C$1000, A226, 'Base Exámenes'!$E$5:$E$1000, "&lt;&gt;")&gt;0, "Completado", "Pendiente")</f>
        <v>Completado</v>
      </c>
      <c r="G226" s="27">
        <f>IFERROR(INDEX('Base Exámenes'!$D$5:$D$1000, MATCH(A226&amp;"|"&amp;J226, 'Base Exámenes'!$I$5:$I$1000, 0)), "")</f>
        <v>46296.45601851852</v>
      </c>
      <c r="H226" s="27">
        <f>IFERROR(INDEX('Base Exámenes'!$E$5:$E$1000, MATCH(A226&amp;"|"&amp;J226, 'Base Exámenes'!$I$5:$I$1000, 0)), "")</f>
        <v>46296.45806712963</v>
      </c>
      <c r="I226" s="26">
        <f>IFERROR(INDEX('Base Exámenes'!$F$5:$F$1000, MATCH(A226&amp;"|"&amp;J226, 'Base Exámenes'!$I$5:$I$1000, 0)), "")</f>
        <v>2.95</v>
      </c>
      <c r="J226" s="6">
        <f>IF(F226="Completado", _xlfn.MAXIFS('Base Exámenes'!$G$5:$G$1000, 'Base Exámenes'!$C$5:$C$1000, A226), "")</f>
        <v>100</v>
      </c>
      <c r="K226" s="6" t="str">
        <f>IFERROR(INDEX('Base Exámenes'!$H$5:$H$1000, MATCH(A226&amp;"|"&amp;J226, 'Base Exámenes'!$I$5:$I$1000, 0)), "anonymous")</f>
        <v>anonymous</v>
      </c>
      <c r="L226" s="95">
        <f>COUNTIF('Base Exámenes'!$C$5:$C$1000, A226)</f>
        <v>1</v>
      </c>
    </row>
    <row r="227">
      <c r="A227" s="4" t="str">
        <f>'Base Oficial'!A227</f>
        <v>807</v>
      </c>
      <c r="B227" s="6" t="str">
        <f>'Base Oficial'!B227</f>
        <v>MARCELA GUADALUPE CRESPO BENAVIDEZ </v>
      </c>
      <c r="C227" s="6" t="str">
        <f>'Base Oficial'!F227</f>
        <v>AGENCIA SAN  MIGUEL  </v>
      </c>
      <c r="D227" s="6" t="str">
        <f>'Base Oficial'!G227</f>
        <v>Gerencia de Negocios</v>
      </c>
      <c r="E227" s="6" t="str">
        <f>'Base Oficial'!D227</f>
        <v>EJECUTIVA DE SEGUROS</v>
      </c>
      <c r="F227" s="4" t="str">
        <f>IF(COUNTIFS('Base Exámenes'!$C$5:$C$1000, A227, 'Base Exámenes'!$E$5:$E$1000, "&lt;&gt;")&gt;0, "Completado", "Pendiente")</f>
        <v>Completado</v>
      </c>
      <c r="G227" s="27">
        <f>IFERROR(INDEX('Base Exámenes'!$D$5:$D$1000, MATCH(A227&amp;"|"&amp;J227, 'Base Exámenes'!$I$5:$I$1000, 0)), "")</f>
        <v>46296.44934027778</v>
      </c>
      <c r="H227" s="27">
        <f>IFERROR(INDEX('Base Exámenes'!$E$5:$E$1000, MATCH(A227&amp;"|"&amp;J227, 'Base Exámenes'!$I$5:$I$1000, 0)), "")</f>
        <v>46296.45224537037</v>
      </c>
      <c r="I227" s="26">
        <f>IFERROR(INDEX('Base Exámenes'!$F$5:$F$1000, MATCH(A227&amp;"|"&amp;J227, 'Base Exámenes'!$I$5:$I$1000, 0)), "")</f>
        <v>4.18333333333333</v>
      </c>
      <c r="J227" s="6">
        <f>IF(F227="Completado", _xlfn.MAXIFS('Base Exámenes'!$G$5:$G$1000, 'Base Exámenes'!$C$5:$C$1000, A227), "")</f>
        <v>100</v>
      </c>
      <c r="K227" s="6" t="str">
        <f>IFERROR(INDEX('Base Exámenes'!$H$5:$H$1000, MATCH(A227&amp;"|"&amp;J227, 'Base Exámenes'!$I$5:$I$1000, 0)), "anonymous")</f>
        <v>anonymous</v>
      </c>
      <c r="L227" s="95">
        <f>COUNTIF('Base Exámenes'!$C$5:$C$1000, A227)</f>
        <v>1</v>
      </c>
    </row>
    <row r="228">
      <c r="A228" s="4" t="str">
        <f>'Base Oficial'!A228</f>
        <v>861</v>
      </c>
      <c r="B228" s="6" t="str">
        <f>'Base Oficial'!B228</f>
        <v>SANDRA MARINA  BERRIOS SANTOS </v>
      </c>
      <c r="C228" s="6" t="str">
        <f>'Base Oficial'!F228</f>
        <v>AGENCIA SAN  MIGUEL  </v>
      </c>
      <c r="D228" s="6" t="str">
        <f>'Base Oficial'!G228</f>
        <v>Gerencia de Negocios</v>
      </c>
      <c r="E228" s="6" t="str">
        <f>'Base Oficial'!D228</f>
        <v>CAJERO</v>
      </c>
      <c r="F228" s="4" t="str">
        <f>IF(COUNTIFS('Base Exámenes'!$C$5:$C$1000, A228, 'Base Exámenes'!$E$5:$E$1000, "&lt;&gt;")&gt;0, "Completado", "Pendiente")</f>
        <v>Pendiente</v>
      </c>
      <c r="G228" s="27" t="str">
        <f>IFERROR(INDEX('Base Exámenes'!$D$5:$D$1000, MATCH(A228&amp;"|"&amp;J228, 'Base Exámenes'!$I$5:$I$1000, 0)), "")</f>
        <v/>
      </c>
      <c r="H228" s="27" t="str">
        <f>IFERROR(INDEX('Base Exámenes'!$E$5:$E$1000, MATCH(A228&amp;"|"&amp;J228, 'Base Exámenes'!$I$5:$I$1000, 0)), "")</f>
        <v/>
      </c>
      <c r="I228" s="26" t="str">
        <f>IFERROR(INDEX('Base Exámenes'!$F$5:$F$1000, MATCH(A228&amp;"|"&amp;J228, 'Base Exámenes'!$I$5:$I$1000, 0)), "")</f>
        <v/>
      </c>
      <c r="J228" s="6" t="str">
        <f>IF(F228="Completado", _xlfn.MAXIFS('Base Exámenes'!$G$5:$G$1000, 'Base Exámenes'!$C$5:$C$1000, A228), "")</f>
        <v/>
      </c>
      <c r="K228" s="6" t="str">
        <f>IFERROR(INDEX('Base Exámenes'!$H$5:$H$1000, MATCH(A228&amp;"|"&amp;J228, 'Base Exámenes'!$I$5:$I$1000, 0)), "anonymous")</f>
        <v>anonymous</v>
      </c>
      <c r="L228" s="95">
        <f>COUNTIF('Base Exámenes'!$C$5:$C$1000, A228)</f>
        <v>0</v>
      </c>
    </row>
    <row r="229">
      <c r="A229" s="4" t="str">
        <f>'Base Oficial'!A229</f>
        <v>168</v>
      </c>
      <c r="B229" s="6" t="str">
        <f>'Base Oficial'!B229</f>
        <v>ANA MARIA GIRON </v>
      </c>
      <c r="C229" s="6" t="str">
        <f>'Base Oficial'!F229</f>
        <v>AGENCIA SANTA  ANA  </v>
      </c>
      <c r="D229" s="6" t="str">
        <f>'Base Oficial'!G229</f>
        <v>Gerencia de Negocios</v>
      </c>
      <c r="E229" s="6" t="str">
        <f>'Base Oficial'!D229</f>
        <v>EJECUTIVO DE NEGOCIOS</v>
      </c>
      <c r="F229" s="4" t="str">
        <f>IF(COUNTIFS('Base Exámenes'!$C$5:$C$1000, A229, 'Base Exámenes'!$E$5:$E$1000, "&lt;&gt;")&gt;0, "Completado", "Pendiente")</f>
        <v>Pendiente</v>
      </c>
      <c r="G229" s="27" t="str">
        <f>IFERROR(INDEX('Base Exámenes'!$D$5:$D$1000, MATCH(A229&amp;"|"&amp;J229, 'Base Exámenes'!$I$5:$I$1000, 0)), "")</f>
        <v/>
      </c>
      <c r="H229" s="27" t="str">
        <f>IFERROR(INDEX('Base Exámenes'!$E$5:$E$1000, MATCH(A229&amp;"|"&amp;J229, 'Base Exámenes'!$I$5:$I$1000, 0)), "")</f>
        <v/>
      </c>
      <c r="I229" s="26" t="str">
        <f>IFERROR(INDEX('Base Exámenes'!$F$5:$F$1000, MATCH(A229&amp;"|"&amp;J229, 'Base Exámenes'!$I$5:$I$1000, 0)), "")</f>
        <v/>
      </c>
      <c r="J229" s="6" t="str">
        <f>IF(F229="Completado", _xlfn.MAXIFS('Base Exámenes'!$G$5:$G$1000, 'Base Exámenes'!$C$5:$C$1000, A229), "")</f>
        <v/>
      </c>
      <c r="K229" s="6" t="str">
        <f>IFERROR(INDEX('Base Exámenes'!$H$5:$H$1000, MATCH(A229&amp;"|"&amp;J229, 'Base Exámenes'!$I$5:$I$1000, 0)), "anonymous")</f>
        <v>anonymous</v>
      </c>
      <c r="L229" s="95">
        <f>COUNTIF('Base Exámenes'!$C$5:$C$1000, A229)</f>
        <v>0</v>
      </c>
    </row>
    <row r="230">
      <c r="A230" s="4" t="str">
        <f>'Base Oficial'!A230</f>
        <v>295</v>
      </c>
      <c r="B230" s="6" t="str">
        <f>'Base Oficial'!B230</f>
        <v>GLENDA MARAYA SALAZAR GONZALEZ </v>
      </c>
      <c r="C230" s="6" t="str">
        <f>'Base Oficial'!F230</f>
        <v>AGENCIA SANTA  ANA  </v>
      </c>
      <c r="D230" s="6" t="str">
        <f>'Base Oficial'!G230</f>
        <v>Gerencia de Negocios</v>
      </c>
      <c r="E230" s="6" t="str">
        <f>'Base Oficial'!D230</f>
        <v>JEFE DE AGENCIA  </v>
      </c>
      <c r="F230" s="4" t="str">
        <f>IF(COUNTIFS('Base Exámenes'!$C$5:$C$1000, A230, 'Base Exámenes'!$E$5:$E$1000, "&lt;&gt;")&gt;0, "Completado", "Pendiente")</f>
        <v>Completado</v>
      </c>
      <c r="G230" s="27">
        <f>IFERROR(INDEX('Base Exámenes'!$D$5:$D$1000, MATCH(A230&amp;"|"&amp;J230, 'Base Exámenes'!$I$5:$I$1000, 0)), "")</f>
        <v>46309.336597222224</v>
      </c>
      <c r="H230" s="27">
        <f>IFERROR(INDEX('Base Exámenes'!$E$5:$E$1000, MATCH(A230&amp;"|"&amp;J230, 'Base Exámenes'!$I$5:$I$1000, 0)), "")</f>
        <v>46309.339270833334</v>
      </c>
      <c r="I230" s="26">
        <f>IFERROR(INDEX('Base Exámenes'!$F$5:$F$1000, MATCH(A230&amp;"|"&amp;J230, 'Base Exámenes'!$I$5:$I$1000, 0)), "")</f>
        <v>3.85</v>
      </c>
      <c r="J230" s="6">
        <f>IF(F230="Completado", _xlfn.MAXIFS('Base Exámenes'!$G$5:$G$1000, 'Base Exámenes'!$C$5:$C$1000, A230), "")</f>
        <v>100</v>
      </c>
      <c r="K230" s="6" t="str">
        <f>IFERROR(INDEX('Base Exámenes'!$H$5:$H$1000, MATCH(A230&amp;"|"&amp;J230, 'Base Exámenes'!$I$5:$I$1000, 0)), "anonymous")</f>
        <v>anonymous</v>
      </c>
      <c r="L230" s="95">
        <f>COUNTIF('Base Exámenes'!$C$5:$C$1000, A230)</f>
        <v>1</v>
      </c>
    </row>
    <row r="231">
      <c r="A231" s="4" t="str">
        <f>'Base Oficial'!A231</f>
        <v>312</v>
      </c>
      <c r="B231" s="6" t="str">
        <f>'Base Oficial'!B231</f>
        <v>JEANNETTE ANGELINNE HERNANDEZ MEJIA </v>
      </c>
      <c r="C231" s="6" t="str">
        <f>'Base Oficial'!F231</f>
        <v>AGENCIA SANTA  ANA  </v>
      </c>
      <c r="D231" s="6" t="str">
        <f>'Base Oficial'!G231</f>
        <v>Gerencia de Negocios</v>
      </c>
      <c r="E231" s="6" t="str">
        <f>'Base Oficial'!D231</f>
        <v>SUBJEFE DE  AGENCIA</v>
      </c>
      <c r="F231" s="4" t="str">
        <f>IF(COUNTIFS('Base Exámenes'!$C$5:$C$1000, A231, 'Base Exámenes'!$E$5:$E$1000, "&lt;&gt;")&gt;0, "Completado", "Pendiente")</f>
        <v>Completado</v>
      </c>
      <c r="G231" s="27">
        <f>IFERROR(INDEX('Base Exámenes'!$D$5:$D$1000, MATCH(A231&amp;"|"&amp;J231, 'Base Exámenes'!$I$5:$I$1000, 0)), "")</f>
        <v>46309.44709490741</v>
      </c>
      <c r="H231" s="27">
        <f>IFERROR(INDEX('Base Exámenes'!$E$5:$E$1000, MATCH(A231&amp;"|"&amp;J231, 'Base Exámenes'!$I$5:$I$1000, 0)), "")</f>
        <v>46309.46179398148</v>
      </c>
      <c r="I231" s="26">
        <f>IFERROR(INDEX('Base Exámenes'!$F$5:$F$1000, MATCH(A231&amp;"|"&amp;J231, 'Base Exámenes'!$I$5:$I$1000, 0)), "")</f>
        <v>21.1666666666667</v>
      </c>
      <c r="J231" s="6">
        <f>IF(F231="Completado", _xlfn.MAXIFS('Base Exámenes'!$G$5:$G$1000, 'Base Exámenes'!$C$5:$C$1000, A231), "")</f>
        <v>100</v>
      </c>
      <c r="K231" s="6" t="str">
        <f>IFERROR(INDEX('Base Exámenes'!$H$5:$H$1000, MATCH(A231&amp;"|"&amp;J231, 'Base Exámenes'!$I$5:$I$1000, 0)), "anonymous")</f>
        <v>anonymous</v>
      </c>
      <c r="L231" s="95">
        <f>COUNTIF('Base Exámenes'!$C$5:$C$1000, A231)</f>
        <v>1</v>
      </c>
    </row>
    <row r="232">
      <c r="A232" s="4" t="str">
        <f>'Base Oficial'!A232</f>
        <v>747</v>
      </c>
      <c r="B232" s="6" t="str">
        <f>'Base Oficial'!B232</f>
        <v>IRVIN ADEMIR PERAZA MOLINA </v>
      </c>
      <c r="C232" s="6" t="str">
        <f>'Base Oficial'!F232</f>
        <v>AGENCIA SANTA  ANA  </v>
      </c>
      <c r="D232" s="6" t="str">
        <f>'Base Oficial'!G232</f>
        <v>Gerencia de Negocios</v>
      </c>
      <c r="E232" s="6" t="str">
        <f>'Base Oficial'!D232</f>
        <v>EJECUTIVO DE SEGUROS</v>
      </c>
      <c r="F232" s="4" t="str">
        <f>IF(COUNTIFS('Base Exámenes'!$C$5:$C$1000, A232, 'Base Exámenes'!$E$5:$E$1000, "&lt;&gt;")&gt;0, "Completado", "Pendiente")</f>
        <v>Pendiente</v>
      </c>
      <c r="G232" s="27" t="str">
        <f>IFERROR(INDEX('Base Exámenes'!$D$5:$D$1000, MATCH(A232&amp;"|"&amp;J232, 'Base Exámenes'!$I$5:$I$1000, 0)), "")</f>
        <v/>
      </c>
      <c r="H232" s="27" t="str">
        <f>IFERROR(INDEX('Base Exámenes'!$E$5:$E$1000, MATCH(A232&amp;"|"&amp;J232, 'Base Exámenes'!$I$5:$I$1000, 0)), "")</f>
        <v/>
      </c>
      <c r="I232" s="26" t="str">
        <f>IFERROR(INDEX('Base Exámenes'!$F$5:$F$1000, MATCH(A232&amp;"|"&amp;J232, 'Base Exámenes'!$I$5:$I$1000, 0)), "")</f>
        <v/>
      </c>
      <c r="J232" s="6" t="str">
        <f>IF(F232="Completado", _xlfn.MAXIFS('Base Exámenes'!$G$5:$G$1000, 'Base Exámenes'!$C$5:$C$1000, A232), "")</f>
        <v/>
      </c>
      <c r="K232" s="6" t="str">
        <f>IFERROR(INDEX('Base Exámenes'!$H$5:$H$1000, MATCH(A232&amp;"|"&amp;J232, 'Base Exámenes'!$I$5:$I$1000, 0)), "anonymous")</f>
        <v>anonymous</v>
      </c>
      <c r="L232" s="95">
        <f>COUNTIF('Base Exámenes'!$C$5:$C$1000, A232)</f>
        <v>0</v>
      </c>
    </row>
    <row r="233">
      <c r="A233" s="4" t="str">
        <f>'Base Oficial'!A233</f>
        <v>818</v>
      </c>
      <c r="B233" s="6" t="str">
        <f>'Base Oficial'!B233</f>
        <v>ANDREA YAMILETH ESCOBAR CHICA </v>
      </c>
      <c r="C233" s="6" t="str">
        <f>'Base Oficial'!F233</f>
        <v>AGENCIA SANTA  ANA  </v>
      </c>
      <c r="D233" s="6" t="str">
        <f>'Base Oficial'!G233</f>
        <v>Gerencia de Negocios</v>
      </c>
      <c r="E233" s="6" t="str">
        <f>'Base Oficial'!D233</f>
        <v>CAJERO</v>
      </c>
      <c r="F233" s="4" t="str">
        <f>IF(COUNTIFS('Base Exámenes'!$C$5:$C$1000, A233, 'Base Exámenes'!$E$5:$E$1000, "&lt;&gt;")&gt;0, "Completado", "Pendiente")</f>
        <v>Completado</v>
      </c>
      <c r="G233" s="27">
        <f>IFERROR(INDEX('Base Exámenes'!$D$5:$D$1000, MATCH(A233&amp;"|"&amp;J233, 'Base Exámenes'!$I$5:$I$1000, 0)), "")</f>
        <v>46309.62401620371</v>
      </c>
      <c r="H233" s="27">
        <f>IFERROR(INDEX('Base Exámenes'!$E$5:$E$1000, MATCH(A233&amp;"|"&amp;J233, 'Base Exámenes'!$I$5:$I$1000, 0)), "")</f>
        <v>46309.62991898148</v>
      </c>
      <c r="I233" s="26">
        <f>IFERROR(INDEX('Base Exámenes'!$F$5:$F$1000, MATCH(A233&amp;"|"&amp;J233, 'Base Exámenes'!$I$5:$I$1000, 0)), "")</f>
        <v>8.5</v>
      </c>
      <c r="J233" s="6">
        <f>IF(F233="Completado", _xlfn.MAXIFS('Base Exámenes'!$G$5:$G$1000, 'Base Exámenes'!$C$5:$C$1000, A233), "")</f>
        <v>90</v>
      </c>
      <c r="K233" s="6" t="str">
        <f>IFERROR(INDEX('Base Exámenes'!$H$5:$H$1000, MATCH(A233&amp;"|"&amp;J233, 'Base Exámenes'!$I$5:$I$1000, 0)), "anonymous")</f>
        <v>anonymous</v>
      </c>
      <c r="L233" s="95">
        <f>COUNTIF('Base Exámenes'!$C$5:$C$1000, A233)</f>
        <v>1</v>
      </c>
    </row>
    <row r="234">
      <c r="A234" s="4" t="str">
        <f>'Base Oficial'!A234</f>
        <v>840</v>
      </c>
      <c r="B234" s="6" t="str">
        <f>'Base Oficial'!B234</f>
        <v>SOFIA AZMINIA MENA ARGUETA </v>
      </c>
      <c r="C234" s="6" t="str">
        <f>'Base Oficial'!F234</f>
        <v>AGENCIA SANTA  ANA  </v>
      </c>
      <c r="D234" s="6" t="str">
        <f>'Base Oficial'!G234</f>
        <v>Gerencia de Negocios</v>
      </c>
      <c r="E234" s="6" t="str">
        <f>'Base Oficial'!D234</f>
        <v>CAJERO</v>
      </c>
      <c r="F234" s="4" t="str">
        <f>IF(COUNTIFS('Base Exámenes'!$C$5:$C$1000, A234, 'Base Exámenes'!$E$5:$E$1000, "&lt;&gt;")&gt;0, "Completado", "Pendiente")</f>
        <v>Pendiente</v>
      </c>
      <c r="G234" s="27" t="str">
        <f>IFERROR(INDEX('Base Exámenes'!$D$5:$D$1000, MATCH(A234&amp;"|"&amp;J234, 'Base Exámenes'!$I$5:$I$1000, 0)), "")</f>
        <v/>
      </c>
      <c r="H234" s="27" t="str">
        <f>IFERROR(INDEX('Base Exámenes'!$E$5:$E$1000, MATCH(A234&amp;"|"&amp;J234, 'Base Exámenes'!$I$5:$I$1000, 0)), "")</f>
        <v/>
      </c>
      <c r="I234" s="26" t="str">
        <f>IFERROR(INDEX('Base Exámenes'!$F$5:$F$1000, MATCH(A234&amp;"|"&amp;J234, 'Base Exámenes'!$I$5:$I$1000, 0)), "")</f>
        <v/>
      </c>
      <c r="J234" s="6" t="str">
        <f>IF(F234="Completado", _xlfn.MAXIFS('Base Exámenes'!$G$5:$G$1000, 'Base Exámenes'!$C$5:$C$1000, A234), "")</f>
        <v/>
      </c>
      <c r="K234" s="6" t="str">
        <f>IFERROR(INDEX('Base Exámenes'!$H$5:$H$1000, MATCH(A234&amp;"|"&amp;J234, 'Base Exámenes'!$I$5:$I$1000, 0)), "anonymous")</f>
        <v>anonymous</v>
      </c>
      <c r="L234" s="95">
        <f>COUNTIF('Base Exámenes'!$C$5:$C$1000, A234)</f>
        <v>0</v>
      </c>
    </row>
    <row r="235">
      <c r="A235" s="4" t="str">
        <f>'Base Oficial'!A235</f>
        <v>910</v>
      </c>
      <c r="B235" s="6" t="str">
        <f>'Base Oficial'!B235</f>
        <v>JOSE CRISTOBAL LOPEZ ESQUIVEL </v>
      </c>
      <c r="C235" s="6" t="str">
        <f>'Base Oficial'!F235</f>
        <v>AGENCIA SANTA  ANA  </v>
      </c>
      <c r="D235" s="6" t="str">
        <f>'Base Oficial'!G235</f>
        <v>Gerencia de Negocios</v>
      </c>
      <c r="E235" s="6" t="str">
        <f>'Base Oficial'!D235</f>
        <v>MENSAJERO</v>
      </c>
      <c r="F235" s="4" t="str">
        <f>IF(COUNTIFS('Base Exámenes'!$C$5:$C$1000, A235, 'Base Exámenes'!$E$5:$E$1000, "&lt;&gt;")&gt;0, "Completado", "Pendiente")</f>
        <v>Pendiente</v>
      </c>
      <c r="G235" s="27" t="str">
        <f>IFERROR(INDEX('Base Exámenes'!$D$5:$D$1000, MATCH(A235&amp;"|"&amp;J235, 'Base Exámenes'!$I$5:$I$1000, 0)), "")</f>
        <v/>
      </c>
      <c r="H235" s="27" t="str">
        <f>IFERROR(INDEX('Base Exámenes'!$E$5:$E$1000, MATCH(A235&amp;"|"&amp;J235, 'Base Exámenes'!$I$5:$I$1000, 0)), "")</f>
        <v/>
      </c>
      <c r="I235" s="26" t="str">
        <f>IFERROR(INDEX('Base Exámenes'!$F$5:$F$1000, MATCH(A235&amp;"|"&amp;J235, 'Base Exámenes'!$I$5:$I$1000, 0)), "")</f>
        <v/>
      </c>
      <c r="J235" s="6" t="str">
        <f>IF(F235="Completado", _xlfn.MAXIFS('Base Exámenes'!$G$5:$G$1000, 'Base Exámenes'!$C$5:$C$1000, A235), "")</f>
        <v/>
      </c>
      <c r="K235" s="6" t="str">
        <f>IFERROR(INDEX('Base Exámenes'!$H$5:$H$1000, MATCH(A235&amp;"|"&amp;J235, 'Base Exámenes'!$I$5:$I$1000, 0)), "anonymous")</f>
        <v>anonymous</v>
      </c>
      <c r="L235" s="95">
        <f>COUNTIF('Base Exámenes'!$C$5:$C$1000, A235)</f>
        <v>0</v>
      </c>
    </row>
    <row r="236">
      <c r="A236" s="4" t="str">
        <f>'Base Oficial'!A236</f>
        <v>954</v>
      </c>
      <c r="B236" s="6" t="str">
        <f>'Base Oficial'!B236</f>
        <v>LUIS GERARDO DUEÑAS VALLE </v>
      </c>
      <c r="C236" s="6" t="str">
        <f>'Base Oficial'!F236</f>
        <v>AGENCIA SANTA  ANA  </v>
      </c>
      <c r="D236" s="6" t="str">
        <f>'Base Oficial'!G236</f>
        <v>Gerencia de Negocios</v>
      </c>
      <c r="E236" s="6" t="str">
        <f>'Base Oficial'!D236</f>
        <v>CAJERO</v>
      </c>
      <c r="F236" s="4" t="str">
        <f>IF(COUNTIFS('Base Exámenes'!$C$5:$C$1000, A236, 'Base Exámenes'!$E$5:$E$1000, "&lt;&gt;")&gt;0, "Completado", "Pendiente")</f>
        <v>Completado</v>
      </c>
      <c r="G236" s="27">
        <f>IFERROR(INDEX('Base Exámenes'!$D$5:$D$1000, MATCH(A236&amp;"|"&amp;J236, 'Base Exámenes'!$I$5:$I$1000, 0)), "")</f>
        <v>46309.636030092595</v>
      </c>
      <c r="H236" s="27">
        <f>IFERROR(INDEX('Base Exámenes'!$E$5:$E$1000, MATCH(A236&amp;"|"&amp;J236, 'Base Exámenes'!$I$5:$I$1000, 0)), "")</f>
        <v>46309.63957175926</v>
      </c>
      <c r="I236" s="26">
        <f>IFERROR(INDEX('Base Exámenes'!$F$5:$F$1000, MATCH(A236&amp;"|"&amp;J236, 'Base Exámenes'!$I$5:$I$1000, 0)), "")</f>
        <v>5.1</v>
      </c>
      <c r="J236" s="6">
        <f>IF(F236="Completado", _xlfn.MAXIFS('Base Exámenes'!$G$5:$G$1000, 'Base Exámenes'!$C$5:$C$1000, A236), "")</f>
        <v>90</v>
      </c>
      <c r="K236" s="6" t="str">
        <f>IFERROR(INDEX('Base Exámenes'!$H$5:$H$1000, MATCH(A236&amp;"|"&amp;J236, 'Base Exámenes'!$I$5:$I$1000, 0)), "anonymous")</f>
        <v>anonymous</v>
      </c>
      <c r="L236" s="95">
        <f>COUNTIF('Base Exámenes'!$C$5:$C$1000, A236)</f>
        <v>1</v>
      </c>
    </row>
    <row r="237">
      <c r="A237" s="4" t="str">
        <f>'Base Oficial'!A237</f>
        <v>287</v>
      </c>
      <c r="B237" s="6" t="str">
        <f>'Base Oficial'!B237</f>
        <v>MARIA ANGELICA ESCOBAR RENDEROS</v>
      </c>
      <c r="C237" s="6" t="str">
        <f>'Base Oficial'!F237</f>
        <v>AGENCIA SONSONATE  </v>
      </c>
      <c r="D237" s="6" t="str">
        <f>'Base Oficial'!G237</f>
        <v>Gerencia de Negocios</v>
      </c>
      <c r="E237" s="6" t="str">
        <f>'Base Oficial'!D237</f>
        <v>JEFE DE AGENCIA  </v>
      </c>
      <c r="F237" s="4" t="str">
        <f>IF(COUNTIFS('Base Exámenes'!$C$5:$C$1000, A237, 'Base Exámenes'!$E$5:$E$1000, "&lt;&gt;")&gt;0, "Completado", "Pendiente")</f>
        <v>Pendiente</v>
      </c>
      <c r="G237" s="27" t="str">
        <f>IFERROR(INDEX('Base Exámenes'!$D$5:$D$1000, MATCH(A237&amp;"|"&amp;J237, 'Base Exámenes'!$I$5:$I$1000, 0)), "")</f>
        <v/>
      </c>
      <c r="H237" s="27" t="str">
        <f>IFERROR(INDEX('Base Exámenes'!$E$5:$E$1000, MATCH(A237&amp;"|"&amp;J237, 'Base Exámenes'!$I$5:$I$1000, 0)), "")</f>
        <v/>
      </c>
      <c r="I237" s="26" t="str">
        <f>IFERROR(INDEX('Base Exámenes'!$F$5:$F$1000, MATCH(A237&amp;"|"&amp;J237, 'Base Exámenes'!$I$5:$I$1000, 0)), "")</f>
        <v/>
      </c>
      <c r="J237" s="6" t="str">
        <f>IF(F237="Completado", _xlfn.MAXIFS('Base Exámenes'!$G$5:$G$1000, 'Base Exámenes'!$C$5:$C$1000, A237), "")</f>
        <v/>
      </c>
      <c r="K237" s="6" t="str">
        <f>IFERROR(INDEX('Base Exámenes'!$H$5:$H$1000, MATCH(A237&amp;"|"&amp;J237, 'Base Exámenes'!$I$5:$I$1000, 0)), "anonymous")</f>
        <v>anonymous</v>
      </c>
      <c r="L237" s="95">
        <f>COUNTIF('Base Exámenes'!$C$5:$C$1000, A237)</f>
        <v>0</v>
      </c>
    </row>
    <row r="238">
      <c r="A238" s="4" t="str">
        <f>'Base Oficial'!A238</f>
        <v>448</v>
      </c>
      <c r="B238" s="6" t="str">
        <f>'Base Oficial'!B238</f>
        <v>JOSE ALEXANDER TORRES PEREZ </v>
      </c>
      <c r="C238" s="6" t="str">
        <f>'Base Oficial'!F238</f>
        <v>AGENCIA SONSONATE  </v>
      </c>
      <c r="D238" s="6" t="str">
        <f>'Base Oficial'!G238</f>
        <v>Gerencia de Negocios</v>
      </c>
      <c r="E238" s="6" t="str">
        <f>'Base Oficial'!D238</f>
        <v>MENSAJERO</v>
      </c>
      <c r="F238" s="4" t="str">
        <f>IF(COUNTIFS('Base Exámenes'!$C$5:$C$1000, A238, 'Base Exámenes'!$E$5:$E$1000, "&lt;&gt;")&gt;0, "Completado", "Pendiente")</f>
        <v>Pendiente</v>
      </c>
      <c r="G238" s="27" t="str">
        <f>IFERROR(INDEX('Base Exámenes'!$D$5:$D$1000, MATCH(A238&amp;"|"&amp;J238, 'Base Exámenes'!$I$5:$I$1000, 0)), "")</f>
        <v/>
      </c>
      <c r="H238" s="27" t="str">
        <f>IFERROR(INDEX('Base Exámenes'!$E$5:$E$1000, MATCH(A238&amp;"|"&amp;J238, 'Base Exámenes'!$I$5:$I$1000, 0)), "")</f>
        <v/>
      </c>
      <c r="I238" s="26" t="str">
        <f>IFERROR(INDEX('Base Exámenes'!$F$5:$F$1000, MATCH(A238&amp;"|"&amp;J238, 'Base Exámenes'!$I$5:$I$1000, 0)), "")</f>
        <v/>
      </c>
      <c r="J238" s="6" t="str">
        <f>IF(F238="Completado", _xlfn.MAXIFS('Base Exámenes'!$G$5:$G$1000, 'Base Exámenes'!$C$5:$C$1000, A238), "")</f>
        <v/>
      </c>
      <c r="K238" s="6" t="str">
        <f>IFERROR(INDEX('Base Exámenes'!$H$5:$H$1000, MATCH(A238&amp;"|"&amp;J238, 'Base Exámenes'!$I$5:$I$1000, 0)), "anonymous")</f>
        <v>anonymous</v>
      </c>
      <c r="L238" s="95">
        <f>COUNTIF('Base Exámenes'!$C$5:$C$1000, A238)</f>
        <v>0</v>
      </c>
    </row>
    <row r="239">
      <c r="A239" s="4" t="str">
        <f>'Base Oficial'!A239</f>
        <v>526</v>
      </c>
      <c r="B239" s="6" t="str">
        <f>'Base Oficial'!B239</f>
        <v>XIOMARA BEATRIZ MARTINEZ SERMEÑO </v>
      </c>
      <c r="C239" s="6" t="str">
        <f>'Base Oficial'!F239</f>
        <v>AGENCIA SONSONATE  </v>
      </c>
      <c r="D239" s="6" t="str">
        <f>'Base Oficial'!G239</f>
        <v>Gerencia de Negocios</v>
      </c>
      <c r="E239" s="6" t="str">
        <f>'Base Oficial'!D239</f>
        <v>SUBJEFE DE  AGENCIA</v>
      </c>
      <c r="F239" s="4" t="str">
        <f>IF(COUNTIFS('Base Exámenes'!$C$5:$C$1000, A239, 'Base Exámenes'!$E$5:$E$1000, "&lt;&gt;")&gt;0, "Completado", "Pendiente")</f>
        <v>Pendiente</v>
      </c>
      <c r="G239" s="27" t="str">
        <f>IFERROR(INDEX('Base Exámenes'!$D$5:$D$1000, MATCH(A239&amp;"|"&amp;J239, 'Base Exámenes'!$I$5:$I$1000, 0)), "")</f>
        <v/>
      </c>
      <c r="H239" s="27" t="str">
        <f>IFERROR(INDEX('Base Exámenes'!$E$5:$E$1000, MATCH(A239&amp;"|"&amp;J239, 'Base Exámenes'!$I$5:$I$1000, 0)), "")</f>
        <v/>
      </c>
      <c r="I239" s="26" t="str">
        <f>IFERROR(INDEX('Base Exámenes'!$F$5:$F$1000, MATCH(A239&amp;"|"&amp;J239, 'Base Exámenes'!$I$5:$I$1000, 0)), "")</f>
        <v/>
      </c>
      <c r="J239" s="6" t="str">
        <f>IF(F239="Completado", _xlfn.MAXIFS('Base Exámenes'!$G$5:$G$1000, 'Base Exámenes'!$C$5:$C$1000, A239), "")</f>
        <v/>
      </c>
      <c r="K239" s="6" t="str">
        <f>IFERROR(INDEX('Base Exámenes'!$H$5:$H$1000, MATCH(A239&amp;"|"&amp;J239, 'Base Exámenes'!$I$5:$I$1000, 0)), "anonymous")</f>
        <v>anonymous</v>
      </c>
      <c r="L239" s="95">
        <f>COUNTIF('Base Exámenes'!$C$5:$C$1000, A239)</f>
        <v>0</v>
      </c>
    </row>
    <row r="240">
      <c r="A240" s="4" t="str">
        <f>'Base Oficial'!A240</f>
        <v>559</v>
      </c>
      <c r="B240" s="6" t="str">
        <f>'Base Oficial'!B240</f>
        <v>JOSUE ALEXANDER PEREZ HENRIQUEZ </v>
      </c>
      <c r="C240" s="6" t="str">
        <f>'Base Oficial'!F240</f>
        <v>AGENCIA SONSONATE  </v>
      </c>
      <c r="D240" s="6" t="str">
        <f>'Base Oficial'!G240</f>
        <v>Gerencia de Negocios</v>
      </c>
      <c r="E240" s="6" t="str">
        <f>'Base Oficial'!D240</f>
        <v>EJECUTIVO DE NEGOCIOS</v>
      </c>
      <c r="F240" s="4" t="str">
        <f>IF(COUNTIFS('Base Exámenes'!$C$5:$C$1000, A240, 'Base Exámenes'!$E$5:$E$1000, "&lt;&gt;")&gt;0, "Completado", "Pendiente")</f>
        <v>Pendiente</v>
      </c>
      <c r="G240" s="27" t="str">
        <f>IFERROR(INDEX('Base Exámenes'!$D$5:$D$1000, MATCH(A240&amp;"|"&amp;J240, 'Base Exámenes'!$I$5:$I$1000, 0)), "")</f>
        <v/>
      </c>
      <c r="H240" s="27" t="str">
        <f>IFERROR(INDEX('Base Exámenes'!$E$5:$E$1000, MATCH(A240&amp;"|"&amp;J240, 'Base Exámenes'!$I$5:$I$1000, 0)), "")</f>
        <v/>
      </c>
      <c r="I240" s="26" t="str">
        <f>IFERROR(INDEX('Base Exámenes'!$F$5:$F$1000, MATCH(A240&amp;"|"&amp;J240, 'Base Exámenes'!$I$5:$I$1000, 0)), "")</f>
        <v/>
      </c>
      <c r="J240" s="6" t="str">
        <f>IF(F240="Completado", _xlfn.MAXIFS('Base Exámenes'!$G$5:$G$1000, 'Base Exámenes'!$C$5:$C$1000, A240), "")</f>
        <v/>
      </c>
      <c r="K240" s="6" t="str">
        <f>IFERROR(INDEX('Base Exámenes'!$H$5:$H$1000, MATCH(A240&amp;"|"&amp;J240, 'Base Exámenes'!$I$5:$I$1000, 0)), "anonymous")</f>
        <v>anonymous</v>
      </c>
      <c r="L240" s="95">
        <f>COUNTIF('Base Exámenes'!$C$5:$C$1000, A240)</f>
        <v>0</v>
      </c>
    </row>
    <row r="241">
      <c r="A241" s="4" t="str">
        <f>'Base Oficial'!A241</f>
        <v>575</v>
      </c>
      <c r="B241" s="6" t="str">
        <f>'Base Oficial'!B241</f>
        <v>JESSICA YAMILETH LEIVA VASQUEZ </v>
      </c>
      <c r="C241" s="6" t="str">
        <f>'Base Oficial'!F241</f>
        <v>AGENCIA SONSONATE  </v>
      </c>
      <c r="D241" s="6" t="str">
        <f>'Base Oficial'!G241</f>
        <v>Gerencia de Negocios</v>
      </c>
      <c r="E241" s="6" t="str">
        <f>'Base Oficial'!D241</f>
        <v>EJECUTIVA DE SEGUROS</v>
      </c>
      <c r="F241" s="4" t="str">
        <f>IF(COUNTIFS('Base Exámenes'!$C$5:$C$1000, A241, 'Base Exámenes'!$E$5:$E$1000, "&lt;&gt;")&gt;0, "Completado", "Pendiente")</f>
        <v>Pendiente</v>
      </c>
      <c r="G241" s="27" t="str">
        <f>IFERROR(INDEX('Base Exámenes'!$D$5:$D$1000, MATCH(A241&amp;"|"&amp;J241, 'Base Exámenes'!$I$5:$I$1000, 0)), "")</f>
        <v/>
      </c>
      <c r="H241" s="27" t="str">
        <f>IFERROR(INDEX('Base Exámenes'!$E$5:$E$1000, MATCH(A241&amp;"|"&amp;J241, 'Base Exámenes'!$I$5:$I$1000, 0)), "")</f>
        <v/>
      </c>
      <c r="I241" s="26" t="str">
        <f>IFERROR(INDEX('Base Exámenes'!$F$5:$F$1000, MATCH(A241&amp;"|"&amp;J241, 'Base Exámenes'!$I$5:$I$1000, 0)), "")</f>
        <v/>
      </c>
      <c r="J241" s="6" t="str">
        <f>IF(F241="Completado", _xlfn.MAXIFS('Base Exámenes'!$G$5:$G$1000, 'Base Exámenes'!$C$5:$C$1000, A241), "")</f>
        <v/>
      </c>
      <c r="K241" s="6" t="str">
        <f>IFERROR(INDEX('Base Exámenes'!$H$5:$H$1000, MATCH(A241&amp;"|"&amp;J241, 'Base Exámenes'!$I$5:$I$1000, 0)), "anonymous")</f>
        <v>anonymous</v>
      </c>
      <c r="L241" s="95">
        <f>COUNTIF('Base Exámenes'!$C$5:$C$1000, A241)</f>
        <v>0</v>
      </c>
    </row>
    <row r="242">
      <c r="A242" s="4" t="str">
        <f>'Base Oficial'!A242</f>
        <v>755</v>
      </c>
      <c r="B242" s="6" t="str">
        <f>'Base Oficial'!B242</f>
        <v>MIGUEL ANGEL LEON MENA </v>
      </c>
      <c r="C242" s="6" t="str">
        <f>'Base Oficial'!F242</f>
        <v>AGENCIA SONSONATE  </v>
      </c>
      <c r="D242" s="6" t="str">
        <f>'Base Oficial'!G242</f>
        <v>Gerencia de Negocios</v>
      </c>
      <c r="E242" s="6" t="str">
        <f>'Base Oficial'!D242</f>
        <v>CAJERO</v>
      </c>
      <c r="F242" s="4" t="str">
        <f>IF(COUNTIFS('Base Exámenes'!$C$5:$C$1000, A242, 'Base Exámenes'!$E$5:$E$1000, "&lt;&gt;")&gt;0, "Completado", "Pendiente")</f>
        <v>Completado</v>
      </c>
      <c r="G242" s="27">
        <f>IFERROR(INDEX('Base Exámenes'!$D$5:$D$1000, MATCH(A242&amp;"|"&amp;J242, 'Base Exámenes'!$I$5:$I$1000, 0)), "")</f>
        <v>46308.43619212963</v>
      </c>
      <c r="H242" s="27">
        <f>IFERROR(INDEX('Base Exámenes'!$E$5:$E$1000, MATCH(A242&amp;"|"&amp;J242, 'Base Exámenes'!$I$5:$I$1000, 0)), "")</f>
        <v>46308.456412037034</v>
      </c>
      <c r="I242" s="26">
        <f>IFERROR(INDEX('Base Exámenes'!$F$5:$F$1000, MATCH(A242&amp;"|"&amp;J242, 'Base Exámenes'!$I$5:$I$1000, 0)), "")</f>
        <v>29.1166666666667</v>
      </c>
      <c r="J242" s="6">
        <f>IF(F242="Completado", _xlfn.MAXIFS('Base Exámenes'!$G$5:$G$1000, 'Base Exámenes'!$C$5:$C$1000, A242), "")</f>
        <v>80</v>
      </c>
      <c r="K242" s="6" t="str">
        <f>IFERROR(INDEX('Base Exámenes'!$H$5:$H$1000, MATCH(A242&amp;"|"&amp;J242, 'Base Exámenes'!$I$5:$I$1000, 0)), "anonymous")</f>
        <v>anonymous</v>
      </c>
      <c r="L242" s="95">
        <f>COUNTIF('Base Exámenes'!$C$5:$C$1000, A242)</f>
        <v>1</v>
      </c>
    </row>
    <row r="243">
      <c r="A243" s="4" t="str">
        <f>'Base Oficial'!A243</f>
        <v>849</v>
      </c>
      <c r="B243" s="6" t="str">
        <f>'Base Oficial'!B243</f>
        <v>KARLA MARCELA  ESCOBAR TRIGUEROS </v>
      </c>
      <c r="C243" s="6" t="str">
        <f>'Base Oficial'!F243</f>
        <v>AGENCIA SONSONATE  </v>
      </c>
      <c r="D243" s="6" t="str">
        <f>'Base Oficial'!G243</f>
        <v>Gerencia de Negocios</v>
      </c>
      <c r="E243" s="6" t="str">
        <f>'Base Oficial'!D243</f>
        <v>CAJERO</v>
      </c>
      <c r="F243" s="4" t="str">
        <f>IF(COUNTIFS('Base Exámenes'!$C$5:$C$1000, A243, 'Base Exámenes'!$E$5:$E$1000, "&lt;&gt;")&gt;0, "Completado", "Pendiente")</f>
        <v>Pendiente</v>
      </c>
      <c r="G243" s="27" t="str">
        <f>IFERROR(INDEX('Base Exámenes'!$D$5:$D$1000, MATCH(A243&amp;"|"&amp;J243, 'Base Exámenes'!$I$5:$I$1000, 0)), "")</f>
        <v/>
      </c>
      <c r="H243" s="27" t="str">
        <f>IFERROR(INDEX('Base Exámenes'!$E$5:$E$1000, MATCH(A243&amp;"|"&amp;J243, 'Base Exámenes'!$I$5:$I$1000, 0)), "")</f>
        <v/>
      </c>
      <c r="I243" s="26" t="str">
        <f>IFERROR(INDEX('Base Exámenes'!$F$5:$F$1000, MATCH(A243&amp;"|"&amp;J243, 'Base Exámenes'!$I$5:$I$1000, 0)), "")</f>
        <v/>
      </c>
      <c r="J243" s="6" t="str">
        <f>IF(F243="Completado", _xlfn.MAXIFS('Base Exámenes'!$G$5:$G$1000, 'Base Exámenes'!$C$5:$C$1000, A243), "")</f>
        <v/>
      </c>
      <c r="K243" s="6" t="str">
        <f>IFERROR(INDEX('Base Exámenes'!$H$5:$H$1000, MATCH(A243&amp;"|"&amp;J243, 'Base Exámenes'!$I$5:$I$1000, 0)), "anonymous")</f>
        <v>anonymous</v>
      </c>
      <c r="L243" s="95">
        <f>COUNTIF('Base Exámenes'!$C$5:$C$1000, A243)</f>
        <v>0</v>
      </c>
    </row>
    <row r="244">
      <c r="A244" s="4" t="str">
        <f>'Base Oficial'!A244</f>
        <v>159</v>
      </c>
      <c r="B244" s="6" t="str">
        <f>'Base Oficial'!B244</f>
        <v>PATRICIA GUADALUPE GUARDADO OSEGUEDA </v>
      </c>
      <c r="C244" s="6" t="str">
        <f>'Base Oficial'!F244</f>
        <v>AGENCIA MERLIOT  </v>
      </c>
      <c r="D244" s="6" t="str">
        <f>'Base Oficial'!G244</f>
        <v>Gerencia de Negocios</v>
      </c>
      <c r="E244" s="6" t="str">
        <f>'Base Oficial'!D244</f>
        <v>EJECUTIVO DE NEGOCIOS</v>
      </c>
      <c r="F244" s="4" t="str">
        <f>IF(COUNTIFS('Base Exámenes'!$C$5:$C$1000, A244, 'Base Exámenes'!$E$5:$E$1000, "&lt;&gt;")&gt;0, "Completado", "Pendiente")</f>
        <v>Completado</v>
      </c>
      <c r="G244" s="27">
        <f>IFERROR(INDEX('Base Exámenes'!$D$5:$D$1000, MATCH(A244&amp;"|"&amp;J244, 'Base Exámenes'!$I$5:$I$1000, 0)), "")</f>
        <v>46303.39310185185</v>
      </c>
      <c r="H244" s="27">
        <f>IFERROR(INDEX('Base Exámenes'!$E$5:$E$1000, MATCH(A244&amp;"|"&amp;J244, 'Base Exámenes'!$I$5:$I$1000, 0)), "")</f>
        <v>46303.39640046296</v>
      </c>
      <c r="I244" s="26">
        <f>IFERROR(INDEX('Base Exámenes'!$F$5:$F$1000, MATCH(A244&amp;"|"&amp;J244, 'Base Exámenes'!$I$5:$I$1000, 0)), "")</f>
        <v>4.75</v>
      </c>
      <c r="J244" s="6">
        <f>IF(F244="Completado", _xlfn.MAXIFS('Base Exámenes'!$G$5:$G$1000, 'Base Exámenes'!$C$5:$C$1000, A244), "")</f>
        <v>100</v>
      </c>
      <c r="K244" s="6" t="str">
        <f>IFERROR(INDEX('Base Exámenes'!$H$5:$H$1000, MATCH(A244&amp;"|"&amp;J244, 'Base Exámenes'!$I$5:$I$1000, 0)), "anonymous")</f>
        <v>anonymous</v>
      </c>
      <c r="L244" s="95">
        <f>COUNTIF('Base Exámenes'!$C$5:$C$1000, A244)</f>
        <v>1</v>
      </c>
    </row>
    <row r="245">
      <c r="A245" s="4" t="str">
        <f>'Base Oficial'!A245</f>
        <v>251</v>
      </c>
      <c r="B245" s="6" t="str">
        <f>'Base Oficial'!B245</f>
        <v>NURIA LISSETH AGUILAR AGUILAR </v>
      </c>
      <c r="C245" s="6" t="str">
        <f>'Base Oficial'!F245</f>
        <v>AGENCIA MERLIOT  </v>
      </c>
      <c r="D245" s="6" t="str">
        <f>'Base Oficial'!G245</f>
        <v>Gerencia de Negocios</v>
      </c>
      <c r="E245" s="6" t="str">
        <f>'Base Oficial'!D245</f>
        <v>EJECUTIVO DE NEGOCIOS</v>
      </c>
      <c r="F245" s="4" t="str">
        <f>IF(COUNTIFS('Base Exámenes'!$C$5:$C$1000, A245, 'Base Exámenes'!$E$5:$E$1000, "&lt;&gt;")&gt;0, "Completado", "Pendiente")</f>
        <v>Completado</v>
      </c>
      <c r="G245" s="27">
        <f>IFERROR(INDEX('Base Exámenes'!$D$5:$D$1000, MATCH(A245&amp;"|"&amp;J245, 'Base Exámenes'!$I$5:$I$1000, 0)), "")</f>
        <v>46303.45815972222</v>
      </c>
      <c r="H245" s="27">
        <f>IFERROR(INDEX('Base Exámenes'!$E$5:$E$1000, MATCH(A245&amp;"|"&amp;J245, 'Base Exámenes'!$I$5:$I$1000, 0)), "")</f>
        <v>46303.46199074074</v>
      </c>
      <c r="I245" s="26">
        <f>IFERROR(INDEX('Base Exámenes'!$F$5:$F$1000, MATCH(A245&amp;"|"&amp;J245, 'Base Exámenes'!$I$5:$I$1000, 0)), "")</f>
        <v>5.51666666666667</v>
      </c>
      <c r="J245" s="6">
        <f>IF(F245="Completado", _xlfn.MAXIFS('Base Exámenes'!$G$5:$G$1000, 'Base Exámenes'!$C$5:$C$1000, A245), "")</f>
        <v>100</v>
      </c>
      <c r="K245" s="6" t="str">
        <f>IFERROR(INDEX('Base Exámenes'!$H$5:$H$1000, MATCH(A245&amp;"|"&amp;J245, 'Base Exámenes'!$I$5:$I$1000, 0)), "anonymous")</f>
        <v>anonymous</v>
      </c>
      <c r="L245" s="95">
        <f>COUNTIF('Base Exámenes'!$C$5:$C$1000, A245)</f>
        <v>1</v>
      </c>
    </row>
    <row r="246">
      <c r="A246" s="4" t="str">
        <f>'Base Oficial'!A246</f>
        <v>343</v>
      </c>
      <c r="B246" s="6" t="str">
        <f>'Base Oficial'!B246</f>
        <v>FATIMA BERENICE MEDINA  ESCALANTE</v>
      </c>
      <c r="C246" s="6" t="str">
        <f>'Base Oficial'!F246</f>
        <v>AGENCIA MERLIOT  </v>
      </c>
      <c r="D246" s="6" t="str">
        <f>'Base Oficial'!G246</f>
        <v>Gerencia de Negocios</v>
      </c>
      <c r="E246" s="6" t="str">
        <f>'Base Oficial'!D246</f>
        <v>JEFE DE AGENCIA  </v>
      </c>
      <c r="F246" s="4" t="str">
        <f>IF(COUNTIFS('Base Exámenes'!$C$5:$C$1000, A246, 'Base Exámenes'!$E$5:$E$1000, "&lt;&gt;")&gt;0, "Completado", "Pendiente")</f>
        <v>Completado</v>
      </c>
      <c r="G246" s="27">
        <f>IFERROR(INDEX('Base Exámenes'!$D$5:$D$1000, MATCH(A246&amp;"|"&amp;J246, 'Base Exámenes'!$I$5:$I$1000, 0)), "")</f>
        <v>46302.700208333335</v>
      </c>
      <c r="H246" s="27">
        <f>IFERROR(INDEX('Base Exámenes'!$E$5:$E$1000, MATCH(A246&amp;"|"&amp;J246, 'Base Exámenes'!$I$5:$I$1000, 0)), "")</f>
        <v>46302.70259259259</v>
      </c>
      <c r="I246" s="26">
        <f>IFERROR(INDEX('Base Exámenes'!$F$5:$F$1000, MATCH(A246&amp;"|"&amp;J246, 'Base Exámenes'!$I$5:$I$1000, 0)), "")</f>
        <v>3.43333333333333</v>
      </c>
      <c r="J246" s="6">
        <f>IF(F246="Completado", _xlfn.MAXIFS('Base Exámenes'!$G$5:$G$1000, 'Base Exámenes'!$C$5:$C$1000, A246), "")</f>
        <v>100</v>
      </c>
      <c r="K246" s="6" t="str">
        <f>IFERROR(INDEX('Base Exámenes'!$H$5:$H$1000, MATCH(A246&amp;"|"&amp;J246, 'Base Exámenes'!$I$5:$I$1000, 0)), "anonymous")</f>
        <v>anonymous</v>
      </c>
      <c r="L246" s="95">
        <f>COUNTIF('Base Exámenes'!$C$5:$C$1000, A246)</f>
        <v>1</v>
      </c>
    </row>
    <row r="247">
      <c r="A247" s="4" t="str">
        <f>'Base Oficial'!A247</f>
        <v>657</v>
      </c>
      <c r="B247" s="6" t="str">
        <f>'Base Oficial'!B247</f>
        <v>CLELIA DESIREE CAMPOS COSS</v>
      </c>
      <c r="C247" s="6" t="str">
        <f>'Base Oficial'!F247</f>
        <v>AGENCIA MERLIOT  </v>
      </c>
      <c r="D247" s="6" t="str">
        <f>'Base Oficial'!G247</f>
        <v>Gerencia de Negocios</v>
      </c>
      <c r="E247" s="6" t="str">
        <f>'Base Oficial'!D247</f>
        <v>SERVICIOS VARIOS</v>
      </c>
      <c r="F247" s="4" t="str">
        <f>IF(COUNTIFS('Base Exámenes'!$C$5:$C$1000, A247, 'Base Exámenes'!$E$5:$E$1000, "&lt;&gt;")&gt;0, "Completado", "Pendiente")</f>
        <v>Pendiente</v>
      </c>
      <c r="G247" s="27" t="str">
        <f>IFERROR(INDEX('Base Exámenes'!$D$5:$D$1000, MATCH(A247&amp;"|"&amp;J247, 'Base Exámenes'!$I$5:$I$1000, 0)), "")</f>
        <v/>
      </c>
      <c r="H247" s="27" t="str">
        <f>IFERROR(INDEX('Base Exámenes'!$E$5:$E$1000, MATCH(A247&amp;"|"&amp;J247, 'Base Exámenes'!$I$5:$I$1000, 0)), "")</f>
        <v/>
      </c>
      <c r="I247" s="26" t="str">
        <f>IFERROR(INDEX('Base Exámenes'!$F$5:$F$1000, MATCH(A247&amp;"|"&amp;J247, 'Base Exámenes'!$I$5:$I$1000, 0)), "")</f>
        <v/>
      </c>
      <c r="J247" s="6" t="str">
        <f>IF(F247="Completado", _xlfn.MAXIFS('Base Exámenes'!$G$5:$G$1000, 'Base Exámenes'!$C$5:$C$1000, A247), "")</f>
        <v/>
      </c>
      <c r="K247" s="6" t="str">
        <f>IFERROR(INDEX('Base Exámenes'!$H$5:$H$1000, MATCH(A247&amp;"|"&amp;J247, 'Base Exámenes'!$I$5:$I$1000, 0)), "anonymous")</f>
        <v>anonymous</v>
      </c>
      <c r="L247" s="95">
        <f>COUNTIF('Base Exámenes'!$C$5:$C$1000, A247)</f>
        <v>0</v>
      </c>
    </row>
    <row r="248">
      <c r="A248" s="4" t="str">
        <f>'Base Oficial'!A248</f>
        <v>671</v>
      </c>
      <c r="B248" s="6" t="str">
        <f>'Base Oficial'!B248</f>
        <v>MILTON ALEXANDER CUELLAR GARCIA </v>
      </c>
      <c r="C248" s="6" t="str">
        <f>'Base Oficial'!F248</f>
        <v>AGENCIA MERLIOT  </v>
      </c>
      <c r="D248" s="6" t="str">
        <f>'Base Oficial'!G248</f>
        <v>Gerencia de Negocios</v>
      </c>
      <c r="E248" s="6" t="str">
        <f>'Base Oficial'!D248</f>
        <v>CAJERO</v>
      </c>
      <c r="F248" s="4" t="str">
        <f>IF(COUNTIFS('Base Exámenes'!$C$5:$C$1000, A248, 'Base Exámenes'!$E$5:$E$1000, "&lt;&gt;")&gt;0, "Completado", "Pendiente")</f>
        <v>Completado</v>
      </c>
      <c r="G248" s="27">
        <f>IFERROR(INDEX('Base Exámenes'!$D$5:$D$1000, MATCH(A248&amp;"|"&amp;J248, 'Base Exámenes'!$I$5:$I$1000, 0)), "")</f>
        <v>46296.54665509259</v>
      </c>
      <c r="H248" s="27">
        <f>IFERROR(INDEX('Base Exámenes'!$E$5:$E$1000, MATCH(A248&amp;"|"&amp;J248, 'Base Exámenes'!$I$5:$I$1000, 0)), "")</f>
        <v>46296.55247685185</v>
      </c>
      <c r="I248" s="26">
        <f>IFERROR(INDEX('Base Exámenes'!$F$5:$F$1000, MATCH(A248&amp;"|"&amp;J248, 'Base Exámenes'!$I$5:$I$1000, 0)), "")</f>
        <v>8.38333333333333</v>
      </c>
      <c r="J248" s="6">
        <f>IF(F248="Completado", _xlfn.MAXIFS('Base Exámenes'!$G$5:$G$1000, 'Base Exámenes'!$C$5:$C$1000, A248), "")</f>
        <v>70</v>
      </c>
      <c r="K248" s="6" t="str">
        <f>IFERROR(INDEX('Base Exámenes'!$H$5:$H$1000, MATCH(A248&amp;"|"&amp;J248, 'Base Exámenes'!$I$5:$I$1000, 0)), "anonymous")</f>
        <v>anonymous</v>
      </c>
      <c r="L248" s="95">
        <f>COUNTIF('Base Exámenes'!$C$5:$C$1000, A248)</f>
        <v>1</v>
      </c>
    </row>
    <row r="249">
      <c r="A249" s="4" t="str">
        <f>'Base Oficial'!A249</f>
        <v>700</v>
      </c>
      <c r="B249" s="6" t="str">
        <f>'Base Oficial'!B249</f>
        <v>JENNIFFER MIREYA AYALA ZEPEDA </v>
      </c>
      <c r="C249" s="6" t="str">
        <f>'Base Oficial'!F249</f>
        <v>AGENCIA MERLIOT  </v>
      </c>
      <c r="D249" s="6" t="str">
        <f>'Base Oficial'!G249</f>
        <v>Gerencia de Negocios</v>
      </c>
      <c r="E249" s="6" t="str">
        <f>'Base Oficial'!D249</f>
        <v>SUBJEFE DE  AGENCIA</v>
      </c>
      <c r="F249" s="4" t="str">
        <f>IF(COUNTIFS('Base Exámenes'!$C$5:$C$1000, A249, 'Base Exámenes'!$E$5:$E$1000, "&lt;&gt;")&gt;0, "Completado", "Pendiente")</f>
        <v>Completado</v>
      </c>
      <c r="G249" s="27">
        <f>IFERROR(INDEX('Base Exámenes'!$D$5:$D$1000, MATCH(A249&amp;"|"&amp;J249, 'Base Exámenes'!$I$5:$I$1000, 0)), "")</f>
        <v>46302.55385416667</v>
      </c>
      <c r="H249" s="27">
        <f>IFERROR(INDEX('Base Exámenes'!$E$5:$E$1000, MATCH(A249&amp;"|"&amp;J249, 'Base Exámenes'!$I$5:$I$1000, 0)), "")</f>
        <v>46302.561886574076</v>
      </c>
      <c r="I249" s="26">
        <f>IFERROR(INDEX('Base Exámenes'!$F$5:$F$1000, MATCH(A249&amp;"|"&amp;J249, 'Base Exámenes'!$I$5:$I$1000, 0)), "")</f>
        <v>11.5666666666667</v>
      </c>
      <c r="J249" s="6">
        <f>IF(F249="Completado", _xlfn.MAXIFS('Base Exámenes'!$G$5:$G$1000, 'Base Exámenes'!$C$5:$C$1000, A249), "")</f>
        <v>100</v>
      </c>
      <c r="K249" s="6" t="str">
        <f>IFERROR(INDEX('Base Exámenes'!$H$5:$H$1000, MATCH(A249&amp;"|"&amp;J249, 'Base Exámenes'!$I$5:$I$1000, 0)), "anonymous")</f>
        <v>anonymous</v>
      </c>
      <c r="L249" s="95">
        <f>COUNTIF('Base Exámenes'!$C$5:$C$1000, A249)</f>
        <v>1</v>
      </c>
    </row>
    <row r="250">
      <c r="A250" s="4" t="str">
        <f>'Base Oficial'!A250</f>
        <v>827</v>
      </c>
      <c r="B250" s="6" t="str">
        <f>'Base Oficial'!B250</f>
        <v>KELLY IDALIA CHAVEZ ABREGO </v>
      </c>
      <c r="C250" s="6" t="str">
        <f>'Base Oficial'!F250</f>
        <v>AGENCIA MERLIOT  </v>
      </c>
      <c r="D250" s="6" t="str">
        <f>'Base Oficial'!G250</f>
        <v>Gerencia de Negocios</v>
      </c>
      <c r="E250" s="6" t="str">
        <f>'Base Oficial'!D250</f>
        <v>CAJERO</v>
      </c>
      <c r="F250" s="4" t="str">
        <f>IF(COUNTIFS('Base Exámenes'!$C$5:$C$1000, A250, 'Base Exámenes'!$E$5:$E$1000, "&lt;&gt;")&gt;0, "Completado", "Pendiente")</f>
        <v>Completado</v>
      </c>
      <c r="G250" s="27">
        <f>IFERROR(INDEX('Base Exámenes'!$D$5:$D$1000, MATCH(A250&amp;"|"&amp;J250, 'Base Exámenes'!$I$5:$I$1000, 0)), "")</f>
        <v>46302.5837962963</v>
      </c>
      <c r="H250" s="27">
        <f>IFERROR(INDEX('Base Exámenes'!$E$5:$E$1000, MATCH(A250&amp;"|"&amp;J250, 'Base Exámenes'!$I$5:$I$1000, 0)), "")</f>
        <v>46302.58609953704</v>
      </c>
      <c r="I250" s="26">
        <f>IFERROR(INDEX('Base Exámenes'!$F$5:$F$1000, MATCH(A250&amp;"|"&amp;J250, 'Base Exámenes'!$I$5:$I$1000, 0)), "")</f>
        <v>3.31666666666667</v>
      </c>
      <c r="J250" s="6">
        <f>IF(F250="Completado", _xlfn.MAXIFS('Base Exámenes'!$G$5:$G$1000, 'Base Exámenes'!$C$5:$C$1000, A250), "")</f>
        <v>100</v>
      </c>
      <c r="K250" s="6" t="str">
        <f>IFERROR(INDEX('Base Exámenes'!$H$5:$H$1000, MATCH(A250&amp;"|"&amp;J250, 'Base Exámenes'!$I$5:$I$1000, 0)), "anonymous")</f>
        <v>anonymous</v>
      </c>
      <c r="L250" s="95">
        <f>COUNTIF('Base Exámenes'!$C$5:$C$1000, A250)</f>
        <v>1</v>
      </c>
    </row>
    <row r="251">
      <c r="A251" s="4" t="str">
        <f>'Base Oficial'!A251</f>
        <v>892</v>
      </c>
      <c r="B251" s="6" t="str">
        <f>'Base Oficial'!B251</f>
        <v>DIANA VANESSA RODRIGUEZ SORIANO </v>
      </c>
      <c r="C251" s="6" t="str">
        <f>'Base Oficial'!F251</f>
        <v>AGENCIA MERLIOT  </v>
      </c>
      <c r="D251" s="6" t="str">
        <f>'Base Oficial'!G251</f>
        <v>Gerencia de Negocios</v>
      </c>
      <c r="E251" s="6" t="str">
        <f>'Base Oficial'!D251</f>
        <v>EJECUTIVA DE SEGUROS</v>
      </c>
      <c r="F251" s="4" t="str">
        <f>IF(COUNTIFS('Base Exámenes'!$C$5:$C$1000, A251, 'Base Exámenes'!$E$5:$E$1000, "&lt;&gt;")&gt;0, "Completado", "Pendiente")</f>
        <v>Completado</v>
      </c>
      <c r="G251" s="27">
        <f>IFERROR(INDEX('Base Exámenes'!$D$5:$D$1000, MATCH(A251&amp;"|"&amp;J251, 'Base Exámenes'!$I$5:$I$1000, 0)), "")</f>
        <v>46303.38890046296</v>
      </c>
      <c r="H251" s="27">
        <f>IFERROR(INDEX('Base Exámenes'!$E$5:$E$1000, MATCH(A251&amp;"|"&amp;J251, 'Base Exámenes'!$I$5:$I$1000, 0)), "")</f>
        <v>46303.39013888889</v>
      </c>
      <c r="I251" s="26">
        <f>IFERROR(INDEX('Base Exámenes'!$F$5:$F$1000, MATCH(A251&amp;"|"&amp;J251, 'Base Exámenes'!$I$5:$I$1000, 0)), "")</f>
        <v>1.78333333333333</v>
      </c>
      <c r="J251" s="6">
        <f>IF(F251="Completado", _xlfn.MAXIFS('Base Exámenes'!$G$5:$G$1000, 'Base Exámenes'!$C$5:$C$1000, A251), "")</f>
        <v>100</v>
      </c>
      <c r="K251" s="6" t="str">
        <f>IFERROR(INDEX('Base Exámenes'!$H$5:$H$1000, MATCH(A251&amp;"|"&amp;J251, 'Base Exámenes'!$I$5:$I$1000, 0)), "anonymous")</f>
        <v>anonymous</v>
      </c>
      <c r="L251" s="95">
        <f>COUNTIF('Base Exámenes'!$C$5:$C$1000, A251)</f>
        <v>1</v>
      </c>
    </row>
    <row r="252">
      <c r="A252" s="4" t="str">
        <f>'Base Oficial'!A252</f>
        <v>909</v>
      </c>
      <c r="B252" s="6" t="str">
        <f>'Base Oficial'!B252</f>
        <v>GLADYS LISETH HERNANDEZ CRUZ </v>
      </c>
      <c r="C252" s="6" t="str">
        <f>'Base Oficial'!F252</f>
        <v>AGENCIA MERLIOT  </v>
      </c>
      <c r="D252" s="6" t="str">
        <f>'Base Oficial'!G252</f>
        <v>Gerencia de Negocios</v>
      </c>
      <c r="E252" s="6" t="str">
        <f>'Base Oficial'!D252</f>
        <v>CAJERO</v>
      </c>
      <c r="F252" s="4" t="str">
        <f>IF(COUNTIFS('Base Exámenes'!$C$5:$C$1000, A252, 'Base Exámenes'!$E$5:$E$1000, "&lt;&gt;")&gt;0, "Completado", "Pendiente")</f>
        <v>Completado</v>
      </c>
      <c r="G252" s="27">
        <f>IFERROR(INDEX('Base Exámenes'!$D$5:$D$1000, MATCH(A252&amp;"|"&amp;J252, 'Base Exámenes'!$I$5:$I$1000, 0)), "")</f>
        <v>46302.70101851852</v>
      </c>
      <c r="H252" s="27">
        <f>IFERROR(INDEX('Base Exámenes'!$E$5:$E$1000, MATCH(A252&amp;"|"&amp;J252, 'Base Exámenes'!$I$5:$I$1000, 0)), "")</f>
        <v>46302.70457175926</v>
      </c>
      <c r="I252" s="26">
        <f>IFERROR(INDEX('Base Exámenes'!$F$5:$F$1000, MATCH(A252&amp;"|"&amp;J252, 'Base Exámenes'!$I$5:$I$1000, 0)), "")</f>
        <v>5.11666666666667</v>
      </c>
      <c r="J252" s="6">
        <f>IF(F252="Completado", _xlfn.MAXIFS('Base Exámenes'!$G$5:$G$1000, 'Base Exámenes'!$C$5:$C$1000, A252), "")</f>
        <v>100</v>
      </c>
      <c r="K252" s="6" t="str">
        <f>IFERROR(INDEX('Base Exámenes'!$H$5:$H$1000, MATCH(A252&amp;"|"&amp;J252, 'Base Exámenes'!$I$5:$I$1000, 0)), "anonymous")</f>
        <v>anonymous</v>
      </c>
      <c r="L252" s="95">
        <f>COUNTIF('Base Exámenes'!$C$5:$C$1000, A252)</f>
        <v>1</v>
      </c>
    </row>
    <row r="253">
      <c r="A253" s="4" t="str">
        <f>'Base Oficial'!A253</f>
        <v>922</v>
      </c>
      <c r="B253" s="6" t="str">
        <f>'Base Oficial'!B253</f>
        <v>MADELINE ADRIANA GOMEZ GARCIA </v>
      </c>
      <c r="C253" s="6" t="str">
        <f>'Base Oficial'!F253</f>
        <v>AGENCIA MERLIOT  </v>
      </c>
      <c r="D253" s="6" t="str">
        <f>'Base Oficial'!G253</f>
        <v>Gerencia de Negocios</v>
      </c>
      <c r="E253" s="6" t="str">
        <f>'Base Oficial'!D253</f>
        <v>CAJERO</v>
      </c>
      <c r="F253" s="4" t="str">
        <f>IF(COUNTIFS('Base Exámenes'!$C$5:$C$1000, A253, 'Base Exámenes'!$E$5:$E$1000, "&lt;&gt;")&gt;0, "Completado", "Pendiente")</f>
        <v>Completado</v>
      </c>
      <c r="G253" s="27">
        <f>IFERROR(INDEX('Base Exámenes'!$D$5:$D$1000, MATCH(A253&amp;"|"&amp;J253, 'Base Exámenes'!$I$5:$I$1000, 0)), "")</f>
        <v>46302.57461805556</v>
      </c>
      <c r="H253" s="27">
        <f>IFERROR(INDEX('Base Exámenes'!$E$5:$E$1000, MATCH(A253&amp;"|"&amp;J253, 'Base Exámenes'!$I$5:$I$1000, 0)), "")</f>
        <v>46302.57753472222</v>
      </c>
      <c r="I253" s="26">
        <f>IFERROR(INDEX('Base Exámenes'!$F$5:$F$1000, MATCH(A253&amp;"|"&amp;J253, 'Base Exámenes'!$I$5:$I$1000, 0)), "")</f>
        <v>4.2</v>
      </c>
      <c r="J253" s="6">
        <f>IF(F253="Completado", _xlfn.MAXIFS('Base Exámenes'!$G$5:$G$1000, 'Base Exámenes'!$C$5:$C$1000, A253), "")</f>
        <v>100</v>
      </c>
      <c r="K253" s="6" t="str">
        <f>IFERROR(INDEX('Base Exámenes'!$H$5:$H$1000, MATCH(A253&amp;"|"&amp;J253, 'Base Exámenes'!$I$5:$I$1000, 0)), "anonymous")</f>
        <v>anonymous</v>
      </c>
      <c r="L253" s="95">
        <f>COUNTIF('Base Exámenes'!$C$5:$C$1000, A253)</f>
        <v>1</v>
      </c>
    </row>
    <row r="254">
      <c r="A254" s="4" t="str">
        <f>'Base Oficial'!A254</f>
        <v>936</v>
      </c>
      <c r="B254" s="6" t="str">
        <f>'Base Oficial'!B254</f>
        <v>MARISELA GUADALUPE MEJIA CRUZ </v>
      </c>
      <c r="C254" s="6" t="str">
        <f>'Base Oficial'!F254</f>
        <v>AGENCIA MERLIOT  </v>
      </c>
      <c r="D254" s="6" t="str">
        <f>'Base Oficial'!G254</f>
        <v>Gerencia de Negocios</v>
      </c>
      <c r="E254" s="6" t="str">
        <f>'Base Oficial'!D254</f>
        <v>CAJERO</v>
      </c>
      <c r="F254" s="4" t="str">
        <f>IF(COUNTIFS('Base Exámenes'!$C$5:$C$1000, A254, 'Base Exámenes'!$E$5:$E$1000, "&lt;&gt;")&gt;0, "Completado", "Pendiente")</f>
        <v>Completado</v>
      </c>
      <c r="G254" s="27">
        <f>IFERROR(INDEX('Base Exámenes'!$D$5:$D$1000, MATCH(A254&amp;"|"&amp;J254, 'Base Exámenes'!$I$5:$I$1000, 0)), "")</f>
        <v>46302.63322916667</v>
      </c>
      <c r="H254" s="27">
        <f>IFERROR(INDEX('Base Exámenes'!$E$5:$E$1000, MATCH(A254&amp;"|"&amp;J254, 'Base Exámenes'!$I$5:$I$1000, 0)), "")</f>
        <v>46302.637037037035</v>
      </c>
      <c r="I254" s="26">
        <f>IFERROR(INDEX('Base Exámenes'!$F$5:$F$1000, MATCH(A254&amp;"|"&amp;J254, 'Base Exámenes'!$I$5:$I$1000, 0)), "")</f>
        <v>5.48333333333333</v>
      </c>
      <c r="J254" s="6">
        <f>IF(F254="Completado", _xlfn.MAXIFS('Base Exámenes'!$G$5:$G$1000, 'Base Exámenes'!$C$5:$C$1000, A254), "")</f>
        <v>100</v>
      </c>
      <c r="K254" s="6" t="str">
        <f>IFERROR(INDEX('Base Exámenes'!$H$5:$H$1000, MATCH(A254&amp;"|"&amp;J254, 'Base Exámenes'!$I$5:$I$1000, 0)), "anonymous")</f>
        <v>anonymous</v>
      </c>
      <c r="L254" s="95">
        <f>COUNTIF('Base Exámenes'!$C$5:$C$1000, A254)</f>
        <v>1</v>
      </c>
    </row>
    <row r="255">
      <c r="A255" s="4" t="str">
        <f>'Base Oficial'!A255</f>
        <v>944</v>
      </c>
      <c r="B255" s="6" t="str">
        <f>'Base Oficial'!B255</f>
        <v>JOSSELYN  IVONNE GARCIA  HERNANDEZ  </v>
      </c>
      <c r="C255" s="6" t="str">
        <f>'Base Oficial'!F255</f>
        <v>AGENCIA MERLIOT  </v>
      </c>
      <c r="D255" s="6" t="str">
        <f>'Base Oficial'!G255</f>
        <v>Gerencia de Negocios</v>
      </c>
      <c r="E255" s="6" t="str">
        <f>'Base Oficial'!D255</f>
        <v>AUXILIAR DE ATENCION A  ASOCIADOS</v>
      </c>
      <c r="F255" s="4" t="str">
        <f>IF(COUNTIFS('Base Exámenes'!$C$5:$C$1000, A255, 'Base Exámenes'!$E$5:$E$1000, "&lt;&gt;")&gt;0, "Completado", "Pendiente")</f>
        <v>Completado</v>
      </c>
      <c r="G255" s="27">
        <f>IFERROR(INDEX('Base Exámenes'!$D$5:$D$1000, MATCH(A255&amp;"|"&amp;J255, 'Base Exámenes'!$I$5:$I$1000, 0)), "")</f>
        <v>46296.64094907408</v>
      </c>
      <c r="H255" s="27">
        <f>IFERROR(INDEX('Base Exámenes'!$E$5:$E$1000, MATCH(A255&amp;"|"&amp;J255, 'Base Exámenes'!$I$5:$I$1000, 0)), "")</f>
        <v>46296.67511574074</v>
      </c>
      <c r="I255" s="26">
        <f>IFERROR(INDEX('Base Exámenes'!$F$5:$F$1000, MATCH(A255&amp;"|"&amp;J255, 'Base Exámenes'!$I$5:$I$1000, 0)), "")</f>
        <v>49.2</v>
      </c>
      <c r="J255" s="6">
        <f>IF(F255="Completado", _xlfn.MAXIFS('Base Exámenes'!$G$5:$G$1000, 'Base Exámenes'!$C$5:$C$1000, A255), "")</f>
        <v>75</v>
      </c>
      <c r="K255" s="6" t="str">
        <f>IFERROR(INDEX('Base Exámenes'!$H$5:$H$1000, MATCH(A255&amp;"|"&amp;J255, 'Base Exámenes'!$I$5:$I$1000, 0)), "anonymous")</f>
        <v>anonymous</v>
      </c>
      <c r="L255" s="95">
        <f>COUNTIF('Base Exámenes'!$C$5:$C$1000, A255)</f>
        <v>1</v>
      </c>
    </row>
    <row r="256">
      <c r="A256" s="4" t="str">
        <f>'Base Oficial'!A256</f>
        <v>967</v>
      </c>
      <c r="B256" s="6" t="str">
        <f>'Base Oficial'!B256</f>
        <v>MAVERICK JOSSIMAR GONZALEZ  MUÑOZ </v>
      </c>
      <c r="C256" s="6" t="str">
        <f>'Base Oficial'!F256</f>
        <v>AGENCIA MERLIOT  </v>
      </c>
      <c r="D256" s="6" t="str">
        <f>'Base Oficial'!G256</f>
        <v>Gerencia de Negocios</v>
      </c>
      <c r="E256" s="6" t="str">
        <f>'Base Oficial'!D256</f>
        <v>CAJERO</v>
      </c>
      <c r="F256" s="4" t="str">
        <f>IF(COUNTIFS('Base Exámenes'!$C$5:$C$1000, A256, 'Base Exámenes'!$E$5:$E$1000, "&lt;&gt;")&gt;0, "Completado", "Pendiente")</f>
        <v>Completado</v>
      </c>
      <c r="G256" s="27">
        <f>IFERROR(INDEX('Base Exámenes'!$D$5:$D$1000, MATCH(A256&amp;"|"&amp;J256, 'Base Exámenes'!$I$5:$I$1000, 0)), "")</f>
        <v>46302.58623842592</v>
      </c>
      <c r="H256" s="27">
        <f>IFERROR(INDEX('Base Exámenes'!$E$5:$E$1000, MATCH(A256&amp;"|"&amp;J256, 'Base Exámenes'!$I$5:$I$1000, 0)), "")</f>
        <v>46302.58998842593</v>
      </c>
      <c r="I256" s="26">
        <f>IFERROR(INDEX('Base Exámenes'!$F$5:$F$1000, MATCH(A256&amp;"|"&amp;J256, 'Base Exámenes'!$I$5:$I$1000, 0)), "")</f>
        <v>5.4</v>
      </c>
      <c r="J256" s="6">
        <f>IF(F256="Completado", _xlfn.MAXIFS('Base Exámenes'!$G$5:$G$1000, 'Base Exámenes'!$C$5:$C$1000, A256), "")</f>
        <v>100</v>
      </c>
      <c r="K256" s="6" t="str">
        <f>IFERROR(INDEX('Base Exámenes'!$H$5:$H$1000, MATCH(A256&amp;"|"&amp;J256, 'Base Exámenes'!$I$5:$I$1000, 0)), "anonymous")</f>
        <v>anonymous</v>
      </c>
      <c r="L256" s="95">
        <f>COUNTIF('Base Exámenes'!$C$5:$C$1000, A256)</f>
        <v>1</v>
      </c>
    </row>
    <row r="257">
      <c r="A257" s="4" t="str">
        <f>'Base Oficial'!A257</f>
        <v>19</v>
      </c>
      <c r="B257" s="6" t="str">
        <f>'Base Oficial'!B257</f>
        <v>ANA MARGARITA SERRANO RUBIO</v>
      </c>
      <c r="C257" s="6" t="str">
        <f>'Base Oficial'!F257</f>
        <v>AGENCIA COLONIA MEDICA  </v>
      </c>
      <c r="D257" s="6" t="str">
        <f>'Base Oficial'!G257</f>
        <v>Gerencia de Negocios</v>
      </c>
      <c r="E257" s="6" t="str">
        <f>'Base Oficial'!D257</f>
        <v>CAJERO</v>
      </c>
      <c r="F257" s="4" t="str">
        <f>IF(COUNTIFS('Base Exámenes'!$C$5:$C$1000, A257, 'Base Exámenes'!$E$5:$E$1000, "&lt;&gt;")&gt;0, "Completado", "Pendiente")</f>
        <v>Pendiente</v>
      </c>
      <c r="G257" s="27" t="str">
        <f>IFERROR(INDEX('Base Exámenes'!$D$5:$D$1000, MATCH(A257&amp;"|"&amp;J257, 'Base Exámenes'!$I$5:$I$1000, 0)), "")</f>
        <v/>
      </c>
      <c r="H257" s="27" t="str">
        <f>IFERROR(INDEX('Base Exámenes'!$E$5:$E$1000, MATCH(A257&amp;"|"&amp;J257, 'Base Exámenes'!$I$5:$I$1000, 0)), "")</f>
        <v/>
      </c>
      <c r="I257" s="26" t="str">
        <f>IFERROR(INDEX('Base Exámenes'!$F$5:$F$1000, MATCH(A257&amp;"|"&amp;J257, 'Base Exámenes'!$I$5:$I$1000, 0)), "")</f>
        <v/>
      </c>
      <c r="J257" s="6" t="str">
        <f>IF(F257="Completado", _xlfn.MAXIFS('Base Exámenes'!$G$5:$G$1000, 'Base Exámenes'!$C$5:$C$1000, A257), "")</f>
        <v/>
      </c>
      <c r="K257" s="6" t="str">
        <f>IFERROR(INDEX('Base Exámenes'!$H$5:$H$1000, MATCH(A257&amp;"|"&amp;J257, 'Base Exámenes'!$I$5:$I$1000, 0)), "anonymous")</f>
        <v>anonymous</v>
      </c>
      <c r="L257" s="95">
        <f>COUNTIF('Base Exámenes'!$C$5:$C$1000, A257)</f>
        <v>0</v>
      </c>
    </row>
    <row r="258">
      <c r="A258" s="4" t="str">
        <f>'Base Oficial'!A258</f>
        <v>89</v>
      </c>
      <c r="B258" s="6" t="str">
        <f>'Base Oficial'!B258</f>
        <v>PATRICIA JEANNETTE FLORES MARTINEZ </v>
      </c>
      <c r="C258" s="6" t="str">
        <f>'Base Oficial'!F258</f>
        <v>AGENCIA COLONIA MEDICA  </v>
      </c>
      <c r="D258" s="6" t="str">
        <f>'Base Oficial'!G258</f>
        <v>Gerencia de Negocios</v>
      </c>
      <c r="E258" s="6" t="str">
        <f>'Base Oficial'!D258</f>
        <v>AUXILIAR DE OPERACIONES Y ATENCION EN  AGENCIA</v>
      </c>
      <c r="F258" s="4" t="str">
        <f>IF(COUNTIFS('Base Exámenes'!$C$5:$C$1000, A258, 'Base Exámenes'!$E$5:$E$1000, "&lt;&gt;")&gt;0, "Completado", "Pendiente")</f>
        <v>Completado</v>
      </c>
      <c r="G258" s="27">
        <f>IFERROR(INDEX('Base Exámenes'!$D$5:$D$1000, MATCH(A258&amp;"|"&amp;J258, 'Base Exámenes'!$I$5:$I$1000, 0)), "")</f>
        <v>46302.64388888889</v>
      </c>
      <c r="H258" s="27">
        <f>IFERROR(INDEX('Base Exámenes'!$E$5:$E$1000, MATCH(A258&amp;"|"&amp;J258, 'Base Exámenes'!$I$5:$I$1000, 0)), "")</f>
        <v>46302.64712962963</v>
      </c>
      <c r="I258" s="26">
        <f>IFERROR(INDEX('Base Exámenes'!$F$5:$F$1000, MATCH(A258&amp;"|"&amp;J258, 'Base Exámenes'!$I$5:$I$1000, 0)), "")</f>
        <v>4.66666666666667</v>
      </c>
      <c r="J258" s="6">
        <f>IF(F258="Completado", _xlfn.MAXIFS('Base Exámenes'!$G$5:$G$1000, 'Base Exámenes'!$C$5:$C$1000, A258), "")</f>
        <v>100</v>
      </c>
      <c r="K258" s="6" t="str">
        <f>IFERROR(INDEX('Base Exámenes'!$H$5:$H$1000, MATCH(A258&amp;"|"&amp;J258, 'Base Exámenes'!$I$5:$I$1000, 0)), "anonymous")</f>
        <v>anonymous</v>
      </c>
      <c r="L258" s="95">
        <f>COUNTIF('Base Exámenes'!$C$5:$C$1000, A258)</f>
        <v>1</v>
      </c>
    </row>
    <row r="259">
      <c r="A259" s="4" t="str">
        <f>'Base Oficial'!A259</f>
        <v>179</v>
      </c>
      <c r="B259" s="6" t="str">
        <f>'Base Oficial'!B259</f>
        <v>JULIO RAFAEL FLORES HENRIQUEZ </v>
      </c>
      <c r="C259" s="6" t="str">
        <f>'Base Oficial'!F259</f>
        <v>AGENCIA COLONIA MEDICA  </v>
      </c>
      <c r="D259" s="6" t="str">
        <f>'Base Oficial'!G259</f>
        <v>Gerencia de Negocios</v>
      </c>
      <c r="E259" s="6" t="str">
        <f>'Base Oficial'!D259</f>
        <v>JEFE DE AGENCIA  </v>
      </c>
      <c r="F259" s="4" t="str">
        <f>IF(COUNTIFS('Base Exámenes'!$C$5:$C$1000, A259, 'Base Exámenes'!$E$5:$E$1000, "&lt;&gt;")&gt;0, "Completado", "Pendiente")</f>
        <v>Completado</v>
      </c>
      <c r="G259" s="27">
        <f>IFERROR(INDEX('Base Exámenes'!$D$5:$D$1000, MATCH(A259&amp;"|"&amp;J259, 'Base Exámenes'!$I$5:$I$1000, 0)), "")</f>
        <v>46309.361979166664</v>
      </c>
      <c r="H259" s="27">
        <f>IFERROR(INDEX('Base Exámenes'!$E$5:$E$1000, MATCH(A259&amp;"|"&amp;J259, 'Base Exámenes'!$I$5:$I$1000, 0)), "")</f>
        <v>46309.36565972222</v>
      </c>
      <c r="I259" s="26">
        <f>IFERROR(INDEX('Base Exámenes'!$F$5:$F$1000, MATCH(A259&amp;"|"&amp;J259, 'Base Exámenes'!$I$5:$I$1000, 0)), "")</f>
        <v>5.3</v>
      </c>
      <c r="J259" s="6">
        <f>IF(F259="Completado", _xlfn.MAXIFS('Base Exámenes'!$G$5:$G$1000, 'Base Exámenes'!$C$5:$C$1000, A259), "")</f>
        <v>100</v>
      </c>
      <c r="K259" s="6" t="str">
        <f>IFERROR(INDEX('Base Exámenes'!$H$5:$H$1000, MATCH(A259&amp;"|"&amp;J259, 'Base Exámenes'!$I$5:$I$1000, 0)), "anonymous")</f>
        <v>anonymous</v>
      </c>
      <c r="L259" s="95">
        <f>COUNTIF('Base Exámenes'!$C$5:$C$1000, A259)</f>
        <v>1</v>
      </c>
    </row>
    <row r="260">
      <c r="A260" s="4" t="str">
        <f>'Base Oficial'!A260</f>
        <v>308</v>
      </c>
      <c r="B260" s="6" t="str">
        <f>'Base Oficial'!B260</f>
        <v>JENNIFFER IVETTE MORALES PEREZ </v>
      </c>
      <c r="C260" s="6" t="str">
        <f>'Base Oficial'!F260</f>
        <v>AGENCIA COLONIA MEDICA  </v>
      </c>
      <c r="D260" s="6" t="str">
        <f>'Base Oficial'!G260</f>
        <v>Gerencia de Negocios</v>
      </c>
      <c r="E260" s="6" t="str">
        <f>'Base Oficial'!D260</f>
        <v>EJECUTIVO DE NEGOCIOS</v>
      </c>
      <c r="F260" s="4" t="str">
        <f>IF(COUNTIFS('Base Exámenes'!$C$5:$C$1000, A260, 'Base Exámenes'!$E$5:$E$1000, "&lt;&gt;")&gt;0, "Completado", "Pendiente")</f>
        <v>Completado</v>
      </c>
      <c r="G260" s="27">
        <f>IFERROR(INDEX('Base Exámenes'!$D$5:$D$1000, MATCH(A260&amp;"|"&amp;J260, 'Base Exámenes'!$I$5:$I$1000, 0)), "")</f>
        <v>46297.711550925924</v>
      </c>
      <c r="H260" s="27">
        <f>IFERROR(INDEX('Base Exámenes'!$E$5:$E$1000, MATCH(A260&amp;"|"&amp;J260, 'Base Exámenes'!$I$5:$I$1000, 0)), "")</f>
        <v>46297.714895833335</v>
      </c>
      <c r="I260" s="26">
        <f>IFERROR(INDEX('Base Exámenes'!$F$5:$F$1000, MATCH(A260&amp;"|"&amp;J260, 'Base Exámenes'!$I$5:$I$1000, 0)), "")</f>
        <v>4.81666666666667</v>
      </c>
      <c r="J260" s="6">
        <f>IF(F260="Completado", _xlfn.MAXIFS('Base Exámenes'!$G$5:$G$1000, 'Base Exámenes'!$C$5:$C$1000, A260), "")</f>
        <v>95</v>
      </c>
      <c r="K260" s="6" t="str">
        <f>IFERROR(INDEX('Base Exámenes'!$H$5:$H$1000, MATCH(A260&amp;"|"&amp;J260, 'Base Exámenes'!$I$5:$I$1000, 0)), "anonymous")</f>
        <v>anonymous</v>
      </c>
      <c r="L260" s="95">
        <f>COUNTIF('Base Exámenes'!$C$5:$C$1000, A260)</f>
        <v>1</v>
      </c>
    </row>
    <row r="261">
      <c r="A261" s="4" t="str">
        <f>'Base Oficial'!A261</f>
        <v>412</v>
      </c>
      <c r="B261" s="6" t="str">
        <f>'Base Oficial'!B261</f>
        <v>CARMEN DE JESÚS GONZÁLEZ BLANCO </v>
      </c>
      <c r="C261" s="6" t="str">
        <f>'Base Oficial'!F261</f>
        <v>AGENCIA COLONIA MEDICA  </v>
      </c>
      <c r="D261" s="6" t="str">
        <f>'Base Oficial'!G261</f>
        <v>Gerencia de Negocios</v>
      </c>
      <c r="E261" s="6" t="str">
        <f>'Base Oficial'!D261</f>
        <v>EJECUTIVA DE SEGUROS</v>
      </c>
      <c r="F261" s="4" t="str">
        <f>IF(COUNTIFS('Base Exámenes'!$C$5:$C$1000, A261, 'Base Exámenes'!$E$5:$E$1000, "&lt;&gt;")&gt;0, "Completado", "Pendiente")</f>
        <v>Completado</v>
      </c>
      <c r="G261" s="27">
        <f>IFERROR(INDEX('Base Exámenes'!$D$5:$D$1000, MATCH(A261&amp;"|"&amp;J261, 'Base Exámenes'!$I$5:$I$1000, 0)), "")</f>
        <v>46302.48877314815</v>
      </c>
      <c r="H261" s="27">
        <f>IFERROR(INDEX('Base Exámenes'!$E$5:$E$1000, MATCH(A261&amp;"|"&amp;J261, 'Base Exámenes'!$I$5:$I$1000, 0)), "")</f>
        <v>46302.63581018519</v>
      </c>
      <c r="I261" s="26">
        <f>IFERROR(INDEX('Base Exámenes'!$F$5:$F$1000, MATCH(A261&amp;"|"&amp;J261, 'Base Exámenes'!$I$5:$I$1000, 0)), "")</f>
        <v>211.733333333333</v>
      </c>
      <c r="J261" s="6">
        <f>IF(F261="Completado", _xlfn.MAXIFS('Base Exámenes'!$G$5:$G$1000, 'Base Exámenes'!$C$5:$C$1000, A261), "")</f>
        <v>100</v>
      </c>
      <c r="K261" s="6" t="str">
        <f>IFERROR(INDEX('Base Exámenes'!$H$5:$H$1000, MATCH(A261&amp;"|"&amp;J261, 'Base Exámenes'!$I$5:$I$1000, 0)), "anonymous")</f>
        <v>anonymous</v>
      </c>
      <c r="L261" s="95">
        <f>COUNTIF('Base Exámenes'!$C$5:$C$1000, A261)</f>
        <v>1</v>
      </c>
    </row>
    <row r="262">
      <c r="A262" s="4" t="str">
        <f>'Base Oficial'!A262</f>
        <v>624</v>
      </c>
      <c r="B262" s="6" t="str">
        <f>'Base Oficial'!B262</f>
        <v>JULIO ENRIQUE  CAMPOS ANDRADE </v>
      </c>
      <c r="C262" s="6" t="str">
        <f>'Base Oficial'!F262</f>
        <v>AGENCIA COLONIA MEDICA  </v>
      </c>
      <c r="D262" s="6" t="str">
        <f>'Base Oficial'!G262</f>
        <v>Gerencia de Negocios</v>
      </c>
      <c r="E262" s="6" t="str">
        <f>'Base Oficial'!D262</f>
        <v>EJECUTIVO DE NEGOCIOS</v>
      </c>
      <c r="F262" s="4" t="str">
        <f>IF(COUNTIFS('Base Exámenes'!$C$5:$C$1000, A262, 'Base Exámenes'!$E$5:$E$1000, "&lt;&gt;")&gt;0, "Completado", "Pendiente")</f>
        <v>Pendiente</v>
      </c>
      <c r="G262" s="27" t="str">
        <f>IFERROR(INDEX('Base Exámenes'!$D$5:$D$1000, MATCH(A262&amp;"|"&amp;J262, 'Base Exámenes'!$I$5:$I$1000, 0)), "")</f>
        <v/>
      </c>
      <c r="H262" s="27" t="str">
        <f>IFERROR(INDEX('Base Exámenes'!$E$5:$E$1000, MATCH(A262&amp;"|"&amp;J262, 'Base Exámenes'!$I$5:$I$1000, 0)), "")</f>
        <v/>
      </c>
      <c r="I262" s="26" t="str">
        <f>IFERROR(INDEX('Base Exámenes'!$F$5:$F$1000, MATCH(A262&amp;"|"&amp;J262, 'Base Exámenes'!$I$5:$I$1000, 0)), "")</f>
        <v/>
      </c>
      <c r="J262" s="6" t="str">
        <f>IF(F262="Completado", _xlfn.MAXIFS('Base Exámenes'!$G$5:$G$1000, 'Base Exámenes'!$C$5:$C$1000, A262), "")</f>
        <v/>
      </c>
      <c r="K262" s="6" t="str">
        <f>IFERROR(INDEX('Base Exámenes'!$H$5:$H$1000, MATCH(A262&amp;"|"&amp;J262, 'Base Exámenes'!$I$5:$I$1000, 0)), "anonymous")</f>
        <v>anonymous</v>
      </c>
      <c r="L262" s="95">
        <f>COUNTIF('Base Exámenes'!$C$5:$C$1000, A262)</f>
        <v>0</v>
      </c>
    </row>
    <row r="263">
      <c r="A263" s="4" t="str">
        <f>'Base Oficial'!A263</f>
        <v>674</v>
      </c>
      <c r="B263" s="6" t="str">
        <f>'Base Oficial'!B263</f>
        <v>ALFREDO ARMANDO RAMOS ESCOBAR </v>
      </c>
      <c r="C263" s="6" t="str">
        <f>'Base Oficial'!F263</f>
        <v>AGENCIA COLONIA MEDICA  </v>
      </c>
      <c r="D263" s="6" t="str">
        <f>'Base Oficial'!G263</f>
        <v>Gerencia de Negocios</v>
      </c>
      <c r="E263" s="6" t="str">
        <f>'Base Oficial'!D263</f>
        <v>CAJERO</v>
      </c>
      <c r="F263" s="4" t="str">
        <f>IF(COUNTIFS('Base Exámenes'!$C$5:$C$1000, A263, 'Base Exámenes'!$E$5:$E$1000, "&lt;&gt;")&gt;0, "Completado", "Pendiente")</f>
        <v>Pendiente</v>
      </c>
      <c r="G263" s="27" t="str">
        <f>IFERROR(INDEX('Base Exámenes'!$D$5:$D$1000, MATCH(A263&amp;"|"&amp;J263, 'Base Exámenes'!$I$5:$I$1000, 0)), "")</f>
        <v/>
      </c>
      <c r="H263" s="27" t="str">
        <f>IFERROR(INDEX('Base Exámenes'!$E$5:$E$1000, MATCH(A263&amp;"|"&amp;J263, 'Base Exámenes'!$I$5:$I$1000, 0)), "")</f>
        <v/>
      </c>
      <c r="I263" s="26" t="str">
        <f>IFERROR(INDEX('Base Exámenes'!$F$5:$F$1000, MATCH(A263&amp;"|"&amp;J263, 'Base Exámenes'!$I$5:$I$1000, 0)), "")</f>
        <v/>
      </c>
      <c r="J263" s="6" t="str">
        <f>IF(F263="Completado", _xlfn.MAXIFS('Base Exámenes'!$G$5:$G$1000, 'Base Exámenes'!$C$5:$C$1000, A263), "")</f>
        <v/>
      </c>
      <c r="K263" s="6" t="str">
        <f>IFERROR(INDEX('Base Exámenes'!$H$5:$H$1000, MATCH(A263&amp;"|"&amp;J263, 'Base Exámenes'!$I$5:$I$1000, 0)), "anonymous")</f>
        <v>anonymous</v>
      </c>
      <c r="L263" s="95">
        <f>COUNTIF('Base Exámenes'!$C$5:$C$1000, A263)</f>
        <v>0</v>
      </c>
    </row>
    <row r="264">
      <c r="A264" s="4" t="str">
        <f>'Base Oficial'!A264</f>
        <v>722</v>
      </c>
      <c r="B264" s="6" t="str">
        <f>'Base Oficial'!B264</f>
        <v>INGRID PAOLA  CORADO HERNANDEZ </v>
      </c>
      <c r="C264" s="6" t="str">
        <f>'Base Oficial'!F264</f>
        <v>AGENCIA COLONIA MEDICA  </v>
      </c>
      <c r="D264" s="6" t="str">
        <f>'Base Oficial'!G264</f>
        <v>Gerencia de Negocios</v>
      </c>
      <c r="E264" s="6" t="str">
        <f>'Base Oficial'!D264</f>
        <v>CAJERO</v>
      </c>
      <c r="F264" s="4" t="str">
        <f>IF(COUNTIFS('Base Exámenes'!$C$5:$C$1000, A264, 'Base Exámenes'!$E$5:$E$1000, "&lt;&gt;")&gt;0, "Completado", "Pendiente")</f>
        <v>Completado</v>
      </c>
      <c r="G264" s="27">
        <f>IFERROR(INDEX('Base Exámenes'!$D$5:$D$1000, MATCH(A264&amp;"|"&amp;J264, 'Base Exámenes'!$I$5:$I$1000, 0)), "")</f>
        <v>46308.57634259259</v>
      </c>
      <c r="H264" s="27">
        <f>IFERROR(INDEX('Base Exámenes'!$E$5:$E$1000, MATCH(A264&amp;"|"&amp;J264, 'Base Exámenes'!$I$5:$I$1000, 0)), "")</f>
        <v>46308.57957175926</v>
      </c>
      <c r="I264" s="26">
        <f>IFERROR(INDEX('Base Exámenes'!$F$5:$F$1000, MATCH(A264&amp;"|"&amp;J264, 'Base Exámenes'!$I$5:$I$1000, 0)), "")</f>
        <v>4.65</v>
      </c>
      <c r="J264" s="6">
        <f>IF(F264="Completado", _xlfn.MAXIFS('Base Exámenes'!$G$5:$G$1000, 'Base Exámenes'!$C$5:$C$1000, A264), "")</f>
        <v>90</v>
      </c>
      <c r="K264" s="6" t="str">
        <f>IFERROR(INDEX('Base Exámenes'!$H$5:$H$1000, MATCH(A264&amp;"|"&amp;J264, 'Base Exámenes'!$I$5:$I$1000, 0)), "anonymous")</f>
        <v>anonymous</v>
      </c>
      <c r="L264" s="95">
        <f>COUNTIF('Base Exámenes'!$C$5:$C$1000, A264)</f>
        <v>1</v>
      </c>
    </row>
    <row r="265">
      <c r="A265" s="4" t="str">
        <f>'Base Oficial'!A265</f>
        <v>728</v>
      </c>
      <c r="B265" s="6" t="str">
        <f>'Base Oficial'!B265</f>
        <v>DIANA MARISOL BATRES BARAHONA </v>
      </c>
      <c r="C265" s="6" t="str">
        <f>'Base Oficial'!F265</f>
        <v>AGENCIA COLONIA MEDICA  </v>
      </c>
      <c r="D265" s="6" t="str">
        <f>'Base Oficial'!G265</f>
        <v>Gerencia de Negocios</v>
      </c>
      <c r="E265" s="6" t="str">
        <f>'Base Oficial'!D265</f>
        <v>SUBJEFE DE  AGENCIA</v>
      </c>
      <c r="F265" s="4" t="str">
        <f>IF(COUNTIFS('Base Exámenes'!$C$5:$C$1000, A265, 'Base Exámenes'!$E$5:$E$1000, "&lt;&gt;")&gt;0, "Completado", "Pendiente")</f>
        <v>Completado</v>
      </c>
      <c r="G265" s="27">
        <f>IFERROR(INDEX('Base Exámenes'!$D$5:$D$1000, MATCH(A265&amp;"|"&amp;J265, 'Base Exámenes'!$I$5:$I$1000, 0)), "")</f>
        <v>46300.67056712963</v>
      </c>
      <c r="H265" s="27">
        <f>IFERROR(INDEX('Base Exámenes'!$E$5:$E$1000, MATCH(A265&amp;"|"&amp;J265, 'Base Exámenes'!$I$5:$I$1000, 0)), "")</f>
        <v>46300.68400462963</v>
      </c>
      <c r="I265" s="26">
        <f>IFERROR(INDEX('Base Exámenes'!$F$5:$F$1000, MATCH(A265&amp;"|"&amp;J265, 'Base Exámenes'!$I$5:$I$1000, 0)), "")</f>
        <v>19.35</v>
      </c>
      <c r="J265" s="6">
        <f>IF(F265="Completado", _xlfn.MAXIFS('Base Exámenes'!$G$5:$G$1000, 'Base Exámenes'!$C$5:$C$1000, A265), "")</f>
        <v>100</v>
      </c>
      <c r="K265" s="6" t="str">
        <f>IFERROR(INDEX('Base Exámenes'!$H$5:$H$1000, MATCH(A265&amp;"|"&amp;J265, 'Base Exámenes'!$I$5:$I$1000, 0)), "anonymous")</f>
        <v>anonymous</v>
      </c>
      <c r="L265" s="95">
        <f>COUNTIF('Base Exámenes'!$C$5:$C$1000, A265)</f>
        <v>1</v>
      </c>
    </row>
    <row r="266">
      <c r="A266" s="4" t="str">
        <f>'Base Oficial'!A266</f>
        <v>735</v>
      </c>
      <c r="B266" s="6" t="str">
        <f>'Base Oficial'!B266</f>
        <v>YHANA MILET  VALLE  HERNANDEZ</v>
      </c>
      <c r="C266" s="6" t="str">
        <f>'Base Oficial'!F266</f>
        <v>AGENCIA COLONIA MEDICA  </v>
      </c>
      <c r="D266" s="6" t="str">
        <f>'Base Oficial'!G266</f>
        <v>Gerencia de Negocios</v>
      </c>
      <c r="E266" s="6" t="str">
        <f>'Base Oficial'!D266</f>
        <v>CAJERO</v>
      </c>
      <c r="F266" s="4" t="str">
        <f>IF(COUNTIFS('Base Exámenes'!$C$5:$C$1000, A266, 'Base Exámenes'!$E$5:$E$1000, "&lt;&gt;")&gt;0, "Completado", "Pendiente")</f>
        <v>Pendiente</v>
      </c>
      <c r="G266" s="27" t="str">
        <f>IFERROR(INDEX('Base Exámenes'!$D$5:$D$1000, MATCH(A266&amp;"|"&amp;J266, 'Base Exámenes'!$I$5:$I$1000, 0)), "")</f>
        <v/>
      </c>
      <c r="H266" s="27" t="str">
        <f>IFERROR(INDEX('Base Exámenes'!$E$5:$E$1000, MATCH(A266&amp;"|"&amp;J266, 'Base Exámenes'!$I$5:$I$1000, 0)), "")</f>
        <v/>
      </c>
      <c r="I266" s="26" t="str">
        <f>IFERROR(INDEX('Base Exámenes'!$F$5:$F$1000, MATCH(A266&amp;"|"&amp;J266, 'Base Exámenes'!$I$5:$I$1000, 0)), "")</f>
        <v/>
      </c>
      <c r="J266" s="6" t="str">
        <f>IF(F266="Completado", _xlfn.MAXIFS('Base Exámenes'!$G$5:$G$1000, 'Base Exámenes'!$C$5:$C$1000, A266), "")</f>
        <v/>
      </c>
      <c r="K266" s="6" t="str">
        <f>IFERROR(INDEX('Base Exámenes'!$H$5:$H$1000, MATCH(A266&amp;"|"&amp;J266, 'Base Exámenes'!$I$5:$I$1000, 0)), "anonymous")</f>
        <v>anonymous</v>
      </c>
      <c r="L266" s="95">
        <f>COUNTIF('Base Exámenes'!$C$5:$C$1000, A266)</f>
        <v>0</v>
      </c>
    </row>
    <row r="267">
      <c r="A267" s="4" t="str">
        <f>'Base Oficial'!A267</f>
        <v>801</v>
      </c>
      <c r="B267" s="6" t="str">
        <f>'Base Oficial'!B267</f>
        <v>ZULMA BEATRIZ RIVAS RIVERA </v>
      </c>
      <c r="C267" s="6" t="str">
        <f>'Base Oficial'!F267</f>
        <v>AGENCIA COLONIA MEDICA  </v>
      </c>
      <c r="D267" s="6" t="str">
        <f>'Base Oficial'!G267</f>
        <v>Gerencia de Negocios</v>
      </c>
      <c r="E267" s="6" t="str">
        <f>'Base Oficial'!D267</f>
        <v>CAJERO</v>
      </c>
      <c r="F267" s="4" t="str">
        <f>IF(COUNTIFS('Base Exámenes'!$C$5:$C$1000, A267, 'Base Exámenes'!$E$5:$E$1000, "&lt;&gt;")&gt;0, "Completado", "Pendiente")</f>
        <v>Completado</v>
      </c>
      <c r="G267" s="27">
        <f>IFERROR(INDEX('Base Exámenes'!$D$5:$D$1000, MATCH(A267&amp;"|"&amp;J267, 'Base Exámenes'!$I$5:$I$1000, 0)), "")</f>
        <v>46300.686423611114</v>
      </c>
      <c r="H267" s="27">
        <f>IFERROR(INDEX('Base Exámenes'!$E$5:$E$1000, MATCH(A267&amp;"|"&amp;J267, 'Base Exámenes'!$I$5:$I$1000, 0)), "")</f>
        <v>46300.688368055555</v>
      </c>
      <c r="I267" s="26">
        <f>IFERROR(INDEX('Base Exámenes'!$F$5:$F$1000, MATCH(A267&amp;"|"&amp;J267, 'Base Exámenes'!$I$5:$I$1000, 0)), "")</f>
        <v>2.8</v>
      </c>
      <c r="J267" s="6">
        <f>IF(F267="Completado", _xlfn.MAXIFS('Base Exámenes'!$G$5:$G$1000, 'Base Exámenes'!$C$5:$C$1000, A267), "")</f>
        <v>100</v>
      </c>
      <c r="K267" s="6" t="str">
        <f>IFERROR(INDEX('Base Exámenes'!$H$5:$H$1000, MATCH(A267&amp;"|"&amp;J267, 'Base Exámenes'!$I$5:$I$1000, 0)), "anonymous")</f>
        <v>anonymous</v>
      </c>
      <c r="L267" s="95">
        <f>COUNTIF('Base Exámenes'!$C$5:$C$1000, A267)</f>
        <v>1</v>
      </c>
    </row>
    <row r="268">
      <c r="A268" s="4" t="str">
        <f>'Base Oficial'!A268</f>
        <v>855</v>
      </c>
      <c r="B268" s="6" t="str">
        <f>'Base Oficial'!B268</f>
        <v>STEFFANY MARIELOS MIRO HERNANDEZ </v>
      </c>
      <c r="C268" s="6" t="str">
        <f>'Base Oficial'!F268</f>
        <v>AGENCIA COLONIA MEDICA  </v>
      </c>
      <c r="D268" s="6" t="str">
        <f>'Base Oficial'!G268</f>
        <v>Gerencia de Negocios</v>
      </c>
      <c r="E268" s="6" t="str">
        <f>'Base Oficial'!D268</f>
        <v>CAJERO</v>
      </c>
      <c r="F268" s="4" t="str">
        <f>IF(COUNTIFS('Base Exámenes'!$C$5:$C$1000, A268, 'Base Exámenes'!$E$5:$E$1000, "&lt;&gt;")&gt;0, "Completado", "Pendiente")</f>
        <v>Pendiente</v>
      </c>
      <c r="G268" s="27" t="str">
        <f>IFERROR(INDEX('Base Exámenes'!$D$5:$D$1000, MATCH(A268&amp;"|"&amp;J268, 'Base Exámenes'!$I$5:$I$1000, 0)), "")</f>
        <v/>
      </c>
      <c r="H268" s="27" t="str">
        <f>IFERROR(INDEX('Base Exámenes'!$E$5:$E$1000, MATCH(A268&amp;"|"&amp;J268, 'Base Exámenes'!$I$5:$I$1000, 0)), "")</f>
        <v/>
      </c>
      <c r="I268" s="26" t="str">
        <f>IFERROR(INDEX('Base Exámenes'!$F$5:$F$1000, MATCH(A268&amp;"|"&amp;J268, 'Base Exámenes'!$I$5:$I$1000, 0)), "")</f>
        <v/>
      </c>
      <c r="J268" s="6" t="str">
        <f>IF(F268="Completado", _xlfn.MAXIFS('Base Exámenes'!$G$5:$G$1000, 'Base Exámenes'!$C$5:$C$1000, A268), "")</f>
        <v/>
      </c>
      <c r="K268" s="6" t="str">
        <f>IFERROR(INDEX('Base Exámenes'!$H$5:$H$1000, MATCH(A268&amp;"|"&amp;J268, 'Base Exámenes'!$I$5:$I$1000, 0)), "anonymous")</f>
        <v>anonymous</v>
      </c>
      <c r="L268" s="95">
        <f>COUNTIF('Base Exámenes'!$C$5:$C$1000, A268)</f>
        <v>0</v>
      </c>
    </row>
    <row r="269">
      <c r="A269" s="4" t="str">
        <f>'Base Oficial'!A269</f>
        <v>873</v>
      </c>
      <c r="B269" s="6" t="str">
        <f>'Base Oficial'!B269</f>
        <v>FLOR DE MARIA ROSALES SORTO </v>
      </c>
      <c r="C269" s="6" t="str">
        <f>'Base Oficial'!F269</f>
        <v>AGENCIA COLONIA MEDICA  </v>
      </c>
      <c r="D269" s="6" t="str">
        <f>'Base Oficial'!G269</f>
        <v>Gerencia de Negocios</v>
      </c>
      <c r="E269" s="6" t="str">
        <f>'Base Oficial'!D269</f>
        <v>CAJERO</v>
      </c>
      <c r="F269" s="4" t="str">
        <f>IF(COUNTIFS('Base Exámenes'!$C$5:$C$1000, A269, 'Base Exámenes'!$E$5:$E$1000, "&lt;&gt;")&gt;0, "Completado", "Pendiente")</f>
        <v>Pendiente</v>
      </c>
      <c r="G269" s="27" t="str">
        <f>IFERROR(INDEX('Base Exámenes'!$D$5:$D$1000, MATCH(A269&amp;"|"&amp;J269, 'Base Exámenes'!$I$5:$I$1000, 0)), "")</f>
        <v/>
      </c>
      <c r="H269" s="27" t="str">
        <f>IFERROR(INDEX('Base Exámenes'!$E$5:$E$1000, MATCH(A269&amp;"|"&amp;J269, 'Base Exámenes'!$I$5:$I$1000, 0)), "")</f>
        <v/>
      </c>
      <c r="I269" s="26" t="str">
        <f>IFERROR(INDEX('Base Exámenes'!$F$5:$F$1000, MATCH(A269&amp;"|"&amp;J269, 'Base Exámenes'!$I$5:$I$1000, 0)), "")</f>
        <v/>
      </c>
      <c r="J269" s="6" t="str">
        <f>IF(F269="Completado", _xlfn.MAXIFS('Base Exámenes'!$G$5:$G$1000, 'Base Exámenes'!$C$5:$C$1000, A269), "")</f>
        <v/>
      </c>
      <c r="K269" s="6" t="str">
        <f>IFERROR(INDEX('Base Exámenes'!$H$5:$H$1000, MATCH(A269&amp;"|"&amp;J269, 'Base Exámenes'!$I$5:$I$1000, 0)), "anonymous")</f>
        <v>anonymous</v>
      </c>
      <c r="L269" s="95">
        <f>COUNTIF('Base Exámenes'!$C$5:$C$1000, A269)</f>
        <v>0</v>
      </c>
    </row>
    <row r="270">
      <c r="A270" s="4" t="str">
        <f>'Base Oficial'!A270</f>
        <v>891</v>
      </c>
      <c r="B270" s="6" t="str">
        <f>'Base Oficial'!B270</f>
        <v>YESENIA LISSETH BARAHONA VALLE </v>
      </c>
      <c r="C270" s="6" t="str">
        <f>'Base Oficial'!F270</f>
        <v>AGENCIA COLONIA MEDICA  </v>
      </c>
      <c r="D270" s="6" t="str">
        <f>'Base Oficial'!G270</f>
        <v>Gerencia de Negocios</v>
      </c>
      <c r="E270" s="6" t="str">
        <f>'Base Oficial'!D270</f>
        <v>AUXILIAR DE ATENCION AL ASOCIADO EN AGENCIA</v>
      </c>
      <c r="F270" s="4" t="str">
        <f>IF(COUNTIFS('Base Exámenes'!$C$5:$C$1000, A270, 'Base Exámenes'!$E$5:$E$1000, "&lt;&gt;")&gt;0, "Completado", "Pendiente")</f>
        <v>Pendiente</v>
      </c>
      <c r="G270" s="27" t="str">
        <f>IFERROR(INDEX('Base Exámenes'!$D$5:$D$1000, MATCH(A270&amp;"|"&amp;J270, 'Base Exámenes'!$I$5:$I$1000, 0)), "")</f>
        <v/>
      </c>
      <c r="H270" s="27" t="str">
        <f>IFERROR(INDEX('Base Exámenes'!$E$5:$E$1000, MATCH(A270&amp;"|"&amp;J270, 'Base Exámenes'!$I$5:$I$1000, 0)), "")</f>
        <v/>
      </c>
      <c r="I270" s="26" t="str">
        <f>IFERROR(INDEX('Base Exámenes'!$F$5:$F$1000, MATCH(A270&amp;"|"&amp;J270, 'Base Exámenes'!$I$5:$I$1000, 0)), "")</f>
        <v/>
      </c>
      <c r="J270" s="6" t="str">
        <f>IF(F270="Completado", _xlfn.MAXIFS('Base Exámenes'!$G$5:$G$1000, 'Base Exámenes'!$C$5:$C$1000, A270), "")</f>
        <v/>
      </c>
      <c r="K270" s="6" t="str">
        <f>IFERROR(INDEX('Base Exámenes'!$H$5:$H$1000, MATCH(A270&amp;"|"&amp;J270, 'Base Exámenes'!$I$5:$I$1000, 0)), "anonymous")</f>
        <v>anonymous</v>
      </c>
      <c r="L270" s="95">
        <f>COUNTIF('Base Exámenes'!$C$5:$C$1000, A270)</f>
        <v>0</v>
      </c>
    </row>
    <row r="271">
      <c r="A271" s="4" t="str">
        <f>'Base Oficial'!A271</f>
        <v>913</v>
      </c>
      <c r="B271" s="6" t="str">
        <f>'Base Oficial'!B271</f>
        <v>FLOR DEL CARMEN GONZALEZ HERNANDEZ </v>
      </c>
      <c r="C271" s="6" t="str">
        <f>'Base Oficial'!F271</f>
        <v>AGENCIA COLONIA MEDICA  </v>
      </c>
      <c r="D271" s="6" t="str">
        <f>'Base Oficial'!G271</f>
        <v>Gerencia de Negocios</v>
      </c>
      <c r="E271" s="6" t="str">
        <f>'Base Oficial'!D271</f>
        <v>SERVICIOS VARIOS</v>
      </c>
      <c r="F271" s="4" t="str">
        <f>IF(COUNTIFS('Base Exámenes'!$C$5:$C$1000, A271, 'Base Exámenes'!$E$5:$E$1000, "&lt;&gt;")&gt;0, "Completado", "Pendiente")</f>
        <v>Pendiente</v>
      </c>
      <c r="G271" s="27" t="str">
        <f>IFERROR(INDEX('Base Exámenes'!$D$5:$D$1000, MATCH(A271&amp;"|"&amp;J271, 'Base Exámenes'!$I$5:$I$1000, 0)), "")</f>
        <v/>
      </c>
      <c r="H271" s="27" t="str">
        <f>IFERROR(INDEX('Base Exámenes'!$E$5:$E$1000, MATCH(A271&amp;"|"&amp;J271, 'Base Exámenes'!$I$5:$I$1000, 0)), "")</f>
        <v/>
      </c>
      <c r="I271" s="26" t="str">
        <f>IFERROR(INDEX('Base Exámenes'!$F$5:$F$1000, MATCH(A271&amp;"|"&amp;J271, 'Base Exámenes'!$I$5:$I$1000, 0)), "")</f>
        <v/>
      </c>
      <c r="J271" s="6" t="str">
        <f>IF(F271="Completado", _xlfn.MAXIFS('Base Exámenes'!$G$5:$G$1000, 'Base Exámenes'!$C$5:$C$1000, A271), "")</f>
        <v/>
      </c>
      <c r="K271" s="6" t="str">
        <f>IFERROR(INDEX('Base Exámenes'!$H$5:$H$1000, MATCH(A271&amp;"|"&amp;J271, 'Base Exámenes'!$I$5:$I$1000, 0)), "anonymous")</f>
        <v>anonymous</v>
      </c>
      <c r="L271" s="95">
        <f>COUNTIF('Base Exámenes'!$C$5:$C$1000, A271)</f>
        <v>0</v>
      </c>
    </row>
    <row r="272">
      <c r="A272" s="4" t="str">
        <f>'Base Oficial'!A272</f>
        <v>933</v>
      </c>
      <c r="B272" s="6" t="str">
        <f>'Base Oficial'!B272</f>
        <v>JACQUELINE GUADALUPE CEA ALVARADO </v>
      </c>
      <c r="C272" s="6" t="str">
        <f>'Base Oficial'!F272</f>
        <v>AGENCIA COLONIA MEDICA  </v>
      </c>
      <c r="D272" s="6" t="str">
        <f>'Base Oficial'!G272</f>
        <v>Gerencia de Negocios</v>
      </c>
      <c r="E272" s="6" t="str">
        <f>'Base Oficial'!D272</f>
        <v>EJECUTIVO DE NEGOCIOS</v>
      </c>
      <c r="F272" s="4" t="str">
        <f>IF(COUNTIFS('Base Exámenes'!$C$5:$C$1000, A272, 'Base Exámenes'!$E$5:$E$1000, "&lt;&gt;")&gt;0, "Completado", "Pendiente")</f>
        <v>Pendiente</v>
      </c>
      <c r="G272" s="27" t="str">
        <f>IFERROR(INDEX('Base Exámenes'!$D$5:$D$1000, MATCH(A272&amp;"|"&amp;J272, 'Base Exámenes'!$I$5:$I$1000, 0)), "")</f>
        <v/>
      </c>
      <c r="H272" s="27" t="str">
        <f>IFERROR(INDEX('Base Exámenes'!$E$5:$E$1000, MATCH(A272&amp;"|"&amp;J272, 'Base Exámenes'!$I$5:$I$1000, 0)), "")</f>
        <v/>
      </c>
      <c r="I272" s="26" t="str">
        <f>IFERROR(INDEX('Base Exámenes'!$F$5:$F$1000, MATCH(A272&amp;"|"&amp;J272, 'Base Exámenes'!$I$5:$I$1000, 0)), "")</f>
        <v/>
      </c>
      <c r="J272" s="6" t="str">
        <f>IF(F272="Completado", _xlfn.MAXIFS('Base Exámenes'!$G$5:$G$1000, 'Base Exámenes'!$C$5:$C$1000, A272), "")</f>
        <v/>
      </c>
      <c r="K272" s="6" t="str">
        <f>IFERROR(INDEX('Base Exámenes'!$H$5:$H$1000, MATCH(A272&amp;"|"&amp;J272, 'Base Exámenes'!$I$5:$I$1000, 0)), "anonymous")</f>
        <v>anonymous</v>
      </c>
      <c r="L272" s="95">
        <f>COUNTIF('Base Exámenes'!$C$5:$C$1000, A272)</f>
        <v>0</v>
      </c>
    </row>
    <row r="273">
      <c r="A273" s="4" t="str">
        <f>'Base Oficial'!A273</f>
        <v>59</v>
      </c>
      <c r="B273" s="6" t="str">
        <f>'Base Oficial'!B273</f>
        <v>ZOILA AYDEE LARIOS  </v>
      </c>
      <c r="C273" s="6" t="str">
        <f>'Base Oficial'!F273</f>
        <v>AGENCIA PLAZA MUNDO  </v>
      </c>
      <c r="D273" s="6" t="str">
        <f>'Base Oficial'!G273</f>
        <v>Gerencia de Negocios</v>
      </c>
      <c r="E273" s="6" t="str">
        <f>'Base Oficial'!D273</f>
        <v>SERVICIOS VARIOS</v>
      </c>
      <c r="F273" s="4" t="str">
        <f>IF(COUNTIFS('Base Exámenes'!$C$5:$C$1000, A273, 'Base Exámenes'!$E$5:$E$1000, "&lt;&gt;")&gt;0, "Completado", "Pendiente")</f>
        <v>Pendiente</v>
      </c>
      <c r="G273" s="27" t="str">
        <f>IFERROR(INDEX('Base Exámenes'!$D$5:$D$1000, MATCH(A273&amp;"|"&amp;J273, 'Base Exámenes'!$I$5:$I$1000, 0)), "")</f>
        <v/>
      </c>
      <c r="H273" s="27" t="str">
        <f>IFERROR(INDEX('Base Exámenes'!$E$5:$E$1000, MATCH(A273&amp;"|"&amp;J273, 'Base Exámenes'!$I$5:$I$1000, 0)), "")</f>
        <v/>
      </c>
      <c r="I273" s="26" t="str">
        <f>IFERROR(INDEX('Base Exámenes'!$F$5:$F$1000, MATCH(A273&amp;"|"&amp;J273, 'Base Exámenes'!$I$5:$I$1000, 0)), "")</f>
        <v/>
      </c>
      <c r="J273" s="6" t="str">
        <f>IF(F273="Completado", _xlfn.MAXIFS('Base Exámenes'!$G$5:$G$1000, 'Base Exámenes'!$C$5:$C$1000, A273), "")</f>
        <v/>
      </c>
      <c r="K273" s="6" t="str">
        <f>IFERROR(INDEX('Base Exámenes'!$H$5:$H$1000, MATCH(A273&amp;"|"&amp;J273, 'Base Exámenes'!$I$5:$I$1000, 0)), "anonymous")</f>
        <v>anonymous</v>
      </c>
      <c r="L273" s="95">
        <f>COUNTIF('Base Exámenes'!$C$5:$C$1000, A273)</f>
        <v>0</v>
      </c>
    </row>
    <row r="274">
      <c r="A274" s="4" t="str">
        <f>'Base Oficial'!A274</f>
        <v>331</v>
      </c>
      <c r="B274" s="6" t="str">
        <f>'Base Oficial'!B274</f>
        <v>NORMA ARACELY GUILLEN </v>
      </c>
      <c r="C274" s="6" t="str">
        <f>'Base Oficial'!F274</f>
        <v>AGENCIA PLAZA MUNDO  </v>
      </c>
      <c r="D274" s="6" t="str">
        <f>'Base Oficial'!G274</f>
        <v>Gerencia de Negocios</v>
      </c>
      <c r="E274" s="6" t="str">
        <f>'Base Oficial'!D274</f>
        <v>SUBJEFE DE  AGENCIA</v>
      </c>
      <c r="F274" s="4" t="str">
        <f>IF(COUNTIFS('Base Exámenes'!$C$5:$C$1000, A274, 'Base Exámenes'!$E$5:$E$1000, "&lt;&gt;")&gt;0, "Completado", "Pendiente")</f>
        <v>Completado</v>
      </c>
      <c r="G274" s="27">
        <f>IFERROR(INDEX('Base Exámenes'!$D$5:$D$1000, MATCH(A274&amp;"|"&amp;J274, 'Base Exámenes'!$I$5:$I$1000, 0)), "")</f>
        <v>46307.43707175926</v>
      </c>
      <c r="H274" s="27">
        <f>IFERROR(INDEX('Base Exámenes'!$E$5:$E$1000, MATCH(A274&amp;"|"&amp;J274, 'Base Exámenes'!$I$5:$I$1000, 0)), "")</f>
        <v>46307.440046296295</v>
      </c>
      <c r="I274" s="26">
        <f>IFERROR(INDEX('Base Exámenes'!$F$5:$F$1000, MATCH(A274&amp;"|"&amp;J274, 'Base Exámenes'!$I$5:$I$1000, 0)), "")</f>
        <v>4.28333333333333</v>
      </c>
      <c r="J274" s="6">
        <f>IF(F274="Completado", _xlfn.MAXIFS('Base Exámenes'!$G$5:$G$1000, 'Base Exámenes'!$C$5:$C$1000, A274), "")</f>
        <v>100</v>
      </c>
      <c r="K274" s="6" t="str">
        <f>IFERROR(INDEX('Base Exámenes'!$H$5:$H$1000, MATCH(A274&amp;"|"&amp;J274, 'Base Exámenes'!$I$5:$I$1000, 0)), "anonymous")</f>
        <v>anonymous</v>
      </c>
      <c r="L274" s="95">
        <f>COUNTIF('Base Exámenes'!$C$5:$C$1000, A274)</f>
        <v>1</v>
      </c>
    </row>
    <row r="275">
      <c r="A275" s="4" t="str">
        <f>'Base Oficial'!A275</f>
        <v>535</v>
      </c>
      <c r="B275" s="6" t="str">
        <f>'Base Oficial'!B275</f>
        <v>ROSARIO DEL CARMEN PEREZ LOPEZ </v>
      </c>
      <c r="C275" s="6" t="str">
        <f>'Base Oficial'!F275</f>
        <v>AGENCIA PLAZA MUNDO  </v>
      </c>
      <c r="D275" s="6" t="str">
        <f>'Base Oficial'!G275</f>
        <v>Gerencia de Negocios</v>
      </c>
      <c r="E275" s="6" t="str">
        <f>'Base Oficial'!D275</f>
        <v>JEFE DE AGENCIA  </v>
      </c>
      <c r="F275" s="4" t="str">
        <f>IF(COUNTIFS('Base Exámenes'!$C$5:$C$1000, A275, 'Base Exámenes'!$E$5:$E$1000, "&lt;&gt;")&gt;0, "Completado", "Pendiente")</f>
        <v>Completado</v>
      </c>
      <c r="G275" s="27">
        <f>IFERROR(INDEX('Base Exámenes'!$D$5:$D$1000, MATCH(A275&amp;"|"&amp;J275, 'Base Exámenes'!$I$5:$I$1000, 0)), "")</f>
        <v>46307.40015046296</v>
      </c>
      <c r="H275" s="27">
        <f>IFERROR(INDEX('Base Exámenes'!$E$5:$E$1000, MATCH(A275&amp;"|"&amp;J275, 'Base Exámenes'!$I$5:$I$1000, 0)), "")</f>
        <v>46307.40383101852</v>
      </c>
      <c r="I275" s="26">
        <f>IFERROR(INDEX('Base Exámenes'!$F$5:$F$1000, MATCH(A275&amp;"|"&amp;J275, 'Base Exámenes'!$I$5:$I$1000, 0)), "")</f>
        <v>5.3</v>
      </c>
      <c r="J275" s="6">
        <f>IF(F275="Completado", _xlfn.MAXIFS('Base Exámenes'!$G$5:$G$1000, 'Base Exámenes'!$C$5:$C$1000, A275), "")</f>
        <v>100</v>
      </c>
      <c r="K275" s="6" t="str">
        <f>IFERROR(INDEX('Base Exámenes'!$H$5:$H$1000, MATCH(A275&amp;"|"&amp;J275, 'Base Exámenes'!$I$5:$I$1000, 0)), "anonymous")</f>
        <v>anonymous</v>
      </c>
      <c r="L275" s="95">
        <f>COUNTIF('Base Exámenes'!$C$5:$C$1000, A275)</f>
        <v>1</v>
      </c>
    </row>
    <row r="276">
      <c r="A276" s="4" t="str">
        <f>'Base Oficial'!A276</f>
        <v>616</v>
      </c>
      <c r="B276" s="6" t="str">
        <f>'Base Oficial'!B276</f>
        <v>GABRIELA JEANNETTE BOLAÑOS HERRERA </v>
      </c>
      <c r="C276" s="6" t="str">
        <f>'Base Oficial'!F276</f>
        <v>AGENCIA PLAZA MUNDO  </v>
      </c>
      <c r="D276" s="6" t="str">
        <f>'Base Oficial'!G276</f>
        <v>Gerencia de Negocios</v>
      </c>
      <c r="E276" s="6" t="str">
        <f>'Base Oficial'!D276</f>
        <v>EJECUTIVA DE SEGUROS</v>
      </c>
      <c r="F276" s="4" t="str">
        <f>IF(COUNTIFS('Base Exámenes'!$C$5:$C$1000, A276, 'Base Exámenes'!$E$5:$E$1000, "&lt;&gt;")&gt;0, "Completado", "Pendiente")</f>
        <v>Completado</v>
      </c>
      <c r="G276" s="27">
        <f>IFERROR(INDEX('Base Exámenes'!$D$5:$D$1000, MATCH(A276&amp;"|"&amp;J276, 'Base Exámenes'!$I$5:$I$1000, 0)), "")</f>
        <v>46308.410844907405</v>
      </c>
      <c r="H276" s="27">
        <f>IFERROR(INDEX('Base Exámenes'!$E$5:$E$1000, MATCH(A276&amp;"|"&amp;J276, 'Base Exámenes'!$I$5:$I$1000, 0)), "")</f>
        <v>46308.41873842593</v>
      </c>
      <c r="I276" s="26">
        <f>IFERROR(INDEX('Base Exámenes'!$F$5:$F$1000, MATCH(A276&amp;"|"&amp;J276, 'Base Exámenes'!$I$5:$I$1000, 0)), "")</f>
        <v>11.36666668345</v>
      </c>
      <c r="J276" s="6">
        <f>IF(F276="Completado", _xlfn.MAXIFS('Base Exámenes'!$G$5:$G$1000, 'Base Exámenes'!$C$5:$C$1000, A276), "")</f>
        <v>100</v>
      </c>
      <c r="K276" s="6" t="str">
        <f>IFERROR(INDEX('Base Exámenes'!$H$5:$H$1000, MATCH(A276&amp;"|"&amp;J276, 'Base Exámenes'!$I$5:$I$1000, 0)), "anonymous")</f>
        <v>anonymous</v>
      </c>
      <c r="L276" s="95">
        <f>COUNTIF('Base Exámenes'!$C$5:$C$1000, A276)</f>
        <v>1</v>
      </c>
    </row>
    <row r="277">
      <c r="A277" s="4" t="str">
        <f>'Base Oficial'!A277</f>
        <v>675</v>
      </c>
      <c r="B277" s="6" t="str">
        <f>'Base Oficial'!B277</f>
        <v>NANCY CAROLINA FUENTES SORTO </v>
      </c>
      <c r="C277" s="6" t="str">
        <f>'Base Oficial'!F277</f>
        <v>AGENCIA PLAZA MUNDO  </v>
      </c>
      <c r="D277" s="6" t="str">
        <f>'Base Oficial'!G277</f>
        <v>Gerencia de Negocios</v>
      </c>
      <c r="E277" s="6" t="str">
        <f>'Base Oficial'!D277</f>
        <v>CAJERO</v>
      </c>
      <c r="F277" s="4" t="str">
        <f>IF(COUNTIFS('Base Exámenes'!$C$5:$C$1000, A277, 'Base Exámenes'!$E$5:$E$1000, "&lt;&gt;")&gt;0, "Completado", "Pendiente")</f>
        <v>Completado</v>
      </c>
      <c r="G277" s="27">
        <f>IFERROR(INDEX('Base Exámenes'!$D$5:$D$1000, MATCH(A277&amp;"|"&amp;J277, 'Base Exámenes'!$I$5:$I$1000, 0)), "")</f>
        <v>46309.3912037037</v>
      </c>
      <c r="H277" s="27">
        <f>IFERROR(INDEX('Base Exámenes'!$E$5:$E$1000, MATCH(A277&amp;"|"&amp;J277, 'Base Exámenes'!$I$5:$I$1000, 0)), "")</f>
        <v>46309.394328703704</v>
      </c>
      <c r="I277" s="26">
        <f>IFERROR(INDEX('Base Exámenes'!$F$5:$F$1000, MATCH(A277&amp;"|"&amp;J277, 'Base Exámenes'!$I$5:$I$1000, 0)), "")</f>
        <v>4.5</v>
      </c>
      <c r="J277" s="6">
        <f>IF(F277="Completado", _xlfn.MAXIFS('Base Exámenes'!$G$5:$G$1000, 'Base Exámenes'!$C$5:$C$1000, A277), "")</f>
        <v>90</v>
      </c>
      <c r="K277" s="6" t="str">
        <f>IFERROR(INDEX('Base Exámenes'!$H$5:$H$1000, MATCH(A277&amp;"|"&amp;J277, 'Base Exámenes'!$I$5:$I$1000, 0)), "anonymous")</f>
        <v>anonymous</v>
      </c>
      <c r="L277" s="95">
        <f>COUNTIF('Base Exámenes'!$C$5:$C$1000, A277)</f>
        <v>1</v>
      </c>
    </row>
    <row r="278">
      <c r="A278" s="4" t="str">
        <f>'Base Oficial'!A278</f>
        <v>748</v>
      </c>
      <c r="B278" s="6" t="str">
        <f>'Base Oficial'!B278</f>
        <v>WALTER ALBERTO BARAHONA DIAZ </v>
      </c>
      <c r="C278" s="6" t="str">
        <f>'Base Oficial'!F278</f>
        <v>AGENCIA PLAZA MUNDO  </v>
      </c>
      <c r="D278" s="6" t="str">
        <f>'Base Oficial'!G278</f>
        <v>Gerencia de Negocios</v>
      </c>
      <c r="E278" s="6" t="str">
        <f>'Base Oficial'!D278</f>
        <v>CAJERO</v>
      </c>
      <c r="F278" s="4" t="str">
        <f>IF(COUNTIFS('Base Exámenes'!$C$5:$C$1000, A278, 'Base Exámenes'!$E$5:$E$1000, "&lt;&gt;")&gt;0, "Completado", "Pendiente")</f>
        <v>Completado</v>
      </c>
      <c r="G278" s="27">
        <f>IFERROR(INDEX('Base Exámenes'!$D$5:$D$1000, MATCH(A278&amp;"|"&amp;J278, 'Base Exámenes'!$I$5:$I$1000, 0)), "")</f>
        <v>46309.39879629629</v>
      </c>
      <c r="H278" s="27">
        <f>IFERROR(INDEX('Base Exámenes'!$E$5:$E$1000, MATCH(A278&amp;"|"&amp;J278, 'Base Exámenes'!$I$5:$I$1000, 0)), "")</f>
        <v>46309.40075231482</v>
      </c>
      <c r="I278" s="26">
        <f>IFERROR(INDEX('Base Exámenes'!$F$5:$F$1000, MATCH(A278&amp;"|"&amp;J278, 'Base Exámenes'!$I$5:$I$1000, 0)), "")</f>
        <v>2.81666666666667</v>
      </c>
      <c r="J278" s="6">
        <f>IF(F278="Completado", _xlfn.MAXIFS('Base Exámenes'!$G$5:$G$1000, 'Base Exámenes'!$C$5:$C$1000, A278), "")</f>
        <v>100</v>
      </c>
      <c r="K278" s="6" t="str">
        <f>IFERROR(INDEX('Base Exámenes'!$H$5:$H$1000, MATCH(A278&amp;"|"&amp;J278, 'Base Exámenes'!$I$5:$I$1000, 0)), "anonymous")</f>
        <v>anonymous</v>
      </c>
      <c r="L278" s="95">
        <f>COUNTIF('Base Exámenes'!$C$5:$C$1000, A278)</f>
        <v>1</v>
      </c>
    </row>
    <row r="279">
      <c r="A279" s="4" t="str">
        <f>'Base Oficial'!A279</f>
        <v>876</v>
      </c>
      <c r="B279" s="6" t="str">
        <f>'Base Oficial'!B279</f>
        <v>PAOLA JEANNETTE ROMERO HERNANDEZ  </v>
      </c>
      <c r="C279" s="6" t="str">
        <f>'Base Oficial'!F279</f>
        <v>AGENCIA PLAZA MUNDO  </v>
      </c>
      <c r="D279" s="6" t="str">
        <f>'Base Oficial'!G279</f>
        <v>Gerencia de Negocios</v>
      </c>
      <c r="E279" s="6" t="str">
        <f>'Base Oficial'!D279</f>
        <v>CAJERO</v>
      </c>
      <c r="F279" s="4" t="str">
        <f>IF(COUNTIFS('Base Exámenes'!$C$5:$C$1000, A279, 'Base Exámenes'!$E$5:$E$1000, "&lt;&gt;")&gt;0, "Completado", "Pendiente")</f>
        <v>Completado</v>
      </c>
      <c r="G279" s="27">
        <f>IFERROR(INDEX('Base Exámenes'!$D$5:$D$1000, MATCH(A279&amp;"|"&amp;J279, 'Base Exámenes'!$I$5:$I$1000, 0)), "")</f>
        <v>46309.39832175926</v>
      </c>
      <c r="H279" s="27">
        <f>IFERROR(INDEX('Base Exámenes'!$E$5:$E$1000, MATCH(A279&amp;"|"&amp;J279, 'Base Exámenes'!$I$5:$I$1000, 0)), "")</f>
        <v>46309.408229166664</v>
      </c>
      <c r="I279" s="26">
        <f>IFERROR(INDEX('Base Exámenes'!$F$5:$F$1000, MATCH(A279&amp;"|"&amp;J279, 'Base Exámenes'!$I$5:$I$1000, 0)), "")</f>
        <v>14.2666666489</v>
      </c>
      <c r="J279" s="6">
        <f>IF(F279="Completado", _xlfn.MAXIFS('Base Exámenes'!$G$5:$G$1000, 'Base Exámenes'!$C$5:$C$1000, A279), "")</f>
        <v>100</v>
      </c>
      <c r="K279" s="6" t="str">
        <f>IFERROR(INDEX('Base Exámenes'!$H$5:$H$1000, MATCH(A279&amp;"|"&amp;J279, 'Base Exámenes'!$I$5:$I$1000, 0)), "anonymous")</f>
        <v>anonymous</v>
      </c>
      <c r="L279" s="95">
        <f>COUNTIF('Base Exámenes'!$C$5:$C$1000, A279)</f>
        <v>1</v>
      </c>
    </row>
    <row r="280">
      <c r="A280" s="4" t="str">
        <f>'Base Oficial'!A280</f>
        <v>955</v>
      </c>
      <c r="B280" s="6" t="str">
        <f>'Base Oficial'!B280</f>
        <v>ERIKA IVETH MANCIA HERNANDEZ </v>
      </c>
      <c r="C280" s="6" t="str">
        <f>'Base Oficial'!F280</f>
        <v>AGENCIA PLAZA MUNDO  </v>
      </c>
      <c r="D280" s="6" t="str">
        <f>'Base Oficial'!G280</f>
        <v>Gerencia de Negocios</v>
      </c>
      <c r="E280" s="6" t="str">
        <f>'Base Oficial'!D280</f>
        <v>CAJERO</v>
      </c>
      <c r="F280" s="4" t="str">
        <f>IF(COUNTIFS('Base Exámenes'!$C$5:$C$1000, A280, 'Base Exámenes'!$E$5:$E$1000, "&lt;&gt;")&gt;0, "Completado", "Pendiente")</f>
        <v>Completado</v>
      </c>
      <c r="G280" s="27">
        <f>IFERROR(INDEX('Base Exámenes'!$D$5:$D$1000, MATCH(A280&amp;"|"&amp;J280, 'Base Exámenes'!$I$5:$I$1000, 0)), "")</f>
        <v>46309.40180555556</v>
      </c>
      <c r="H280" s="27">
        <f>IFERROR(INDEX('Base Exámenes'!$E$5:$E$1000, MATCH(A280&amp;"|"&amp;J280, 'Base Exámenes'!$I$5:$I$1000, 0)), "")</f>
        <v>46309.404699074075</v>
      </c>
      <c r="I280" s="26">
        <f>IFERROR(INDEX('Base Exámenes'!$F$5:$F$1000, MATCH(A280&amp;"|"&amp;J280, 'Base Exámenes'!$I$5:$I$1000, 0)), "")</f>
        <v>4.16666666666667</v>
      </c>
      <c r="J280" s="6">
        <f>IF(F280="Completado", _xlfn.MAXIFS('Base Exámenes'!$G$5:$G$1000, 'Base Exámenes'!$C$5:$C$1000, A280), "")</f>
        <v>100</v>
      </c>
      <c r="K280" s="6" t="str">
        <f>IFERROR(INDEX('Base Exámenes'!$H$5:$H$1000, MATCH(A280&amp;"|"&amp;J280, 'Base Exámenes'!$I$5:$I$1000, 0)), "anonymous")</f>
        <v>anonymous</v>
      </c>
      <c r="L280" s="95">
        <f>COUNTIF('Base Exámenes'!$C$5:$C$1000, A280)</f>
        <v>1</v>
      </c>
    </row>
    <row r="281">
      <c r="A281" s="4" t="str">
        <f>'Base Oficial'!A281</f>
        <v>456</v>
      </c>
      <c r="B281" s="6" t="str">
        <f>'Base Oficial'!B281</f>
        <v>LUCIANO DE JESUS SARAVIA BELTRAN </v>
      </c>
      <c r="C281" s="6" t="str">
        <f>'Base Oficial'!F281</f>
        <v>AGENCIA USULUTAN  </v>
      </c>
      <c r="D281" s="6" t="str">
        <f>'Base Oficial'!G281</f>
        <v>Gerencia de Negocios</v>
      </c>
      <c r="E281" s="6" t="str">
        <f>'Base Oficial'!D281</f>
        <v>MENSAJERO</v>
      </c>
      <c r="F281" s="4" t="str">
        <f>IF(COUNTIFS('Base Exámenes'!$C$5:$C$1000, A281, 'Base Exámenes'!$E$5:$E$1000, "&lt;&gt;")&gt;0, "Completado", "Pendiente")</f>
        <v>Completado</v>
      </c>
      <c r="G281" s="27">
        <f>IFERROR(INDEX('Base Exámenes'!$D$5:$D$1000, MATCH(A281&amp;"|"&amp;J281, 'Base Exámenes'!$I$5:$I$1000, 0)), "")</f>
        <v>46301.5078587963</v>
      </c>
      <c r="H281" s="27">
        <f>IFERROR(INDEX('Base Exámenes'!$E$5:$E$1000, MATCH(A281&amp;"|"&amp;J281, 'Base Exámenes'!$I$5:$I$1000, 0)), "")</f>
        <v>46301.51369212963</v>
      </c>
      <c r="I281" s="26">
        <f>IFERROR(INDEX('Base Exámenes'!$F$5:$F$1000, MATCH(A281&amp;"|"&amp;J281, 'Base Exámenes'!$I$5:$I$1000, 0)), "")</f>
        <v>8.4</v>
      </c>
      <c r="J281" s="6">
        <f>IF(F281="Completado", _xlfn.MAXIFS('Base Exámenes'!$G$5:$G$1000, 'Base Exámenes'!$C$5:$C$1000, A281), "")</f>
        <v>100</v>
      </c>
      <c r="K281" s="6" t="str">
        <f>IFERROR(INDEX('Base Exámenes'!$H$5:$H$1000, MATCH(A281&amp;"|"&amp;J281, 'Base Exámenes'!$I$5:$I$1000, 0)), "anonymous")</f>
        <v>anonymous</v>
      </c>
      <c r="L281" s="95">
        <f>COUNTIF('Base Exámenes'!$C$5:$C$1000, A281)</f>
        <v>2</v>
      </c>
    </row>
    <row r="282">
      <c r="A282" s="4" t="str">
        <f>'Base Oficial'!A282</f>
        <v>903</v>
      </c>
      <c r="B282" s="6" t="str">
        <f>'Base Oficial'!B282</f>
        <v>WENDY YAMILETH  MARQUEZ VASQUEZ </v>
      </c>
      <c r="C282" s="6" t="str">
        <f>'Base Oficial'!F282</f>
        <v>AGENCIA USULUTAN  </v>
      </c>
      <c r="D282" s="6" t="str">
        <f>'Base Oficial'!G282</f>
        <v>Gerencia de Negocios</v>
      </c>
      <c r="E282" s="6" t="str">
        <f>'Base Oficial'!D282</f>
        <v>JEFE DE AGENCIA  </v>
      </c>
      <c r="F282" s="4" t="str">
        <f>IF(COUNTIFS('Base Exámenes'!$C$5:$C$1000, A282, 'Base Exámenes'!$E$5:$E$1000, "&lt;&gt;")&gt;0, "Completado", "Pendiente")</f>
        <v>Completado</v>
      </c>
      <c r="G282" s="27">
        <f>IFERROR(INDEX('Base Exámenes'!$D$5:$D$1000, MATCH(A282&amp;"|"&amp;J282, 'Base Exámenes'!$I$5:$I$1000, 0)), "")</f>
        <v>46301.42581018519</v>
      </c>
      <c r="H282" s="27">
        <f>IFERROR(INDEX('Base Exámenes'!$E$5:$E$1000, MATCH(A282&amp;"|"&amp;J282, 'Base Exámenes'!$I$5:$I$1000, 0)), "")</f>
        <v>46301.432337962964</v>
      </c>
      <c r="I282" s="26">
        <f>IFERROR(INDEX('Base Exámenes'!$F$5:$F$1000, MATCH(A282&amp;"|"&amp;J282, 'Base Exámenes'!$I$5:$I$1000, 0)), "")</f>
        <v>9.4</v>
      </c>
      <c r="J282" s="6">
        <f>IF(F282="Completado", _xlfn.MAXIFS('Base Exámenes'!$G$5:$G$1000, 'Base Exámenes'!$C$5:$C$1000, A282), "")</f>
        <v>100</v>
      </c>
      <c r="K282" s="6" t="str">
        <f>IFERROR(INDEX('Base Exámenes'!$H$5:$H$1000, MATCH(A282&amp;"|"&amp;J282, 'Base Exámenes'!$I$5:$I$1000, 0)), "anonymous")</f>
        <v>anonymous</v>
      </c>
      <c r="L282" s="95">
        <f>COUNTIF('Base Exámenes'!$C$5:$C$1000, A282)</f>
        <v>1</v>
      </c>
    </row>
    <row r="283">
      <c r="A283" s="4" t="str">
        <f>'Base Oficial'!A283</f>
        <v>912</v>
      </c>
      <c r="B283" s="6" t="str">
        <f>'Base Oficial'!B283</f>
        <v>HECTOR MAURICIO GONZÁLEZ VÁSQUEZ </v>
      </c>
      <c r="C283" s="6" t="str">
        <f>'Base Oficial'!F283</f>
        <v>AGENCIA USULUTAN  </v>
      </c>
      <c r="D283" s="6" t="str">
        <f>'Base Oficial'!G283</f>
        <v>Gerencia de Negocios</v>
      </c>
      <c r="E283" s="6" t="str">
        <f>'Base Oficial'!D283</f>
        <v>EJECUTIVO DE SEGUROS</v>
      </c>
      <c r="F283" s="4" t="str">
        <f>IF(COUNTIFS('Base Exámenes'!$C$5:$C$1000, A283, 'Base Exámenes'!$E$5:$E$1000, "&lt;&gt;")&gt;0, "Completado", "Pendiente")</f>
        <v>Completado</v>
      </c>
      <c r="G283" s="27">
        <f>IFERROR(INDEX('Base Exámenes'!$D$5:$D$1000, MATCH(A283&amp;"|"&amp;J283, 'Base Exámenes'!$I$5:$I$1000, 0)), "")</f>
        <v>46303.45423611111</v>
      </c>
      <c r="H283" s="27">
        <f>IFERROR(INDEX('Base Exámenes'!$E$5:$E$1000, MATCH(A283&amp;"|"&amp;J283, 'Base Exámenes'!$I$5:$I$1000, 0)), "")</f>
        <v>46303.45730324074</v>
      </c>
      <c r="I283" s="26">
        <f>IFERROR(INDEX('Base Exámenes'!$F$5:$F$1000, MATCH(A283&amp;"|"&amp;J283, 'Base Exámenes'!$I$5:$I$1000, 0)), "")</f>
        <v>4.41666666666667</v>
      </c>
      <c r="J283" s="6">
        <f>IF(F283="Completado", _xlfn.MAXIFS('Base Exámenes'!$G$5:$G$1000, 'Base Exámenes'!$C$5:$C$1000, A283), "")</f>
        <v>100</v>
      </c>
      <c r="K283" s="6" t="str">
        <f>IFERROR(INDEX('Base Exámenes'!$H$5:$H$1000, MATCH(A283&amp;"|"&amp;J283, 'Base Exámenes'!$I$5:$I$1000, 0)), "anonymous")</f>
        <v>anonymous</v>
      </c>
      <c r="L283" s="95">
        <f>COUNTIF('Base Exámenes'!$C$5:$C$1000, A283)</f>
        <v>1</v>
      </c>
    </row>
    <row r="284">
      <c r="A284" s="4" t="str">
        <f>'Base Oficial'!A284</f>
        <v>917</v>
      </c>
      <c r="B284" s="6" t="str">
        <f>'Base Oficial'!B284</f>
        <v>LUIS MANUEL VALENCIA GUERRERO </v>
      </c>
      <c r="C284" s="6" t="str">
        <f>'Base Oficial'!F284</f>
        <v>AGENCIA USULUTAN  </v>
      </c>
      <c r="D284" s="6" t="str">
        <f>'Base Oficial'!G284</f>
        <v>Gerencia de Negocios</v>
      </c>
      <c r="E284" s="6" t="str">
        <f>'Base Oficial'!D284</f>
        <v>SUBJEFE DE  AGENCIA</v>
      </c>
      <c r="F284" s="4" t="str">
        <f>IF(COUNTIFS('Base Exámenes'!$C$5:$C$1000, A284, 'Base Exámenes'!$E$5:$E$1000, "&lt;&gt;")&gt;0, "Completado", "Pendiente")</f>
        <v>Completado</v>
      </c>
      <c r="G284" s="27">
        <f>IFERROR(INDEX('Base Exámenes'!$D$5:$D$1000, MATCH(A284&amp;"|"&amp;J284, 'Base Exámenes'!$I$5:$I$1000, 0)), "")</f>
        <v>46309.36599537037</v>
      </c>
      <c r="H284" s="27">
        <f>IFERROR(INDEX('Base Exámenes'!$E$5:$E$1000, MATCH(A284&amp;"|"&amp;J284, 'Base Exámenes'!$I$5:$I$1000, 0)), "")</f>
        <v>46309.4197337963</v>
      </c>
      <c r="I284" s="26">
        <f>IFERROR(INDEX('Base Exámenes'!$F$5:$F$1000, MATCH(A284&amp;"|"&amp;J284, 'Base Exámenes'!$I$5:$I$1000, 0)), "")</f>
        <v>77.3833333333333</v>
      </c>
      <c r="J284" s="6">
        <f>IF(F284="Completado", _xlfn.MAXIFS('Base Exámenes'!$G$5:$G$1000, 'Base Exámenes'!$C$5:$C$1000, A284), "")</f>
        <v>100</v>
      </c>
      <c r="K284" s="6" t="str">
        <f>IFERROR(INDEX('Base Exámenes'!$H$5:$H$1000, MATCH(A284&amp;"|"&amp;J284, 'Base Exámenes'!$I$5:$I$1000, 0)), "anonymous")</f>
        <v>anonymous</v>
      </c>
      <c r="L284" s="95">
        <f>COUNTIF('Base Exámenes'!$C$5:$C$1000, A284)</f>
        <v>1</v>
      </c>
    </row>
    <row r="285">
      <c r="A285" s="4" t="str">
        <f>'Base Oficial'!A285</f>
        <v>951</v>
      </c>
      <c r="B285" s="6" t="str">
        <f>'Base Oficial'!B285</f>
        <v>MELVIN ELISEO HERNANDEZ MACHADO </v>
      </c>
      <c r="C285" s="6" t="str">
        <f>'Base Oficial'!F285</f>
        <v>AGENCIA USULUTAN  </v>
      </c>
      <c r="D285" s="6" t="str">
        <f>'Base Oficial'!G285</f>
        <v>Gerencia de Negocios</v>
      </c>
      <c r="E285" s="6" t="str">
        <f>'Base Oficial'!D285</f>
        <v>EJECUTIVO DE NEGOCIOS</v>
      </c>
      <c r="F285" s="4" t="str">
        <f>IF(COUNTIFS('Base Exámenes'!$C$5:$C$1000, A285, 'Base Exámenes'!$E$5:$E$1000, "&lt;&gt;")&gt;0, "Completado", "Pendiente")</f>
        <v>Completado</v>
      </c>
      <c r="G285" s="27">
        <f>IFERROR(INDEX('Base Exámenes'!$D$5:$D$1000, MATCH(A285&amp;"|"&amp;J285, 'Base Exámenes'!$I$5:$I$1000, 0)), "")</f>
        <v>46309.37678240741</v>
      </c>
      <c r="H285" s="27">
        <f>IFERROR(INDEX('Base Exámenes'!$E$5:$E$1000, MATCH(A285&amp;"|"&amp;J285, 'Base Exámenes'!$I$5:$I$1000, 0)), "")</f>
        <v>46309.3825462963</v>
      </c>
      <c r="I285" s="26">
        <f>IFERROR(INDEX('Base Exámenes'!$F$5:$F$1000, MATCH(A285&amp;"|"&amp;J285, 'Base Exámenes'!$I$5:$I$1000, 0)), "")</f>
        <v>8.3</v>
      </c>
      <c r="J285" s="6">
        <f>IF(F285="Completado", _xlfn.MAXIFS('Base Exámenes'!$G$5:$G$1000, 'Base Exámenes'!$C$5:$C$1000, A285), "")</f>
        <v>100</v>
      </c>
      <c r="K285" s="6" t="str">
        <f>IFERROR(INDEX('Base Exámenes'!$H$5:$H$1000, MATCH(A285&amp;"|"&amp;J285, 'Base Exámenes'!$I$5:$I$1000, 0)), "anonymous")</f>
        <v>anonymous</v>
      </c>
      <c r="L285" s="95">
        <f>COUNTIF('Base Exámenes'!$C$5:$C$1000, A285)</f>
        <v>1</v>
      </c>
    </row>
    <row r="286">
      <c r="A286" s="4" t="str">
        <f>'Base Oficial'!A286</f>
        <v>961</v>
      </c>
      <c r="B286" s="6" t="str">
        <f>'Base Oficial'!B286</f>
        <v>FATIMA LISSETTE HERNANDEZ  MEJIA</v>
      </c>
      <c r="C286" s="6" t="str">
        <f>'Base Oficial'!F286</f>
        <v>AGENCIA USULUTAN  </v>
      </c>
      <c r="D286" s="6" t="str">
        <f>'Base Oficial'!G286</f>
        <v>Gerencia de Negocios</v>
      </c>
      <c r="E286" s="6" t="str">
        <f>'Base Oficial'!D286</f>
        <v>CAJERO</v>
      </c>
      <c r="F286" s="4" t="str">
        <f>IF(COUNTIFS('Base Exámenes'!$C$5:$C$1000, A286, 'Base Exámenes'!$E$5:$E$1000, "&lt;&gt;")&gt;0, "Completado", "Pendiente")</f>
        <v>Completado</v>
      </c>
      <c r="G286" s="27">
        <f>IFERROR(INDEX('Base Exámenes'!$D$5:$D$1000, MATCH(A286&amp;"|"&amp;J286, 'Base Exámenes'!$I$5:$I$1000, 0)), "")</f>
        <v>46303.53456018519</v>
      </c>
      <c r="H286" s="27">
        <f>IFERROR(INDEX('Base Exámenes'!$E$5:$E$1000, MATCH(A286&amp;"|"&amp;J286, 'Base Exámenes'!$I$5:$I$1000, 0)), "")</f>
        <v>46303.544328703705</v>
      </c>
      <c r="I286" s="26">
        <f>IFERROR(INDEX('Base Exámenes'!$F$5:$F$1000, MATCH(A286&amp;"|"&amp;J286, 'Base Exámenes'!$I$5:$I$1000, 0)), "")</f>
        <v>14.0666666666667</v>
      </c>
      <c r="J286" s="6">
        <f>IF(F286="Completado", _xlfn.MAXIFS('Base Exámenes'!$G$5:$G$1000, 'Base Exámenes'!$C$5:$C$1000, A286), "")</f>
        <v>100</v>
      </c>
      <c r="K286" s="6" t="str">
        <f>IFERROR(INDEX('Base Exámenes'!$H$5:$H$1000, MATCH(A286&amp;"|"&amp;J286, 'Base Exámenes'!$I$5:$I$1000, 0)), "anonymous")</f>
        <v>anonymous</v>
      </c>
      <c r="L286" s="95">
        <f>COUNTIF('Base Exámenes'!$C$5:$C$1000, A286)</f>
        <v>1</v>
      </c>
    </row>
    <row r="287">
      <c r="A287" s="4" t="str">
        <f>'Base Oficial'!A287</f>
        <v>970</v>
      </c>
      <c r="B287" s="6" t="str">
        <f>'Base Oficial'!B287</f>
        <v>EDUARDO JOSE GAMEZ VILLATORO </v>
      </c>
      <c r="C287" s="6" t="str">
        <f>'Base Oficial'!F287</f>
        <v>AGENCIA USULUTAN  </v>
      </c>
      <c r="D287" s="6" t="str">
        <f>'Base Oficial'!G287</f>
        <v>Gerencia de Negocios</v>
      </c>
      <c r="E287" s="6" t="str">
        <f>'Base Oficial'!D287</f>
        <v>CAJERO</v>
      </c>
      <c r="F287" s="4" t="str">
        <f>IF(COUNTIFS('Base Exámenes'!$C$5:$C$1000, A287, 'Base Exámenes'!$E$5:$E$1000, "&lt;&gt;")&gt;0, "Completado", "Pendiente")</f>
        <v>Completado</v>
      </c>
      <c r="G287" s="27">
        <f>IFERROR(INDEX('Base Exámenes'!$D$5:$D$1000, MATCH(A287&amp;"|"&amp;J287, 'Base Exámenes'!$I$5:$I$1000, 0)), "")</f>
        <v>46309.37417824074</v>
      </c>
      <c r="H287" s="27">
        <f>IFERROR(INDEX('Base Exámenes'!$E$5:$E$1000, MATCH(A287&amp;"|"&amp;J287, 'Base Exámenes'!$I$5:$I$1000, 0)), "")</f>
        <v>46309.37625</v>
      </c>
      <c r="I287" s="26">
        <f>IFERROR(INDEX('Base Exámenes'!$F$5:$F$1000, MATCH(A287&amp;"|"&amp;J287, 'Base Exámenes'!$I$5:$I$1000, 0)), "")</f>
        <v>2.98333333333333</v>
      </c>
      <c r="J287" s="6">
        <f>IF(F287="Completado", _xlfn.MAXIFS('Base Exámenes'!$G$5:$G$1000, 'Base Exámenes'!$C$5:$C$1000, A287), "")</f>
        <v>100</v>
      </c>
      <c r="K287" s="6" t="str">
        <f>IFERROR(INDEX('Base Exámenes'!$H$5:$H$1000, MATCH(A287&amp;"|"&amp;J287, 'Base Exámenes'!$I$5:$I$1000, 0)), "anonymous")</f>
        <v>anonymous</v>
      </c>
      <c r="L287" s="95">
        <f>COUNTIF('Base Exámenes'!$C$5:$C$1000, A287)</f>
        <v>1</v>
      </c>
    </row>
    <row r="288">
      <c r="A288" s="4" t="str">
        <f>'Base Oficial'!A288</f>
        <v>442</v>
      </c>
      <c r="B288" s="6" t="str">
        <f>'Base Oficial'!B288</f>
        <v>JUAN JOSE CAÑAS COMAYAGUA </v>
      </c>
      <c r="C288" s="6" t="str">
        <f>'Base Oficial'!F288</f>
        <v>DEPARTAMENTO LEGAL</v>
      </c>
      <c r="D288" s="6" t="str">
        <f>'Base Oficial'!G288</f>
        <v>Gerencia Legal y Cumplimiento Normativo</v>
      </c>
      <c r="E288" s="6" t="str">
        <f>'Base Oficial'!D288</f>
        <v>JEFE DE DEPARTAMENTO LEGAL</v>
      </c>
      <c r="F288" s="4" t="str">
        <f>IF(COUNTIFS('Base Exámenes'!$C$5:$C$1000, A288, 'Base Exámenes'!$E$5:$E$1000, "&lt;&gt;")&gt;0, "Completado", "Pendiente")</f>
        <v>Completado</v>
      </c>
      <c r="G288" s="27">
        <f>IFERROR(INDEX('Base Exámenes'!$D$5:$D$1000, MATCH(A288&amp;"|"&amp;J288, 'Base Exámenes'!$I$5:$I$1000, 0)), "")</f>
        <v>46306.59994212963</v>
      </c>
      <c r="H288" s="27">
        <f>IFERROR(INDEX('Base Exámenes'!$E$5:$E$1000, MATCH(A288&amp;"|"&amp;J288, 'Base Exámenes'!$I$5:$I$1000, 0)), "")</f>
        <v>46306.60649305556</v>
      </c>
      <c r="I288" s="26">
        <f>IFERROR(INDEX('Base Exámenes'!$F$5:$F$1000, MATCH(A288&amp;"|"&amp;J288, 'Base Exámenes'!$I$5:$I$1000, 0)), "")</f>
        <v>9.43333333333333</v>
      </c>
      <c r="J288" s="6">
        <f>IF(F288="Completado", _xlfn.MAXIFS('Base Exámenes'!$G$5:$G$1000, 'Base Exámenes'!$C$5:$C$1000, A288), "")</f>
        <v>100</v>
      </c>
      <c r="K288" s="6" t="str">
        <f>IFERROR(INDEX('Base Exámenes'!$H$5:$H$1000, MATCH(A288&amp;"|"&amp;J288, 'Base Exámenes'!$I$5:$I$1000, 0)), "anonymous")</f>
        <v>anonymous</v>
      </c>
      <c r="L288" s="95">
        <f>COUNTIF('Base Exámenes'!$C$5:$C$1000, A288)</f>
        <v>1</v>
      </c>
    </row>
    <row r="289">
      <c r="A289" s="4" t="str">
        <f>'Base Oficial'!A289</f>
        <v>592</v>
      </c>
      <c r="B289" s="6" t="str">
        <f>'Base Oficial'!B289</f>
        <v>CARLOS RENE CASTILLO GAMEZ </v>
      </c>
      <c r="C289" s="6" t="str">
        <f>'Base Oficial'!F289</f>
        <v>DEPARTAMENTO LEGAL</v>
      </c>
      <c r="D289" s="6" t="str">
        <f>'Base Oficial'!G289</f>
        <v>Gerencia Legal y Cumplimiento Normativo</v>
      </c>
      <c r="E289" s="6" t="str">
        <f>'Base Oficial'!D289</f>
        <v>ASISTENTE TECNICO LEGAL</v>
      </c>
      <c r="F289" s="4" t="str">
        <f>IF(COUNTIFS('Base Exámenes'!$C$5:$C$1000, A289, 'Base Exámenes'!$E$5:$E$1000, "&lt;&gt;")&gt;0, "Completado", "Pendiente")</f>
        <v>Completado</v>
      </c>
      <c r="G289" s="27">
        <f>IFERROR(INDEX('Base Exámenes'!$D$5:$D$1000, MATCH(A289&amp;"|"&amp;J289, 'Base Exámenes'!$I$5:$I$1000, 0)), "")</f>
        <v>46308.6159837963</v>
      </c>
      <c r="H289" s="27">
        <f>IFERROR(INDEX('Base Exámenes'!$E$5:$E$1000, MATCH(A289&amp;"|"&amp;J289, 'Base Exámenes'!$I$5:$I$1000, 0)), "")</f>
        <v>46308.62107638889</v>
      </c>
      <c r="I289" s="26">
        <f>IFERROR(INDEX('Base Exámenes'!$F$5:$F$1000, MATCH(A289&amp;"|"&amp;J289, 'Base Exámenes'!$I$5:$I$1000, 0)), "")</f>
        <v>7.33333333333333</v>
      </c>
      <c r="J289" s="6">
        <f>IF(F289="Completado", _xlfn.MAXIFS('Base Exámenes'!$G$5:$G$1000, 'Base Exámenes'!$C$5:$C$1000, A289), "")</f>
        <v>100</v>
      </c>
      <c r="K289" s="6" t="str">
        <f>IFERROR(INDEX('Base Exámenes'!$H$5:$H$1000, MATCH(A289&amp;"|"&amp;J289, 'Base Exámenes'!$I$5:$I$1000, 0)), "anonymous")</f>
        <v>anonymous</v>
      </c>
      <c r="L289" s="95">
        <f>COUNTIF('Base Exámenes'!$C$5:$C$1000, A289)</f>
        <v>1</v>
      </c>
    </row>
    <row r="290">
      <c r="A290" s="4" t="str">
        <f>'Base Oficial'!A290</f>
        <v>814</v>
      </c>
      <c r="B290" s="6" t="str">
        <f>'Base Oficial'!B290</f>
        <v>ANDREA RAQUEL MONTOYA ALARCON </v>
      </c>
      <c r="C290" s="6" t="str">
        <f>'Base Oficial'!F290</f>
        <v>DEPARTAMENTO LEGAL</v>
      </c>
      <c r="D290" s="6" t="str">
        <f>'Base Oficial'!G290</f>
        <v>Gerencia Legal y Cumplimiento Normativo</v>
      </c>
      <c r="E290" s="6" t="str">
        <f>'Base Oficial'!D290</f>
        <v>AUXILIAR JURIDICO DE ESCRITURACION</v>
      </c>
      <c r="F290" s="4" t="str">
        <f>IF(COUNTIFS('Base Exámenes'!$C$5:$C$1000, A290, 'Base Exámenes'!$E$5:$E$1000, "&lt;&gt;")&gt;0, "Completado", "Pendiente")</f>
        <v>Completado</v>
      </c>
      <c r="G290" s="27">
        <f>IFERROR(INDEX('Base Exámenes'!$D$5:$D$1000, MATCH(A290&amp;"|"&amp;J290, 'Base Exámenes'!$I$5:$I$1000, 0)), "")</f>
        <v>46307.41289351852</v>
      </c>
      <c r="H290" s="27">
        <f>IFERROR(INDEX('Base Exámenes'!$E$5:$E$1000, MATCH(A290&amp;"|"&amp;J290, 'Base Exámenes'!$I$5:$I$1000, 0)), "")</f>
        <v>46307.421319444446</v>
      </c>
      <c r="I290" s="26">
        <f>IFERROR(INDEX('Base Exámenes'!$F$5:$F$1000, MATCH(A290&amp;"|"&amp;J290, 'Base Exámenes'!$I$5:$I$1000, 0)), "")</f>
        <v>12.1333333333333</v>
      </c>
      <c r="J290" s="6">
        <f>IF(F290="Completado", _xlfn.MAXIFS('Base Exámenes'!$G$5:$G$1000, 'Base Exámenes'!$C$5:$C$1000, A290), "")</f>
        <v>100</v>
      </c>
      <c r="K290" s="6" t="str">
        <f>IFERROR(INDEX('Base Exámenes'!$H$5:$H$1000, MATCH(A290&amp;"|"&amp;J290, 'Base Exámenes'!$I$5:$I$1000, 0)), "anonymous")</f>
        <v>anonymous</v>
      </c>
      <c r="L290" s="95">
        <f>COUNTIF('Base Exámenes'!$C$5:$C$1000, A290)</f>
        <v>1</v>
      </c>
    </row>
    <row r="291">
      <c r="A291" s="4" t="str">
        <f>'Base Oficial'!A291</f>
        <v>831</v>
      </c>
      <c r="B291" s="6" t="str">
        <f>'Base Oficial'!B291</f>
        <v>NICOLLE ALEXANDRA MARINERO GALLARDO </v>
      </c>
      <c r="C291" s="6" t="str">
        <f>'Base Oficial'!F291</f>
        <v>DEPARTAMENTO LEGAL</v>
      </c>
      <c r="D291" s="6" t="str">
        <f>'Base Oficial'!G291</f>
        <v>Gerencia Legal y Cumplimiento Normativo</v>
      </c>
      <c r="E291" s="6" t="str">
        <f>'Base Oficial'!D291</f>
        <v>AUXILIAR JURIDICO NOTARIAL</v>
      </c>
      <c r="F291" s="4" t="str">
        <f>IF(COUNTIFS('Base Exámenes'!$C$5:$C$1000, A291, 'Base Exámenes'!$E$5:$E$1000, "&lt;&gt;")&gt;0, "Completado", "Pendiente")</f>
        <v>Completado</v>
      </c>
      <c r="G291" s="27">
        <f>IFERROR(INDEX('Base Exámenes'!$D$5:$D$1000, MATCH(A291&amp;"|"&amp;J291, 'Base Exámenes'!$I$5:$I$1000, 0)), "")</f>
        <v>46307.40994212963</v>
      </c>
      <c r="H291" s="27">
        <f>IFERROR(INDEX('Base Exámenes'!$E$5:$E$1000, MATCH(A291&amp;"|"&amp;J291, 'Base Exámenes'!$I$5:$I$1000, 0)), "")</f>
        <v>46307.4125462963</v>
      </c>
      <c r="I291" s="26">
        <f>IFERROR(INDEX('Base Exámenes'!$F$5:$F$1000, MATCH(A291&amp;"|"&amp;J291, 'Base Exámenes'!$I$5:$I$1000, 0)), "")</f>
        <v>3.75</v>
      </c>
      <c r="J291" s="6">
        <f>IF(F291="Completado", _xlfn.MAXIFS('Base Exámenes'!$G$5:$G$1000, 'Base Exámenes'!$C$5:$C$1000, A291), "")</f>
        <v>90</v>
      </c>
      <c r="K291" s="6" t="str">
        <f>IFERROR(INDEX('Base Exámenes'!$H$5:$H$1000, MATCH(A291&amp;"|"&amp;J291, 'Base Exámenes'!$I$5:$I$1000, 0)), "anonymous")</f>
        <v>anonymous</v>
      </c>
      <c r="L291" s="95">
        <f>COUNTIF('Base Exámenes'!$C$5:$C$1000, A291)</f>
        <v>1</v>
      </c>
    </row>
    <row r="292">
      <c r="A292" s="4" t="str">
        <f>'Base Oficial'!A292</f>
        <v>843</v>
      </c>
      <c r="B292" s="6" t="str">
        <f>'Base Oficial'!B292</f>
        <v>DANIELA MARIA FUENTES MEDINA </v>
      </c>
      <c r="C292" s="6" t="str">
        <f>'Base Oficial'!F292</f>
        <v>DEPARTAMENTO LEGAL</v>
      </c>
      <c r="D292" s="6" t="str">
        <f>'Base Oficial'!G292</f>
        <v>Gerencia Legal y Cumplimiento Normativo</v>
      </c>
      <c r="E292" s="6" t="str">
        <f>'Base Oficial'!D292</f>
        <v>AUXILIAR JURIDICO DE CONTRATACION</v>
      </c>
      <c r="F292" s="4" t="str">
        <f>IF(COUNTIFS('Base Exámenes'!$C$5:$C$1000, A292, 'Base Exámenes'!$E$5:$E$1000, "&lt;&gt;")&gt;0, "Completado", "Pendiente")</f>
        <v>Completado</v>
      </c>
      <c r="G292" s="27">
        <f>IFERROR(INDEX('Base Exámenes'!$D$5:$D$1000, MATCH(A292&amp;"|"&amp;J292, 'Base Exámenes'!$I$5:$I$1000, 0)), "")</f>
        <v>46307.39090277778</v>
      </c>
      <c r="H292" s="27">
        <f>IFERROR(INDEX('Base Exámenes'!$E$5:$E$1000, MATCH(A292&amp;"|"&amp;J292, 'Base Exámenes'!$I$5:$I$1000, 0)), "")</f>
        <v>46307.39480324074</v>
      </c>
      <c r="I292" s="26">
        <f>IFERROR(INDEX('Base Exámenes'!$F$5:$F$1000, MATCH(A292&amp;"|"&amp;J292, 'Base Exámenes'!$I$5:$I$1000, 0)), "")</f>
        <v>5.61666666666667</v>
      </c>
      <c r="J292" s="6">
        <f>IF(F292="Completado", _xlfn.MAXIFS('Base Exámenes'!$G$5:$G$1000, 'Base Exámenes'!$C$5:$C$1000, A292), "")</f>
        <v>100</v>
      </c>
      <c r="K292" s="6" t="str">
        <f>IFERROR(INDEX('Base Exámenes'!$H$5:$H$1000, MATCH(A292&amp;"|"&amp;J292, 'Base Exámenes'!$I$5:$I$1000, 0)), "anonymous")</f>
        <v>anonymous</v>
      </c>
      <c r="L292" s="95">
        <f>COUNTIF('Base Exámenes'!$C$5:$C$1000, A292)</f>
        <v>1</v>
      </c>
    </row>
    <row r="293">
      <c r="A293" s="4" t="str">
        <f>'Base Oficial'!A293</f>
        <v>893</v>
      </c>
      <c r="B293" s="6" t="str">
        <f>'Base Oficial'!B293</f>
        <v>ALEJANDRA MARIA GONZALEZ BENAVIDES </v>
      </c>
      <c r="C293" s="6" t="str">
        <f>'Base Oficial'!F293</f>
        <v>DEPARTAMENTO LEGAL</v>
      </c>
      <c r="D293" s="6" t="str">
        <f>'Base Oficial'!G293</f>
        <v>Gerencia Legal y Cumplimiento Normativo</v>
      </c>
      <c r="E293" s="6" t="str">
        <f>'Base Oficial'!D293</f>
        <v>AUXILIAR JURIDICO JUDICIAL</v>
      </c>
      <c r="F293" s="4" t="str">
        <f>IF(COUNTIFS('Base Exámenes'!$C$5:$C$1000, A293, 'Base Exámenes'!$E$5:$E$1000, "&lt;&gt;")&gt;0, "Completado", "Pendiente")</f>
        <v>Completado</v>
      </c>
      <c r="G293" s="27">
        <f>IFERROR(INDEX('Base Exámenes'!$D$5:$D$1000, MATCH(A293&amp;"|"&amp;J293, 'Base Exámenes'!$I$5:$I$1000, 0)), "")</f>
        <v>46304.695972222224</v>
      </c>
      <c r="H293" s="27">
        <f>IFERROR(INDEX('Base Exámenes'!$E$5:$E$1000, MATCH(A293&amp;"|"&amp;J293, 'Base Exámenes'!$I$5:$I$1000, 0)), "")</f>
        <v>46304.703680555554</v>
      </c>
      <c r="I293" s="26">
        <f>IFERROR(INDEX('Base Exámenes'!$F$5:$F$1000, MATCH(A293&amp;"|"&amp;J293, 'Base Exámenes'!$I$5:$I$1000, 0)), "")</f>
        <v>11.1</v>
      </c>
      <c r="J293" s="6">
        <f>IF(F293="Completado", _xlfn.MAXIFS('Base Exámenes'!$G$5:$G$1000, 'Base Exámenes'!$C$5:$C$1000, A293), "")</f>
        <v>100</v>
      </c>
      <c r="K293" s="6" t="str">
        <f>IFERROR(INDEX('Base Exámenes'!$H$5:$H$1000, MATCH(A293&amp;"|"&amp;J293, 'Base Exámenes'!$I$5:$I$1000, 0)), "anonymous")</f>
        <v>anonymous</v>
      </c>
      <c r="L293" s="95">
        <f>COUNTIF('Base Exámenes'!$C$5:$C$1000, A293)</f>
        <v>1</v>
      </c>
    </row>
    <row r="294">
      <c r="A294" s="4" t="str">
        <f>'Base Oficial'!A294</f>
        <v>905</v>
      </c>
      <c r="B294" s="6" t="str">
        <f>'Base Oficial'!B294</f>
        <v>CHRISTIAN ENRIQUE CAMPOS PRIVADO </v>
      </c>
      <c r="C294" s="6" t="str">
        <f>'Base Oficial'!F294</f>
        <v>DEPARTAMENTO LEGAL</v>
      </c>
      <c r="D294" s="6" t="str">
        <f>'Base Oficial'!G294</f>
        <v>Gerencia Legal y Cumplimiento Normativo</v>
      </c>
      <c r="E294" s="6" t="str">
        <f>'Base Oficial'!D294</f>
        <v>ASISTENTE TECNICO LEGAL</v>
      </c>
      <c r="F294" s="4" t="str">
        <f>IF(COUNTIFS('Base Exámenes'!$C$5:$C$1000, A294, 'Base Exámenes'!$E$5:$E$1000, "&lt;&gt;")&gt;0, "Completado", "Pendiente")</f>
        <v>Completado</v>
      </c>
      <c r="G294" s="27">
        <f>IFERROR(INDEX('Base Exámenes'!$D$5:$D$1000, MATCH(A294&amp;"|"&amp;J294, 'Base Exámenes'!$I$5:$I$1000, 0)), "")</f>
        <v>46307.60627314815</v>
      </c>
      <c r="H294" s="27">
        <f>IFERROR(INDEX('Base Exámenes'!$E$5:$E$1000, MATCH(A294&amp;"|"&amp;J294, 'Base Exámenes'!$I$5:$I$1000, 0)), "")</f>
        <v>46307.645</v>
      </c>
      <c r="I294" s="26">
        <f>IFERROR(INDEX('Base Exámenes'!$F$5:$F$1000, MATCH(A294&amp;"|"&amp;J294, 'Base Exámenes'!$I$5:$I$1000, 0)), "")</f>
        <v>55.7666666666667</v>
      </c>
      <c r="J294" s="6">
        <f>IF(F294="Completado", _xlfn.MAXIFS('Base Exámenes'!$G$5:$G$1000, 'Base Exámenes'!$C$5:$C$1000, A294), "")</f>
        <v>100</v>
      </c>
      <c r="K294" s="6" t="str">
        <f>IFERROR(INDEX('Base Exámenes'!$H$5:$H$1000, MATCH(A294&amp;"|"&amp;J294, 'Base Exámenes'!$I$5:$I$1000, 0)), "anonymous")</f>
        <v>anonymous</v>
      </c>
      <c r="L294" s="95">
        <f>COUNTIF('Base Exámenes'!$C$5:$C$1000, A294)</f>
        <v>1</v>
      </c>
    </row>
    <row r="295">
      <c r="A295" s="4" t="str">
        <f>'Base Oficial'!A295</f>
        <v>929</v>
      </c>
      <c r="B295" s="6" t="str">
        <f>'Base Oficial'!B295</f>
        <v>GABRIELA LOURDES AREVALO SANCHEZ </v>
      </c>
      <c r="C295" s="6" t="str">
        <f>'Base Oficial'!F295</f>
        <v>DEPARTAMENTO LEGAL</v>
      </c>
      <c r="D295" s="6" t="str">
        <f>'Base Oficial'!G295</f>
        <v>Gerencia Legal y Cumplimiento Normativo</v>
      </c>
      <c r="E295" s="6" t="str">
        <f>'Base Oficial'!D295</f>
        <v>AUXILIAR JURIDICO DE CONTRATACION</v>
      </c>
      <c r="F295" s="4" t="str">
        <f>IF(COUNTIFS('Base Exámenes'!$C$5:$C$1000, A295, 'Base Exámenes'!$E$5:$E$1000, "&lt;&gt;")&gt;0, "Completado", "Pendiente")</f>
        <v>Completado</v>
      </c>
      <c r="G295" s="27">
        <f>IFERROR(INDEX('Base Exámenes'!$D$5:$D$1000, MATCH(A295&amp;"|"&amp;J295, 'Base Exámenes'!$I$5:$I$1000, 0)), "")</f>
        <v>46300.62287037037</v>
      </c>
      <c r="H295" s="27">
        <f>IFERROR(INDEX('Base Exámenes'!$E$5:$E$1000, MATCH(A295&amp;"|"&amp;J295, 'Base Exámenes'!$I$5:$I$1000, 0)), "")</f>
        <v>46300.628483796296</v>
      </c>
      <c r="I295" s="26">
        <f>IFERROR(INDEX('Base Exámenes'!$F$5:$F$1000, MATCH(A295&amp;"|"&amp;J295, 'Base Exámenes'!$I$5:$I$1000, 0)), "")</f>
        <v>8.08333333333333</v>
      </c>
      <c r="J295" s="6">
        <f>IF(F295="Completado", _xlfn.MAXIFS('Base Exámenes'!$G$5:$G$1000, 'Base Exámenes'!$C$5:$C$1000, A295), "")</f>
        <v>90</v>
      </c>
      <c r="K295" s="6" t="str">
        <f>IFERROR(INDEX('Base Exámenes'!$H$5:$H$1000, MATCH(A295&amp;"|"&amp;J295, 'Base Exámenes'!$I$5:$I$1000, 0)), "anonymous")</f>
        <v>anonymous</v>
      </c>
      <c r="L295" s="95">
        <f>COUNTIF('Base Exámenes'!$C$5:$C$1000, A295)</f>
        <v>1</v>
      </c>
    </row>
    <row r="296">
      <c r="A296" s="4" t="str">
        <f>'Base Oficial'!A296</f>
        <v>53</v>
      </c>
      <c r="B296" s="6" t="str">
        <f>'Base Oficial'!B296</f>
        <v>CLAUDIA MARIA GIMENEZ PEREZ</v>
      </c>
      <c r="C296" s="6" t="str">
        <f>'Base Oficial'!F296</f>
        <v>CONSEJO DE ADMINISTRACION</v>
      </c>
      <c r="D296" s="6" t="str">
        <f>'Base Oficial'!G296</f>
        <v>Consejo de Administración</v>
      </c>
      <c r="E296" s="6" t="str">
        <f>'Base Oficial'!D296</f>
        <v>ASISTENTE DEL CONSEJO DE ADMINISTRACION</v>
      </c>
      <c r="F296" s="4" t="str">
        <f>IF(COUNTIFS('Base Exámenes'!$C$5:$C$1000, A296, 'Base Exámenes'!$E$5:$E$1000, "&lt;&gt;")&gt;0, "Completado", "Pendiente")</f>
        <v>Completado</v>
      </c>
      <c r="G296" s="27">
        <f>IFERROR(INDEX('Base Exámenes'!$D$5:$D$1000, MATCH(A296&amp;"|"&amp;J296, 'Base Exámenes'!$I$5:$I$1000, 0)), "")</f>
        <v>46300.65247685185</v>
      </c>
      <c r="H296" s="27">
        <f>IFERROR(INDEX('Base Exámenes'!$E$5:$E$1000, MATCH(A296&amp;"|"&amp;J296, 'Base Exámenes'!$I$5:$I$1000, 0)), "")</f>
        <v>46300.658009259256</v>
      </c>
      <c r="I296" s="26">
        <f>IFERROR(INDEX('Base Exámenes'!$F$5:$F$1000, MATCH(A296&amp;"|"&amp;J296, 'Base Exámenes'!$I$5:$I$1000, 0)), "")</f>
        <v>7.96666666666667</v>
      </c>
      <c r="J296" s="6">
        <f>IF(F296="Completado", _xlfn.MAXIFS('Base Exámenes'!$G$5:$G$1000, 'Base Exámenes'!$C$5:$C$1000, A296), "")</f>
        <v>90</v>
      </c>
      <c r="K296" s="6" t="str">
        <f>IFERROR(INDEX('Base Exámenes'!$H$5:$H$1000, MATCH(A296&amp;"|"&amp;J296, 'Base Exámenes'!$I$5:$I$1000, 0)), "anonymous")</f>
        <v>anonymous</v>
      </c>
      <c r="L296" s="95">
        <f>COUNTIF('Base Exámenes'!$C$5:$C$1000, A296)</f>
        <v>1</v>
      </c>
    </row>
    <row r="297">
      <c r="A297" s="4" t="str">
        <f>'Base Oficial'!A297</f>
        <v>986</v>
      </c>
      <c r="B297" s="6" t="str">
        <f>'Base Oficial'!B297</f>
        <v>JENNIFER ROXANA AYALA AYALA</v>
      </c>
      <c r="C297" s="6" t="str">
        <f>'Base Oficial'!F297</f>
        <v>DEPARTAMENTO DE ATENCION A ASOCIADO Y CLIENTE</v>
      </c>
      <c r="D297" s="6" t="str">
        <f>'Base Oficial'!G297</f>
        <v>Gerencia de Negocios</v>
      </c>
      <c r="E297" s="6" t="str">
        <f>'Base Oficial'!D297</f>
        <v>(CARGO POR CONFIRMAR)</v>
      </c>
      <c r="F297" s="4" t="str">
        <f>IF(COUNTIFS('Base Exámenes'!$C$5:$C$1000, A297, 'Base Exámenes'!$E$5:$E$1000, "&lt;&gt;")&gt;0, "Completado", "Pendiente")</f>
        <v>Completado</v>
      </c>
      <c r="G297" s="27">
        <f>IFERROR(INDEX('Base Exámenes'!$D$5:$D$1000, MATCH(A297&amp;"|"&amp;J297, 'Base Exámenes'!$I$5:$I$1000, 0)), "")</f>
        <v>46308.70475694445</v>
      </c>
      <c r="H297" s="27">
        <f>IFERROR(INDEX('Base Exámenes'!$E$5:$E$1000, MATCH(A297&amp;"|"&amp;J297, 'Base Exámenes'!$I$5:$I$1000, 0)), "")</f>
        <v>46308.713692129626</v>
      </c>
      <c r="I297" s="26">
        <f>IFERROR(INDEX('Base Exámenes'!$F$5:$F$1000, MATCH(A297&amp;"|"&amp;J297, 'Base Exámenes'!$I$5:$I$1000, 0)), "")</f>
        <v>12.8666666666667</v>
      </c>
      <c r="J297" s="6">
        <f>IF(F297="Completado", _xlfn.MAXIFS('Base Exámenes'!$G$5:$G$1000, 'Base Exámenes'!$C$5:$C$1000, A297), "")</f>
        <v>80</v>
      </c>
      <c r="K297" s="6" t="str">
        <f>IFERROR(INDEX('Base Exámenes'!$H$5:$H$1000, MATCH(A297&amp;"|"&amp;J297, 'Base Exámenes'!$I$5:$I$1000, 0)), "anonymous")</f>
        <v>anonymous</v>
      </c>
      <c r="L297" s="95">
        <f>COUNTIF('Base Exámenes'!$C$5:$C$1000, A297)</f>
        <v>1</v>
      </c>
    </row>
  </sheetData>
  <autoFilter ref="A4:K297"/>
  <conditionalFormatting sqref="F5:F297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1" stopIfTrue="1">
      <formula>$F5="Pendiente"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9"/>
  <sheetViews>
    <sheetView showGridLines="1" tabSelected="0" workbookViewId="0">
      <selection activeCell="A1" sqref="A1"/>
    </sheetView>
  </sheetViews>
  <sheetFormatPr baseColWidth="8" defaultRowHeight="15"/>
  <cols>
    <col width="57" customWidth="1" min="1" max="1"/>
    <col width="43" customWidth="1" min="2" max="2"/>
    <col width="51" customWidth="1" min="3" max="3"/>
    <col width="100" customWidth="1" min="4" max="4"/>
    <col width="14" customWidth="1" min="5" max="5"/>
    <col width="26" customWidth="1" min="6" max="6"/>
    <col width="53" customWidth="1" min="7" max="7"/>
    <col width="101" customWidth="1" min="8" max="8"/>
    <col width="97" customWidth="1" min="9" max="9"/>
    <col width="97" customWidth="1" min="10" max="10"/>
    <col width="97" customWidth="1" min="11" max="11"/>
    <col width="97" customWidth="1" min="12" max="12"/>
    <col width="97" customWidth="1" min="13" max="13"/>
    <col width="101" customWidth="1" min="14" max="14"/>
  </cols>
  <sheetData>
    <row r="1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Primer Examen Finalizado</t>
        </is>
      </c>
      <c r="M4" s="3" t="inlineStr">
        <is>
          <t>Menor Duración (min)</t>
        </is>
      </c>
      <c r="N4" s="3" t="inlineStr">
        <is>
          <t>Promedio Duración (min)</t>
        </is>
      </c>
    </row>
    <row r="5">
      <c r="A5" s="5" t="inlineStr">
        <is>
          <t>ADMINISTRACION DE BASE DE DATOS</t>
        </is>
      </c>
      <c r="B5" s="5" t="inlineStr">
        <is>
          <t>Gerencia de Sistemas</t>
        </is>
      </c>
      <c r="C5" s="8">
        <f>COUNTIF('Detalle individual'!$C$5:$C$297, A5)</f>
        <v>1</v>
      </c>
      <c r="D5" s="8">
        <f>COUNTIFS('Detalle individual'!$C$5:$C$297, A5, 'Detalle individual'!$F$5:$F$297, "Completado")</f>
        <v>1</v>
      </c>
      <c r="E5" s="8">
        <f>C5-D5</f>
        <v>0</v>
      </c>
      <c r="F5" s="9">
        <f>IF(C5&gt;0, D5/C5, 0)</f>
        <v>1</v>
      </c>
      <c r="G5" s="4" t="str">
        <f>IF(AND(C5&gt;0, D5=C5), "Completo", "Pendiente")</f>
        <v>Completo</v>
      </c>
      <c r="H5" s="7">
        <f>IF(D5&gt;0, IFERROR(AVERAGEIFS('Detalle individual'!$J$5:$J$297, 'Detalle individual'!$C$5:$C$297, A5), ""), "")</f>
        <v>95</v>
      </c>
      <c r="I5" s="6">
        <f>IF(D5&gt;0, IFERROR(_xlfn.MAXIFS('Detalle individual'!$J$5:$J$297, 'Detalle individual'!$C$5:$C$297, A5), ""), "")</f>
        <v>95</v>
      </c>
      <c r="J5" s="6">
        <f>IF(D5&gt;0, IFERROR(_xlfn.MINIFS('Detalle individual'!$J$5:$J$297, 'Detalle individual'!$C$5:$C$297, A5), ""), "")</f>
        <v>95</v>
      </c>
      <c r="K5" s="25">
        <f>IF(D5&gt;0, IFERROR(_xlfn.MINIFS('Detalle individual'!$G$5:$G$297, 'Detalle individual'!$C$5:$C$297, A5), ""), "")</f>
        <v>46300.68533564815</v>
      </c>
      <c r="L5" s="25">
        <f>IF(D5&gt;0, IFERROR(_xlfn.MAXIFS('Detalle individual'!$H$5:$H$297, 'Detalle individual'!$C$5:$C$297, A5), ""), "")</f>
        <v>46300.696018518516</v>
      </c>
      <c r="M5" s="7">
        <f>IF(D5&gt;0, IFERROR(_xlfn.MINIFS('Detalle individual'!$I$5:$I$297, 'Detalle individual'!$C$5:$C$297, A5), ""), "")</f>
        <v>15.3833333333333</v>
      </c>
      <c r="N5" s="7">
        <f>IF(D5&gt;0, IFERROR(AVERAGEIFS('Detalle individual'!$I$5:$I$297, 'Detalle individual'!$C$5:$C$297, A5), ""), "")</f>
        <v>15.3833333333333</v>
      </c>
    </row>
    <row r="6">
      <c r="A6" s="5" t="inlineStr">
        <is>
          <t>ADMINISTRACION DE RIESGOS</t>
        </is>
      </c>
      <c r="B6" s="5" t="inlineStr">
        <is>
          <t>Gerencia General</t>
        </is>
      </c>
      <c r="C6" s="8">
        <f>COUNTIF('Detalle individual'!$C$5:$C$297, A6)</f>
        <v>4</v>
      </c>
      <c r="D6" s="8">
        <f>COUNTIFS('Detalle individual'!$C$5:$C$297, A6, 'Detalle individual'!$F$5:$F$297, "Completado")</f>
        <v>4</v>
      </c>
      <c r="E6" s="8">
        <f>C6-D6</f>
        <v>0</v>
      </c>
      <c r="F6" s="9">
        <f>IF(C6&gt;0, D6/C6, 0)</f>
        <v>1</v>
      </c>
      <c r="G6" s="4" t="str">
        <f>IF(AND(C6&gt;0, D6=C6), "Completo", "Pendiente")</f>
        <v>Completo</v>
      </c>
      <c r="H6" s="7">
        <f>IF(D6&gt;0, IFERROR(AVERAGEIFS('Detalle individual'!$J$5:$J$297, 'Detalle individual'!$C$5:$C$297, A6), ""), "")</f>
        <v>100</v>
      </c>
      <c r="I6" s="6">
        <f>IF(D6&gt;0, IFERROR(_xlfn.MAXIFS('Detalle individual'!$J$5:$J$297, 'Detalle individual'!$C$5:$C$297, A6), ""), "")</f>
        <v>100</v>
      </c>
      <c r="J6" s="6">
        <f>IF(D6&gt;0, IFERROR(_xlfn.MINIFS('Detalle individual'!$J$5:$J$297, 'Detalle individual'!$C$5:$C$297, A6), ""), "")</f>
        <v>100</v>
      </c>
      <c r="K6" s="25">
        <f>IF(D6&gt;0, IFERROR(_xlfn.MINIFS('Detalle individual'!$G$5:$G$297, 'Detalle individual'!$C$5:$C$297, A6), ""), "")</f>
        <v>46296.43667824074</v>
      </c>
      <c r="L6" s="25">
        <f>IF(D6&gt;0, IFERROR(_xlfn.MAXIFS('Detalle individual'!$H$5:$H$297, 'Detalle individual'!$C$5:$C$297, A6), ""), "")</f>
        <v>46305.39865740741</v>
      </c>
      <c r="M6" s="7">
        <f>IF(D6&gt;0, IFERROR(_xlfn.MINIFS('Detalle individual'!$I$5:$I$297, 'Detalle individual'!$C$5:$C$297, A6), ""), "")</f>
        <v>3.05</v>
      </c>
      <c r="N6" s="7">
        <f>IF(D6&gt;0, IFERROR(AVERAGEIFS('Detalle individual'!$I$5:$I$297, 'Detalle individual'!$C$5:$C$297, A6), ""), "")</f>
        <v>6.24583333333333</v>
      </c>
    </row>
    <row r="7">
      <c r="A7" s="5" t="inlineStr">
        <is>
          <t>ADMINISTRACIÓN DE CARTERAS</t>
        </is>
      </c>
      <c r="B7" s="5" t="inlineStr">
        <is>
          <t>Gerencia de Operaciones</t>
        </is>
      </c>
      <c r="C7" s="8">
        <f>COUNTIF('Detalle individual'!$C$5:$C$297, A7)</f>
        <v>5</v>
      </c>
      <c r="D7" s="8">
        <f>COUNTIFS('Detalle individual'!$C$5:$C$297, A7, 'Detalle individual'!$F$5:$F$297, "Completado")</f>
        <v>4</v>
      </c>
      <c r="E7" s="8">
        <f>C7-D7</f>
        <v>1</v>
      </c>
      <c r="F7" s="9">
        <f>IF(C7&gt;0, D7/C7, 0)</f>
        <v>0.8</v>
      </c>
      <c r="G7" s="4" t="str">
        <f>IF(AND(C7&gt;0, D7=C7), "Completo", "Pendiente")</f>
        <v>Pendiente</v>
      </c>
      <c r="H7" s="7">
        <f>IF(D7&gt;0, IFERROR(AVERAGEIFS('Detalle individual'!$J$5:$J$297, 'Detalle individual'!$C$5:$C$297, A7), ""), "")</f>
        <v>100</v>
      </c>
      <c r="I7" s="6">
        <f>IF(D7&gt;0, IFERROR(_xlfn.MAXIFS('Detalle individual'!$J$5:$J$297, 'Detalle individual'!$C$5:$C$297, A7), ""), "")</f>
        <v>100</v>
      </c>
      <c r="J7" s="6">
        <f>IF(D7&gt;0, IFERROR(_xlfn.MINIFS('Detalle individual'!$J$5:$J$297, 'Detalle individual'!$C$5:$C$297, A7), ""), "")</f>
        <v>100</v>
      </c>
      <c r="K7" s="25">
        <f>IF(D7&gt;0, IFERROR(_xlfn.MINIFS('Detalle individual'!$G$5:$G$297, 'Detalle individual'!$C$5:$C$297, A7), ""), "")</f>
        <v>46304.494108796294</v>
      </c>
      <c r="L7" s="25">
        <f>IF(D7&gt;0, IFERROR(_xlfn.MAXIFS('Detalle individual'!$H$5:$H$297, 'Detalle individual'!$C$5:$C$297, A7), ""), "")</f>
        <v>46307.675532407404</v>
      </c>
      <c r="M7" s="7">
        <f>IF(D7&gt;0, IFERROR(_xlfn.MINIFS('Detalle individual'!$I$5:$I$297, 'Detalle individual'!$C$5:$C$297, A7), ""), "")</f>
        <v>3.65</v>
      </c>
      <c r="N7" s="7">
        <f>IF(D7&gt;0, IFERROR(AVERAGEIFS('Detalle individual'!$I$5:$I$297, 'Detalle individual'!$C$5:$C$297, A7), ""), "")</f>
        <v>10.0208333273083</v>
      </c>
    </row>
    <row r="8">
      <c r="A8" s="5" t="inlineStr">
        <is>
          <t xml:space="preserve">AGENCIA CENTRAL  </t>
        </is>
      </c>
      <c r="B8" s="5" t="inlineStr">
        <is>
          <t>Gerencia de Negocios</t>
        </is>
      </c>
      <c r="C8" s="8">
        <f>COUNTIF('Detalle individual'!$C$5:$C$297, A8)</f>
        <v>18</v>
      </c>
      <c r="D8" s="8">
        <f>COUNTIFS('Detalle individual'!$C$5:$C$297, A8, 'Detalle individual'!$F$5:$F$297, "Completado")</f>
        <v>8</v>
      </c>
      <c r="E8" s="8">
        <f>C8-D8</f>
        <v>10</v>
      </c>
      <c r="F8" s="9">
        <f>IF(C8&gt;0, D8/C8, 0)</f>
        <v>0.444444444444444</v>
      </c>
      <c r="G8" s="4" t="str">
        <f>IF(AND(C8&gt;0, D8=C8), "Completo", "Pendiente")</f>
        <v>Pendiente</v>
      </c>
      <c r="H8" s="7">
        <f>IF(D8&gt;0, IFERROR(AVERAGEIFS('Detalle individual'!$J$5:$J$297, 'Detalle individual'!$C$5:$C$297, A8), ""), "")</f>
        <v>96.25</v>
      </c>
      <c r="I8" s="6">
        <f>IF(D8&gt;0, IFERROR(_xlfn.MAXIFS('Detalle individual'!$J$5:$J$297, 'Detalle individual'!$C$5:$C$297, A8), ""), "")</f>
        <v>100</v>
      </c>
      <c r="J8" s="6">
        <f>IF(D8&gt;0, IFERROR(_xlfn.MINIFS('Detalle individual'!$J$5:$J$297, 'Detalle individual'!$C$5:$C$297, A8), ""), "")</f>
        <v>75</v>
      </c>
      <c r="K8" s="25">
        <f>IF(D8&gt;0, IFERROR(_xlfn.MINIFS('Detalle individual'!$G$5:$G$297, 'Detalle individual'!$C$5:$C$297, A8), ""), "")</f>
        <v>46302.469988425924</v>
      </c>
      <c r="L8" s="25">
        <f>IF(D8&gt;0, IFERROR(_xlfn.MAXIFS('Detalle individual'!$H$5:$H$297, 'Detalle individual'!$C$5:$C$297, A8), ""), "")</f>
        <v>46309.366736111115</v>
      </c>
      <c r="M8" s="7">
        <f>IF(D8&gt;0, IFERROR(_xlfn.MINIFS('Detalle individual'!$I$5:$I$297, 'Detalle individual'!$C$5:$C$297, A8), ""), "")</f>
        <v>1.75</v>
      </c>
      <c r="N8" s="7">
        <f>IF(D8&gt;0, IFERROR(AVERAGEIFS('Detalle individual'!$I$5:$I$297, 'Detalle individual'!$C$5:$C$297, A8), ""), "")</f>
        <v>14.0333333296</v>
      </c>
    </row>
    <row r="9">
      <c r="A9" s="5" t="inlineStr">
        <is>
          <t xml:space="preserve">AGENCIA COLEGIO MEDICO </t>
        </is>
      </c>
      <c r="B9" s="5" t="inlineStr">
        <is>
          <t>Gerencia de Negocios</t>
        </is>
      </c>
      <c r="C9" s="8">
        <f>COUNTIF('Detalle individual'!$C$5:$C$297, A9)</f>
        <v>12</v>
      </c>
      <c r="D9" s="8">
        <f>COUNTIFS('Detalle individual'!$C$5:$C$297, A9, 'Detalle individual'!$F$5:$F$297, "Completado")</f>
        <v>10</v>
      </c>
      <c r="E9" s="8">
        <f>C9-D9</f>
        <v>2</v>
      </c>
      <c r="F9" s="9">
        <f>IF(C9&gt;0, D9/C9, 0)</f>
        <v>0.833333333333333</v>
      </c>
      <c r="G9" s="4" t="str">
        <f>IF(AND(C9&gt;0, D9=C9), "Completo", "Pendiente")</f>
        <v>Pendiente</v>
      </c>
      <c r="H9" s="7">
        <f>IF(D9&gt;0, IFERROR(AVERAGEIFS('Detalle individual'!$J$5:$J$297, 'Detalle individual'!$C$5:$C$297, A9), ""), "")</f>
        <v>97</v>
      </c>
      <c r="I9" s="6">
        <f>IF(D9&gt;0, IFERROR(_xlfn.MAXIFS('Detalle individual'!$J$5:$J$297, 'Detalle individual'!$C$5:$C$297, A9), ""), "")</f>
        <v>100</v>
      </c>
      <c r="J9" s="6">
        <f>IF(D9&gt;0, IFERROR(_xlfn.MINIFS('Detalle individual'!$J$5:$J$297, 'Detalle individual'!$C$5:$C$297, A9), ""), "")</f>
        <v>90</v>
      </c>
      <c r="K9" s="25">
        <f>IF(D9&gt;0, IFERROR(_xlfn.MINIFS('Detalle individual'!$G$5:$G$297, 'Detalle individual'!$C$5:$C$297, A9), ""), "")</f>
        <v>46296.47090277778</v>
      </c>
      <c r="L9" s="25">
        <f>IF(D9&gt;0, IFERROR(_xlfn.MAXIFS('Detalle individual'!$H$5:$H$297, 'Detalle individual'!$C$5:$C$297, A9), ""), "")</f>
        <v>46307.43005787037</v>
      </c>
      <c r="M9" s="7">
        <f>IF(D9&gt;0, IFERROR(_xlfn.MINIFS('Detalle individual'!$I$5:$I$297, 'Detalle individual'!$C$5:$C$297, A9), ""), "")</f>
        <v>3.1</v>
      </c>
      <c r="N9" s="7">
        <f>IF(D9&gt;0, IFERROR(AVERAGEIFS('Detalle individual'!$I$5:$I$297, 'Detalle individual'!$C$5:$C$297, A9), ""), "")</f>
        <v>9.39666666630333</v>
      </c>
    </row>
    <row r="10">
      <c r="A10" s="5" t="inlineStr">
        <is>
          <t xml:space="preserve">AGENCIA COLONIA MEDICA  </t>
        </is>
      </c>
      <c r="B10" s="5" t="inlineStr">
        <is>
          <t>Gerencia de Negocios</t>
        </is>
      </c>
      <c r="C10" s="8">
        <f>COUNTIF('Detalle individual'!$C$5:$C$297, A10)</f>
        <v>16</v>
      </c>
      <c r="D10" s="8">
        <f>COUNTIFS('Detalle individual'!$C$5:$C$297, A10, 'Detalle individual'!$F$5:$F$297, "Completado")</f>
        <v>7</v>
      </c>
      <c r="E10" s="8">
        <f>C10-D10</f>
        <v>9</v>
      </c>
      <c r="F10" s="9">
        <f>IF(C10&gt;0, D10/C10, 0)</f>
        <v>0.4375</v>
      </c>
      <c r="G10" s="4" t="str">
        <f>IF(AND(C10&gt;0, D10=C10), "Completo", "Pendiente")</f>
        <v>Pendiente</v>
      </c>
      <c r="H10" s="7">
        <f>IF(D10&gt;0, IFERROR(AVERAGEIFS('Detalle individual'!$J$5:$J$297, 'Detalle individual'!$C$5:$C$297, A10), ""), "")</f>
        <v>97.8571428571429</v>
      </c>
      <c r="I10" s="6">
        <f>IF(D10&gt;0, IFERROR(_xlfn.MAXIFS('Detalle individual'!$J$5:$J$297, 'Detalle individual'!$C$5:$C$297, A10), ""), "")</f>
        <v>100</v>
      </c>
      <c r="J10" s="6">
        <f>IF(D10&gt;0, IFERROR(_xlfn.MINIFS('Detalle individual'!$J$5:$J$297, 'Detalle individual'!$C$5:$C$297, A10), ""), "")</f>
        <v>90</v>
      </c>
      <c r="K10" s="25">
        <f>IF(D10&gt;0, IFERROR(_xlfn.MINIFS('Detalle individual'!$G$5:$G$297, 'Detalle individual'!$C$5:$C$297, A10), ""), "")</f>
        <v>46297.711550925924</v>
      </c>
      <c r="L10" s="25">
        <f>IF(D10&gt;0, IFERROR(_xlfn.MAXIFS('Detalle individual'!$H$5:$H$297, 'Detalle individual'!$C$5:$C$297, A10), ""), "")</f>
        <v>46309.36565972222</v>
      </c>
      <c r="M10" s="7">
        <f>IF(D10&gt;0, IFERROR(_xlfn.MINIFS('Detalle individual'!$I$5:$I$297, 'Detalle individual'!$C$5:$C$297, A10), ""), "")</f>
        <v>2.8</v>
      </c>
      <c r="N10" s="7">
        <f>IF(D10&gt;0, IFERROR(AVERAGEIFS('Detalle individual'!$I$5:$I$297, 'Detalle individual'!$C$5:$C$297, A10), ""), "")</f>
        <v>36.1880952380952</v>
      </c>
    </row>
    <row r="11">
      <c r="A11" s="5" t="inlineStr">
        <is>
          <t xml:space="preserve">AGENCIA MERLIOT  </t>
        </is>
      </c>
      <c r="B11" s="5" t="inlineStr">
        <is>
          <t>Gerencia de Negocios</t>
        </is>
      </c>
      <c r="C11" s="8">
        <f>COUNTIF('Detalle individual'!$C$5:$C$297, A11)</f>
        <v>13</v>
      </c>
      <c r="D11" s="8">
        <f>COUNTIFS('Detalle individual'!$C$5:$C$297, A11, 'Detalle individual'!$F$5:$F$297, "Completado")</f>
        <v>12</v>
      </c>
      <c r="E11" s="8">
        <f>C11-D11</f>
        <v>1</v>
      </c>
      <c r="F11" s="9">
        <f>IF(C11&gt;0, D11/C11, 0)</f>
        <v>0.923076923076923</v>
      </c>
      <c r="G11" s="4" t="str">
        <f>IF(AND(C11&gt;0, D11=C11), "Completo", "Pendiente")</f>
        <v>Pendiente</v>
      </c>
      <c r="H11" s="7">
        <f>IF(D11&gt;0, IFERROR(AVERAGEIFS('Detalle individual'!$J$5:$J$297, 'Detalle individual'!$C$5:$C$297, A11), ""), "")</f>
        <v>95.4166666666667</v>
      </c>
      <c r="I11" s="6">
        <f>IF(D11&gt;0, IFERROR(_xlfn.MAXIFS('Detalle individual'!$J$5:$J$297, 'Detalle individual'!$C$5:$C$297, A11), ""), "")</f>
        <v>100</v>
      </c>
      <c r="J11" s="6">
        <f>IF(D11&gt;0, IFERROR(_xlfn.MINIFS('Detalle individual'!$J$5:$J$297, 'Detalle individual'!$C$5:$C$297, A11), ""), "")</f>
        <v>70</v>
      </c>
      <c r="K11" s="25">
        <f>IF(D11&gt;0, IFERROR(_xlfn.MINIFS('Detalle individual'!$G$5:$G$297, 'Detalle individual'!$C$5:$C$297, A11), ""), "")</f>
        <v>46296.54665509259</v>
      </c>
      <c r="L11" s="25">
        <f>IF(D11&gt;0, IFERROR(_xlfn.MAXIFS('Detalle individual'!$H$5:$H$297, 'Detalle individual'!$C$5:$C$297, A11), ""), "")</f>
        <v>46303.46199074074</v>
      </c>
      <c r="M11" s="7">
        <f>IF(D11&gt;0, IFERROR(_xlfn.MINIFS('Detalle individual'!$I$5:$I$297, 'Detalle individual'!$C$5:$C$297, A11), ""), "")</f>
        <v>1.78333333333333</v>
      </c>
      <c r="N11" s="7">
        <f>IF(D11&gt;0, IFERROR(AVERAGEIFS('Detalle individual'!$I$5:$I$297, 'Detalle individual'!$C$5:$C$297, A11), ""), "")</f>
        <v>9.0125</v>
      </c>
    </row>
    <row r="12">
      <c r="A12" s="5" t="inlineStr">
        <is>
          <t xml:space="preserve">AGENCIA PLAZA MUNDO  </t>
        </is>
      </c>
      <c r="B12" s="5" t="inlineStr">
        <is>
          <t>Gerencia de Negocios</t>
        </is>
      </c>
      <c r="C12" s="8">
        <f>COUNTIF('Detalle individual'!$C$5:$C$297, A12)</f>
        <v>8</v>
      </c>
      <c r="D12" s="8">
        <f>COUNTIFS('Detalle individual'!$C$5:$C$297, A12, 'Detalle individual'!$F$5:$F$297, "Completado")</f>
        <v>7</v>
      </c>
      <c r="E12" s="8">
        <f>C12-D12</f>
        <v>1</v>
      </c>
      <c r="F12" s="9">
        <f>IF(C12&gt;0, D12/C12, 0)</f>
        <v>0.875</v>
      </c>
      <c r="G12" s="4" t="str">
        <f>IF(AND(C12&gt;0, D12=C12), "Completo", "Pendiente")</f>
        <v>Pendiente</v>
      </c>
      <c r="H12" s="7">
        <f>IF(D12&gt;0, IFERROR(AVERAGEIFS('Detalle individual'!$J$5:$J$297, 'Detalle individual'!$C$5:$C$297, A12), ""), "")</f>
        <v>98.5714285714286</v>
      </c>
      <c r="I12" s="6">
        <f>IF(D12&gt;0, IFERROR(_xlfn.MAXIFS('Detalle individual'!$J$5:$J$297, 'Detalle individual'!$C$5:$C$297, A12), ""), "")</f>
        <v>100</v>
      </c>
      <c r="J12" s="6">
        <f>IF(D12&gt;0, IFERROR(_xlfn.MINIFS('Detalle individual'!$J$5:$J$297, 'Detalle individual'!$C$5:$C$297, A12), ""), "")</f>
        <v>90</v>
      </c>
      <c r="K12" s="25">
        <f>IF(D12&gt;0, IFERROR(_xlfn.MINIFS('Detalle individual'!$G$5:$G$297, 'Detalle individual'!$C$5:$C$297, A12), ""), "")</f>
        <v>46307.40015046296</v>
      </c>
      <c r="L12" s="25">
        <f>IF(D12&gt;0, IFERROR(_xlfn.MAXIFS('Detalle individual'!$H$5:$H$297, 'Detalle individual'!$C$5:$C$297, A12), ""), "")</f>
        <v>46309.408229166664</v>
      </c>
      <c r="M12" s="7">
        <f>IF(D12&gt;0, IFERROR(_xlfn.MINIFS('Detalle individual'!$I$5:$I$297, 'Detalle individual'!$C$5:$C$297, A12), ""), "")</f>
        <v>2.81666666666667</v>
      </c>
      <c r="N12" s="7">
        <f>IF(D12&gt;0, IFERROR(AVERAGEIFS('Detalle individual'!$I$5:$I$297, 'Detalle individual'!$C$5:$C$297, A12), ""), "")</f>
        <v>6.6714285712881</v>
      </c>
    </row>
    <row r="13">
      <c r="A13" s="5" t="inlineStr">
        <is>
          <t xml:space="preserve">AGENCIA SAN  MIGUEL  </t>
        </is>
      </c>
      <c r="B13" s="5" t="inlineStr">
        <is>
          <t>Gerencia de Negocios</t>
        </is>
      </c>
      <c r="C13" s="8">
        <f>COUNTIF('Detalle individual'!$C$5:$C$297, A13)</f>
        <v>8</v>
      </c>
      <c r="D13" s="8">
        <f>COUNTIFS('Detalle individual'!$C$5:$C$297, A13, 'Detalle individual'!$F$5:$F$297, "Completado")</f>
        <v>7</v>
      </c>
      <c r="E13" s="8">
        <f>C13-D13</f>
        <v>1</v>
      </c>
      <c r="F13" s="9">
        <f>IF(C13&gt;0, D13/C13, 0)</f>
        <v>0.875</v>
      </c>
      <c r="G13" s="4" t="str">
        <f>IF(AND(C13&gt;0, D13=C13), "Completo", "Pendiente")</f>
        <v>Pendiente</v>
      </c>
      <c r="H13" s="7">
        <f>IF(D13&gt;0, IFERROR(AVERAGEIFS('Detalle individual'!$J$5:$J$297, 'Detalle individual'!$C$5:$C$297, A13), ""), "")</f>
        <v>98.5714285714286</v>
      </c>
      <c r="I13" s="6">
        <f>IF(D13&gt;0, IFERROR(_xlfn.MAXIFS('Detalle individual'!$J$5:$J$297, 'Detalle individual'!$C$5:$C$297, A13), ""), "")</f>
        <v>100</v>
      </c>
      <c r="J13" s="6">
        <f>IF(D13&gt;0, IFERROR(_xlfn.MINIFS('Detalle individual'!$J$5:$J$297, 'Detalle individual'!$C$5:$C$297, A13), ""), "")</f>
        <v>90</v>
      </c>
      <c r="K13" s="25">
        <f>IF(D13&gt;0, IFERROR(_xlfn.MINIFS('Detalle individual'!$G$5:$G$297, 'Detalle individual'!$C$5:$C$297, A13), ""), "")</f>
        <v>46296.43491898148</v>
      </c>
      <c r="L13" s="25">
        <f>IF(D13&gt;0, IFERROR(_xlfn.MAXIFS('Detalle individual'!$H$5:$H$297, 'Detalle individual'!$C$5:$C$297, A13), ""), "")</f>
        <v>46296.49199074074</v>
      </c>
      <c r="M13" s="7">
        <f>IF(D13&gt;0, IFERROR(_xlfn.MINIFS('Detalle individual'!$I$5:$I$297, 'Detalle individual'!$C$5:$C$297, A13), ""), "")</f>
        <v>2.95</v>
      </c>
      <c r="N13" s="7">
        <f>IF(D13&gt;0, IFERROR(AVERAGEIFS('Detalle individual'!$I$5:$I$297, 'Detalle individual'!$C$5:$C$297, A13), ""), "")</f>
        <v>5.16666666666667</v>
      </c>
    </row>
    <row r="14">
      <c r="A14" s="5" t="inlineStr">
        <is>
          <t xml:space="preserve">AGENCIA SANTA  ANA  </t>
        </is>
      </c>
      <c r="B14" s="5" t="inlineStr">
        <is>
          <t>Gerencia de Negocios</t>
        </is>
      </c>
      <c r="C14" s="8">
        <f>COUNTIF('Detalle individual'!$C$5:$C$297, A14)</f>
        <v>8</v>
      </c>
      <c r="D14" s="8">
        <f>COUNTIFS('Detalle individual'!$C$5:$C$297, A14, 'Detalle individual'!$F$5:$F$297, "Completado")</f>
        <v>4</v>
      </c>
      <c r="E14" s="8">
        <f>C14-D14</f>
        <v>4</v>
      </c>
      <c r="F14" s="9">
        <f>IF(C14&gt;0, D14/C14, 0)</f>
        <v>0.5</v>
      </c>
      <c r="G14" s="4" t="str">
        <f>IF(AND(C14&gt;0, D14=C14), "Completo", "Pendiente")</f>
        <v>Pendiente</v>
      </c>
      <c r="H14" s="7">
        <f>IF(D14&gt;0, IFERROR(AVERAGEIFS('Detalle individual'!$J$5:$J$297, 'Detalle individual'!$C$5:$C$297, A14), ""), "")</f>
        <v>95</v>
      </c>
      <c r="I14" s="6">
        <f>IF(D14&gt;0, IFERROR(_xlfn.MAXIFS('Detalle individual'!$J$5:$J$297, 'Detalle individual'!$C$5:$C$297, A14), ""), "")</f>
        <v>100</v>
      </c>
      <c r="J14" s="6">
        <f>IF(D14&gt;0, IFERROR(_xlfn.MINIFS('Detalle individual'!$J$5:$J$297, 'Detalle individual'!$C$5:$C$297, A14), ""), "")</f>
        <v>90</v>
      </c>
      <c r="K14" s="25">
        <f>IF(D14&gt;0, IFERROR(_xlfn.MINIFS('Detalle individual'!$G$5:$G$297, 'Detalle individual'!$C$5:$C$297, A14), ""), "")</f>
        <v>46309.336597222224</v>
      </c>
      <c r="L14" s="25">
        <f>IF(D14&gt;0, IFERROR(_xlfn.MAXIFS('Detalle individual'!$H$5:$H$297, 'Detalle individual'!$C$5:$C$297, A14), ""), "")</f>
        <v>46309.63957175926</v>
      </c>
      <c r="M14" s="7">
        <f>IF(D14&gt;0, IFERROR(_xlfn.MINIFS('Detalle individual'!$I$5:$I$297, 'Detalle individual'!$C$5:$C$297, A14), ""), "")</f>
        <v>3.85</v>
      </c>
      <c r="N14" s="7">
        <f>IF(D14&gt;0, IFERROR(AVERAGEIFS('Detalle individual'!$I$5:$I$297, 'Detalle individual'!$C$5:$C$297, A14), ""), "")</f>
        <v>9.65416666666667</v>
      </c>
    </row>
    <row r="15">
      <c r="A15" s="5" t="inlineStr">
        <is>
          <t xml:space="preserve">AGENCIA SONSONATE  </t>
        </is>
      </c>
      <c r="B15" s="5" t="inlineStr">
        <is>
          <t>Gerencia de Negocios</t>
        </is>
      </c>
      <c r="C15" s="8">
        <f>COUNTIF('Detalle individual'!$C$5:$C$297, A15)</f>
        <v>7</v>
      </c>
      <c r="D15" s="8">
        <f>COUNTIFS('Detalle individual'!$C$5:$C$297, A15, 'Detalle individual'!$F$5:$F$297, "Completado")</f>
        <v>1</v>
      </c>
      <c r="E15" s="8">
        <f>C15-D15</f>
        <v>6</v>
      </c>
      <c r="F15" s="9">
        <f>IF(C15&gt;0, D15/C15, 0)</f>
        <v>0.142857142857143</v>
      </c>
      <c r="G15" s="4" t="str">
        <f>IF(AND(C15&gt;0, D15=C15), "Completo", "Pendiente")</f>
        <v>Pendiente</v>
      </c>
      <c r="H15" s="7">
        <f>IF(D15&gt;0, IFERROR(AVERAGEIFS('Detalle individual'!$J$5:$J$297, 'Detalle individual'!$C$5:$C$297, A15), ""), "")</f>
        <v>80</v>
      </c>
      <c r="I15" s="6">
        <f>IF(D15&gt;0, IFERROR(_xlfn.MAXIFS('Detalle individual'!$J$5:$J$297, 'Detalle individual'!$C$5:$C$297, A15), ""), "")</f>
        <v>80</v>
      </c>
      <c r="J15" s="6">
        <f>IF(D15&gt;0, IFERROR(_xlfn.MINIFS('Detalle individual'!$J$5:$J$297, 'Detalle individual'!$C$5:$C$297, A15), ""), "")</f>
        <v>80</v>
      </c>
      <c r="K15" s="25">
        <f>IF(D15&gt;0, IFERROR(_xlfn.MINIFS('Detalle individual'!$G$5:$G$297, 'Detalle individual'!$C$5:$C$297, A15), ""), "")</f>
        <v>46308.43619212963</v>
      </c>
      <c r="L15" s="25">
        <f>IF(D15&gt;0, IFERROR(_xlfn.MAXIFS('Detalle individual'!$H$5:$H$297, 'Detalle individual'!$C$5:$C$297, A15), ""), "")</f>
        <v>46308.456412037034</v>
      </c>
      <c r="M15" s="7">
        <f>IF(D15&gt;0, IFERROR(_xlfn.MINIFS('Detalle individual'!$I$5:$I$297, 'Detalle individual'!$C$5:$C$297, A15), ""), "")</f>
        <v>29.1166666666667</v>
      </c>
      <c r="N15" s="7">
        <f>IF(D15&gt;0, IFERROR(AVERAGEIFS('Detalle individual'!$I$5:$I$297, 'Detalle individual'!$C$5:$C$297, A15), ""), "")</f>
        <v>29.1166666666667</v>
      </c>
    </row>
    <row r="16">
      <c r="A16" s="5" t="inlineStr">
        <is>
          <t xml:space="preserve">AGENCIA USULUTAN  </t>
        </is>
      </c>
      <c r="B16" s="5" t="inlineStr">
        <is>
          <t>Gerencia de Negocios</t>
        </is>
      </c>
      <c r="C16" s="8">
        <f>COUNTIF('Detalle individual'!$C$5:$C$297, A16)</f>
        <v>7</v>
      </c>
      <c r="D16" s="8">
        <f>COUNTIFS('Detalle individual'!$C$5:$C$297, A16, 'Detalle individual'!$F$5:$F$297, "Completado")</f>
        <v>7</v>
      </c>
      <c r="E16" s="8">
        <f>C16-D16</f>
        <v>0</v>
      </c>
      <c r="F16" s="9">
        <f>IF(C16&gt;0, D16/C16, 0)</f>
        <v>1</v>
      </c>
      <c r="G16" s="4" t="str">
        <f>IF(AND(C16&gt;0, D16=C16), "Completo", "Pendiente")</f>
        <v>Completo</v>
      </c>
      <c r="H16" s="7">
        <f>IF(D16&gt;0, IFERROR(AVERAGEIFS('Detalle individual'!$J$5:$J$297, 'Detalle individual'!$C$5:$C$297, A16), ""), "")</f>
        <v>100</v>
      </c>
      <c r="I16" s="6">
        <f>IF(D16&gt;0, IFERROR(_xlfn.MAXIFS('Detalle individual'!$J$5:$J$297, 'Detalle individual'!$C$5:$C$297, A16), ""), "")</f>
        <v>100</v>
      </c>
      <c r="J16" s="6">
        <f>IF(D16&gt;0, IFERROR(_xlfn.MINIFS('Detalle individual'!$J$5:$J$297, 'Detalle individual'!$C$5:$C$297, A16), ""), "")</f>
        <v>100</v>
      </c>
      <c r="K16" s="25">
        <f>IF(D16&gt;0, IFERROR(_xlfn.MINIFS('Detalle individual'!$G$5:$G$297, 'Detalle individual'!$C$5:$C$297, A16), ""), "")</f>
        <v>46301.42581018519</v>
      </c>
      <c r="L16" s="25">
        <f>IF(D16&gt;0, IFERROR(_xlfn.MAXIFS('Detalle individual'!$H$5:$H$297, 'Detalle individual'!$C$5:$C$297, A16), ""), "")</f>
        <v>46309.4197337963</v>
      </c>
      <c r="M16" s="7">
        <f>IF(D16&gt;0, IFERROR(_xlfn.MINIFS('Detalle individual'!$I$5:$I$297, 'Detalle individual'!$C$5:$C$297, A16), ""), "")</f>
        <v>2.98333333333333</v>
      </c>
      <c r="N16" s="7">
        <f>IF(D16&gt;0, IFERROR(AVERAGEIFS('Detalle individual'!$I$5:$I$297, 'Detalle individual'!$C$5:$C$297, A16), ""), "")</f>
        <v>17.85</v>
      </c>
    </row>
    <row r="17">
      <c r="A17" s="5" t="inlineStr">
        <is>
          <t>CLINICA EMPRESARIAL</t>
        </is>
      </c>
      <c r="B17" s="5" t="inlineStr">
        <is>
          <t>Gerencia Administrativa</t>
        </is>
      </c>
      <c r="C17" s="8">
        <f>COUNTIF('Detalle individual'!$C$5:$C$297, A17)</f>
        <v>2</v>
      </c>
      <c r="D17" s="8">
        <f>COUNTIFS('Detalle individual'!$C$5:$C$297, A17, 'Detalle individual'!$F$5:$F$297, "Completado")</f>
        <v>2</v>
      </c>
      <c r="E17" s="8">
        <f>C17-D17</f>
        <v>0</v>
      </c>
      <c r="F17" s="9">
        <f>IF(C17&gt;0, D17/C17, 0)</f>
        <v>1</v>
      </c>
      <c r="G17" s="4" t="str">
        <f>IF(AND(C17&gt;0, D17=C17), "Completo", "Pendiente")</f>
        <v>Completo</v>
      </c>
      <c r="H17" s="7">
        <f>IF(D17&gt;0, IFERROR(AVERAGEIFS('Detalle individual'!$J$5:$J$297, 'Detalle individual'!$C$5:$C$297, A17), ""), "")</f>
        <v>100</v>
      </c>
      <c r="I17" s="6">
        <f>IF(D17&gt;0, IFERROR(_xlfn.MAXIFS('Detalle individual'!$J$5:$J$297, 'Detalle individual'!$C$5:$C$297, A17), ""), "")</f>
        <v>100</v>
      </c>
      <c r="J17" s="6">
        <f>IF(D17&gt;0, IFERROR(_xlfn.MINIFS('Detalle individual'!$J$5:$J$297, 'Detalle individual'!$C$5:$C$297, A17), ""), "")</f>
        <v>100</v>
      </c>
      <c r="K17" s="25">
        <f>IF(D17&gt;0, IFERROR(_xlfn.MINIFS('Detalle individual'!$G$5:$G$297, 'Detalle individual'!$C$5:$C$297, A17), ""), "")</f>
        <v>46305.40681712963</v>
      </c>
      <c r="L17" s="25">
        <f>IF(D17&gt;0, IFERROR(_xlfn.MAXIFS('Detalle individual'!$H$5:$H$297, 'Detalle individual'!$C$5:$C$297, A17), ""), "")</f>
        <v>46305.41128472222</v>
      </c>
      <c r="M17" s="7">
        <f>IF(D17&gt;0, IFERROR(_xlfn.MINIFS('Detalle individual'!$I$5:$I$297, 'Detalle individual'!$C$5:$C$297, A17), ""), "")</f>
        <v>2.76666666666667</v>
      </c>
      <c r="N17" s="7">
        <f>IF(D17&gt;0, IFERROR(AVERAGEIFS('Detalle individual'!$I$5:$I$297, 'Detalle individual'!$C$5:$C$297, A17), ""), "")</f>
        <v>3.89999999108333</v>
      </c>
    </row>
    <row r="18">
      <c r="A18" s="5" t="inlineStr">
        <is>
          <t>DEPARTAMENTO COMERCIAL DE TARJETA DE CREDITO Y DEBITO</t>
        </is>
      </c>
      <c r="B18" s="5" t="inlineStr">
        <is>
          <t>Gerencia de Negocios</t>
        </is>
      </c>
      <c r="C18" s="8">
        <f>COUNTIF('Detalle individual'!$C$5:$C$297, A18)</f>
        <v>8</v>
      </c>
      <c r="D18" s="8">
        <f>COUNTIFS('Detalle individual'!$C$5:$C$297, A18, 'Detalle individual'!$F$5:$F$297, "Completado")</f>
        <v>7</v>
      </c>
      <c r="E18" s="8">
        <f>C18-D18</f>
        <v>1</v>
      </c>
      <c r="F18" s="9">
        <f>IF(C18&gt;0, D18/C18, 0)</f>
        <v>0.875</v>
      </c>
      <c r="G18" s="4" t="str">
        <f>IF(AND(C18&gt;0, D18=C18), "Completo", "Pendiente")</f>
        <v>Pendiente</v>
      </c>
      <c r="H18" s="7">
        <f>IF(D18&gt;0, IFERROR(AVERAGEIFS('Detalle individual'!$J$5:$J$297, 'Detalle individual'!$C$5:$C$297, A18), ""), "")</f>
        <v>86.4285714285714</v>
      </c>
      <c r="I18" s="6">
        <f>IF(D18&gt;0, IFERROR(_xlfn.MAXIFS('Detalle individual'!$J$5:$J$297, 'Detalle individual'!$C$5:$C$297, A18), ""), "")</f>
        <v>100</v>
      </c>
      <c r="J18" s="6">
        <f>IF(D18&gt;0, IFERROR(_xlfn.MINIFS('Detalle individual'!$J$5:$J$297, 'Detalle individual'!$C$5:$C$297, A18), ""), "")</f>
        <v>65</v>
      </c>
      <c r="K18" s="25">
        <f>IF(D18&gt;0, IFERROR(_xlfn.MINIFS('Detalle individual'!$G$5:$G$297, 'Detalle individual'!$C$5:$C$297, A18), ""), "")</f>
        <v>46297.7059375</v>
      </c>
      <c r="L18" s="25">
        <f>IF(D18&gt;0, IFERROR(_xlfn.MAXIFS('Detalle individual'!$H$5:$H$297, 'Detalle individual'!$C$5:$C$297, A18), ""), "")</f>
        <v>46305.51431712963</v>
      </c>
      <c r="M18" s="7">
        <f>IF(D18&gt;0, IFERROR(_xlfn.MINIFS('Detalle individual'!$I$5:$I$297, 'Detalle individual'!$C$5:$C$297, A18), ""), "")</f>
        <v>4.4</v>
      </c>
      <c r="N18" s="7">
        <f>IF(D18&gt;0, IFERROR(AVERAGEIFS('Detalle individual'!$I$5:$I$297, 'Detalle individual'!$C$5:$C$297, A18), ""), "")</f>
        <v>11.7642857142857</v>
      </c>
    </row>
    <row r="19">
      <c r="A19" s="5" t="inlineStr">
        <is>
          <t>DEPARTAMENTO DE ANALISIS Y PROGRAMACIÓN</t>
        </is>
      </c>
      <c r="B19" s="5" t="inlineStr">
        <is>
          <t>Gerencia de Sistemas</t>
        </is>
      </c>
      <c r="C19" s="8">
        <f>COUNTIF('Detalle individual'!$C$5:$C$297, A19)</f>
        <v>11</v>
      </c>
      <c r="D19" s="8">
        <f>COUNTIFS('Detalle individual'!$C$5:$C$297, A19, 'Detalle individual'!$F$5:$F$297, "Completado")</f>
        <v>10</v>
      </c>
      <c r="E19" s="8">
        <f>C19-D19</f>
        <v>1</v>
      </c>
      <c r="F19" s="9">
        <f>IF(C19&gt;0, D19/C19, 0)</f>
        <v>0.909090909090909</v>
      </c>
      <c r="G19" s="4" t="str">
        <f>IF(AND(C19&gt;0, D19=C19), "Completo", "Pendiente")</f>
        <v>Pendiente</v>
      </c>
      <c r="H19" s="7">
        <f>IF(D19&gt;0, IFERROR(AVERAGEIFS('Detalle individual'!$J$5:$J$297, 'Detalle individual'!$C$5:$C$297, A19), ""), "")</f>
        <v>100</v>
      </c>
      <c r="I19" s="6">
        <f>IF(D19&gt;0, IFERROR(_xlfn.MAXIFS('Detalle individual'!$J$5:$J$297, 'Detalle individual'!$C$5:$C$297, A19), ""), "")</f>
        <v>100</v>
      </c>
      <c r="J19" s="6">
        <f>IF(D19&gt;0, IFERROR(_xlfn.MINIFS('Detalle individual'!$J$5:$J$297, 'Detalle individual'!$C$5:$C$297, A19), ""), "")</f>
        <v>100</v>
      </c>
      <c r="K19" s="25">
        <f>IF(D19&gt;0, IFERROR(_xlfn.MINIFS('Detalle individual'!$G$5:$G$297, 'Detalle individual'!$C$5:$C$297, A19), ""), "")</f>
        <v>46296.56962962963</v>
      </c>
      <c r="L19" s="25">
        <f>IF(D19&gt;0, IFERROR(_xlfn.MAXIFS('Detalle individual'!$H$5:$H$297, 'Detalle individual'!$C$5:$C$297, A19), ""), "")</f>
        <v>46307.69321759259</v>
      </c>
      <c r="M19" s="7">
        <f>IF(D19&gt;0, IFERROR(_xlfn.MINIFS('Detalle individual'!$I$5:$I$297, 'Detalle individual'!$C$5:$C$297, A19), ""), "")</f>
        <v>4.36666666666667</v>
      </c>
      <c r="N19" s="7">
        <f>IF(D19&gt;0, IFERROR(AVERAGEIFS('Detalle individual'!$I$5:$I$297, 'Detalle individual'!$C$5:$C$297, A19), ""), "")</f>
        <v>16.12</v>
      </c>
    </row>
    <row r="20">
      <c r="A20" s="5" t="inlineStr">
        <is>
          <t>DEPARTAMENTO DE ATENCION A ASOCIADO Y CLIENTE</t>
        </is>
      </c>
      <c r="B20" s="5" t="inlineStr">
        <is>
          <t>Gerencia de Negocios</t>
        </is>
      </c>
      <c r="C20" s="8">
        <f>COUNTIF('Detalle individual'!$C$5:$C$297, A20)</f>
        <v>7</v>
      </c>
      <c r="D20" s="8">
        <f>COUNTIFS('Detalle individual'!$C$5:$C$297, A20, 'Detalle individual'!$F$5:$F$297, "Completado")</f>
        <v>6</v>
      </c>
      <c r="E20" s="8">
        <f>C20-D20</f>
        <v>1</v>
      </c>
      <c r="F20" s="9">
        <f>IF(C20&gt;0, D20/C20, 0)</f>
        <v>0.857142857142857</v>
      </c>
      <c r="G20" s="4" t="str">
        <f>IF(AND(C20&gt;0, D20=C20), "Completo", "Pendiente")</f>
        <v>Pendiente</v>
      </c>
      <c r="H20" s="7">
        <f>IF(D20&gt;0, IFERROR(AVERAGEIFS('Detalle individual'!$J$5:$J$297, 'Detalle individual'!$C$5:$C$297, A20), ""), "")</f>
        <v>95</v>
      </c>
      <c r="I20" s="6">
        <f>IF(D20&gt;0, IFERROR(_xlfn.MAXIFS('Detalle individual'!$J$5:$J$297, 'Detalle individual'!$C$5:$C$297, A20), ""), "")</f>
        <v>100</v>
      </c>
      <c r="J20" s="6">
        <f>IF(D20&gt;0, IFERROR(_xlfn.MINIFS('Detalle individual'!$J$5:$J$297, 'Detalle individual'!$C$5:$C$297, A20), ""), "")</f>
        <v>80</v>
      </c>
      <c r="K20" s="25">
        <f>IF(D20&gt;0, IFERROR(_xlfn.MINIFS('Detalle individual'!$G$5:$G$297, 'Detalle individual'!$C$5:$C$297, A20), ""), "")</f>
        <v>46301.48449074074</v>
      </c>
      <c r="L20" s="25">
        <f>IF(D20&gt;0, IFERROR(_xlfn.MAXIFS('Detalle individual'!$H$5:$H$297, 'Detalle individual'!$C$5:$C$297, A20), ""), "")</f>
        <v>46309.409166666665</v>
      </c>
      <c r="M20" s="7">
        <f>IF(D20&gt;0, IFERROR(_xlfn.MINIFS('Detalle individual'!$I$5:$I$297, 'Detalle individual'!$C$5:$C$297, A20), ""), "")</f>
        <v>2.64999998033333</v>
      </c>
      <c r="N20" s="7">
        <f>IF(D20&gt;0, IFERROR(AVERAGEIFS('Detalle individual'!$I$5:$I$297, 'Detalle individual'!$C$5:$C$297, A20), ""), "")</f>
        <v>8.07222221894445</v>
      </c>
    </row>
    <row r="21">
      <c r="A21" s="5" t="inlineStr">
        <is>
          <t>DEPARTAMENTO DE AUDITORIA INTERNA</t>
        </is>
      </c>
      <c r="B21" s="5" t="inlineStr">
        <is>
          <t>Auditoría Interna</t>
        </is>
      </c>
      <c r="C21" s="8">
        <f>COUNTIF('Detalle individual'!$C$5:$C$297, A21)</f>
        <v>7</v>
      </c>
      <c r="D21" s="8">
        <f>COUNTIFS('Detalle individual'!$C$5:$C$297, A21, 'Detalle individual'!$F$5:$F$297, "Completado")</f>
        <v>7</v>
      </c>
      <c r="E21" s="8">
        <f>C21-D21</f>
        <v>0</v>
      </c>
      <c r="F21" s="9">
        <f>IF(C21&gt;0, D21/C21, 0)</f>
        <v>1</v>
      </c>
      <c r="G21" s="4" t="str">
        <f>IF(AND(C21&gt;0, D21=C21), "Completo", "Pendiente")</f>
        <v>Completo</v>
      </c>
      <c r="H21" s="7">
        <f>IF(D21&gt;0, IFERROR(AVERAGEIFS('Detalle individual'!$J$5:$J$297, 'Detalle individual'!$C$5:$C$297, A21), ""), "")</f>
        <v>97.1428571428571</v>
      </c>
      <c r="I21" s="6">
        <f>IF(D21&gt;0, IFERROR(_xlfn.MAXIFS('Detalle individual'!$J$5:$J$297, 'Detalle individual'!$C$5:$C$297, A21), ""), "")</f>
        <v>100</v>
      </c>
      <c r="J21" s="6">
        <f>IF(D21&gt;0, IFERROR(_xlfn.MINIFS('Detalle individual'!$J$5:$J$297, 'Detalle individual'!$C$5:$C$297, A21), ""), "")</f>
        <v>90</v>
      </c>
      <c r="K21" s="25">
        <f>IF(D21&gt;0, IFERROR(_xlfn.MINIFS('Detalle individual'!$G$5:$G$297, 'Detalle individual'!$C$5:$C$297, A21), ""), "")</f>
        <v>46296.61756944445</v>
      </c>
      <c r="L21" s="25">
        <f>IF(D21&gt;0, IFERROR(_xlfn.MAXIFS('Detalle individual'!$H$5:$H$297, 'Detalle individual'!$C$5:$C$297, A21), ""), "")</f>
        <v>46307.652766203704</v>
      </c>
      <c r="M21" s="7">
        <f>IF(D21&gt;0, IFERROR(_xlfn.MINIFS('Detalle individual'!$I$5:$I$297, 'Detalle individual'!$C$5:$C$297, A21), ""), "")</f>
        <v>3.8</v>
      </c>
      <c r="N21" s="7">
        <f>IF(D21&gt;0, IFERROR(AVERAGEIFS('Detalle individual'!$I$5:$I$297, 'Detalle individual'!$C$5:$C$297, A21), ""), "")</f>
        <v>6.54523809170238</v>
      </c>
    </row>
    <row r="22">
      <c r="A22" s="5" t="inlineStr">
        <is>
          <t>DEPARTAMENTO DE CONTABILIDAD</t>
        </is>
      </c>
      <c r="B22" s="5" t="inlineStr">
        <is>
          <t>Gerencia de Finanzas y Planificación</t>
        </is>
      </c>
      <c r="C22" s="8">
        <f>COUNTIF('Detalle individual'!$C$5:$C$297, A22)</f>
        <v>13</v>
      </c>
      <c r="D22" s="8">
        <f>COUNTIFS('Detalle individual'!$C$5:$C$297, A22, 'Detalle individual'!$F$5:$F$297, "Completado")</f>
        <v>10</v>
      </c>
      <c r="E22" s="8">
        <f>C22-D22</f>
        <v>3</v>
      </c>
      <c r="F22" s="9">
        <f>IF(C22&gt;0, D22/C22, 0)</f>
        <v>0.769230769230769</v>
      </c>
      <c r="G22" s="4" t="str">
        <f>IF(AND(C22&gt;0, D22=C22), "Completo", "Pendiente")</f>
        <v>Pendiente</v>
      </c>
      <c r="H22" s="7">
        <f>IF(D22&gt;0, IFERROR(AVERAGEIFS('Detalle individual'!$J$5:$J$297, 'Detalle individual'!$C$5:$C$297, A22), ""), "")</f>
        <v>97.5</v>
      </c>
      <c r="I22" s="6">
        <f>IF(D22&gt;0, IFERROR(_xlfn.MAXIFS('Detalle individual'!$J$5:$J$297, 'Detalle individual'!$C$5:$C$297, A22), ""), "")</f>
        <v>100</v>
      </c>
      <c r="J22" s="6">
        <f>IF(D22&gt;0, IFERROR(_xlfn.MINIFS('Detalle individual'!$J$5:$J$297, 'Detalle individual'!$C$5:$C$297, A22), ""), "")</f>
        <v>85</v>
      </c>
      <c r="K22" s="25">
        <f>IF(D22&gt;0, IFERROR(_xlfn.MINIFS('Detalle individual'!$G$5:$G$297, 'Detalle individual'!$C$5:$C$297, A22), ""), "")</f>
        <v>46296.61537037037</v>
      </c>
      <c r="L22" s="25">
        <f>IF(D22&gt;0, IFERROR(_xlfn.MAXIFS('Detalle individual'!$H$5:$H$297, 'Detalle individual'!$C$5:$C$297, A22), ""), "")</f>
        <v>46309.386967592596</v>
      </c>
      <c r="M22" s="7">
        <f>IF(D22&gt;0, IFERROR(_xlfn.MINIFS('Detalle individual'!$I$5:$I$297, 'Detalle individual'!$C$5:$C$297, A22), ""), "")</f>
        <v>2.45</v>
      </c>
      <c r="N22" s="7">
        <f>IF(D22&gt;0, IFERROR(AVERAGEIFS('Detalle individual'!$I$5:$I$297, 'Detalle individual'!$C$5:$C$297, A22), ""), "")</f>
        <v>8.27166666899333</v>
      </c>
    </row>
    <row r="23">
      <c r="A23" s="5" t="inlineStr">
        <is>
          <t xml:space="preserve">DEPARTAMENTO DE CREDITOS </t>
        </is>
      </c>
      <c r="B23" s="5" t="inlineStr">
        <is>
          <t>Gerencia de Negocios</t>
        </is>
      </c>
      <c r="C23" s="8">
        <f>COUNTIF('Detalle individual'!$C$5:$C$297, A23)</f>
        <v>13</v>
      </c>
      <c r="D23" s="8">
        <f>COUNTIFS('Detalle individual'!$C$5:$C$297, A23, 'Detalle individual'!$F$5:$F$297, "Completado")</f>
        <v>13</v>
      </c>
      <c r="E23" s="8">
        <f>C23-D23</f>
        <v>0</v>
      </c>
      <c r="F23" s="9">
        <f>IF(C23&gt;0, D23/C23, 0)</f>
        <v>1</v>
      </c>
      <c r="G23" s="4" t="str">
        <f>IF(AND(C23&gt;0, D23=C23), "Completo", "Pendiente")</f>
        <v>Completo</v>
      </c>
      <c r="H23" s="7">
        <f>IF(D23&gt;0, IFERROR(AVERAGEIFS('Detalle individual'!$J$5:$J$297, 'Detalle individual'!$C$5:$C$297, A23), ""), "")</f>
        <v>98.4615384615385</v>
      </c>
      <c r="I23" s="6">
        <f>IF(D23&gt;0, IFERROR(_xlfn.MAXIFS('Detalle individual'!$J$5:$J$297, 'Detalle individual'!$C$5:$C$297, A23), ""), "")</f>
        <v>100</v>
      </c>
      <c r="J23" s="6">
        <f>IF(D23&gt;0, IFERROR(_xlfn.MINIFS('Detalle individual'!$J$5:$J$297, 'Detalle individual'!$C$5:$C$297, A23), ""), "")</f>
        <v>90</v>
      </c>
      <c r="K23" s="25">
        <f>IF(D23&gt;0, IFERROR(_xlfn.MINIFS('Detalle individual'!$G$5:$G$297, 'Detalle individual'!$C$5:$C$297, A23), ""), "")</f>
        <v>46297.64716435185</v>
      </c>
      <c r="L23" s="25">
        <f>IF(D23&gt;0, IFERROR(_xlfn.MAXIFS('Detalle individual'!$H$5:$H$297, 'Detalle individual'!$C$5:$C$297, A23), ""), "")</f>
        <v>46309.40052083333</v>
      </c>
      <c r="M23" s="7">
        <f>IF(D23&gt;0, IFERROR(_xlfn.MINIFS('Detalle individual'!$I$5:$I$297, 'Detalle individual'!$C$5:$C$297, A23), ""), "")</f>
        <v>4.8</v>
      </c>
      <c r="N23" s="7">
        <f>IF(D23&gt;0, IFERROR(AVERAGEIFS('Detalle individual'!$I$5:$I$297, 'Detalle individual'!$C$5:$C$297, A23), ""), "")</f>
        <v>9.97435897435897</v>
      </c>
    </row>
    <row r="24">
      <c r="A24" s="5" t="inlineStr">
        <is>
          <t>DEPARTAMENTO DE CUSTODIA DE GARANTÍA Y VALORES</t>
        </is>
      </c>
      <c r="B24" s="5" t="inlineStr">
        <is>
          <t>Gerencia Administrativa</t>
        </is>
      </c>
      <c r="C24" s="8">
        <f>COUNTIF('Detalle individual'!$C$5:$C$297, A24)</f>
        <v>6</v>
      </c>
      <c r="D24" s="8">
        <f>COUNTIFS('Detalle individual'!$C$5:$C$297, A24, 'Detalle individual'!$F$5:$F$297, "Completado")</f>
        <v>6</v>
      </c>
      <c r="E24" s="8">
        <f>C24-D24</f>
        <v>0</v>
      </c>
      <c r="F24" s="9">
        <f>IF(C24&gt;0, D24/C24, 0)</f>
        <v>1</v>
      </c>
      <c r="G24" s="4" t="str">
        <f>IF(AND(C24&gt;0, D24=C24), "Completo", "Pendiente")</f>
        <v>Completo</v>
      </c>
      <c r="H24" s="7">
        <f>IF(D24&gt;0, IFERROR(AVERAGEIFS('Detalle individual'!$J$5:$J$297, 'Detalle individual'!$C$5:$C$297, A24), ""), "")</f>
        <v>100</v>
      </c>
      <c r="I24" s="6">
        <f>IF(D24&gt;0, IFERROR(_xlfn.MAXIFS('Detalle individual'!$J$5:$J$297, 'Detalle individual'!$C$5:$C$297, A24), ""), "")</f>
        <v>100</v>
      </c>
      <c r="J24" s="6">
        <f>IF(D24&gt;0, IFERROR(_xlfn.MINIFS('Detalle individual'!$J$5:$J$297, 'Detalle individual'!$C$5:$C$297, A24), ""), "")</f>
        <v>100</v>
      </c>
      <c r="K24" s="25">
        <f>IF(D24&gt;0, IFERROR(_xlfn.MINIFS('Detalle individual'!$G$5:$G$297, 'Detalle individual'!$C$5:$C$297, A24), ""), "")</f>
        <v>46298.500914351855</v>
      </c>
      <c r="L24" s="25">
        <f>IF(D24&gt;0, IFERROR(_xlfn.MAXIFS('Detalle individual'!$H$5:$H$297, 'Detalle individual'!$C$5:$C$297, A24), ""), "")</f>
        <v>46304.70379629629</v>
      </c>
      <c r="M24" s="7">
        <f>IF(D24&gt;0, IFERROR(_xlfn.MINIFS('Detalle individual'!$I$5:$I$297, 'Detalle individual'!$C$5:$C$297, A24), ""), "")</f>
        <v>2.11666666666667</v>
      </c>
      <c r="N24" s="7">
        <f>IF(D24&gt;0, IFERROR(AVERAGEIFS('Detalle individual'!$I$5:$I$297, 'Detalle individual'!$C$5:$C$297, A24), ""), "")</f>
        <v>9.34444444444445</v>
      </c>
    </row>
    <row r="25">
      <c r="A25" s="5" t="inlineStr">
        <is>
          <t>DEPARTAMENTO DE DEPOSITOS</t>
        </is>
      </c>
      <c r="B25" s="5" t="inlineStr">
        <is>
          <t>Gerencia de Operaciones</t>
        </is>
      </c>
      <c r="C25" s="8">
        <f>COUNTIF('Detalle individual'!$C$5:$C$297, A25)</f>
        <v>4</v>
      </c>
      <c r="D25" s="8">
        <f>COUNTIFS('Detalle individual'!$C$5:$C$297, A25, 'Detalle individual'!$F$5:$F$297, "Completado")</f>
        <v>4</v>
      </c>
      <c r="E25" s="8">
        <f>C25-D25</f>
        <v>0</v>
      </c>
      <c r="F25" s="9">
        <f>IF(C25&gt;0, D25/C25, 0)</f>
        <v>1</v>
      </c>
      <c r="G25" s="4" t="str">
        <f>IF(AND(C25&gt;0, D25=C25), "Completo", "Pendiente")</f>
        <v>Completo</v>
      </c>
      <c r="H25" s="7">
        <f>IF(D25&gt;0, IFERROR(AVERAGEIFS('Detalle individual'!$J$5:$J$297, 'Detalle individual'!$C$5:$C$297, A25), ""), "")</f>
        <v>98.75</v>
      </c>
      <c r="I25" s="6">
        <f>IF(D25&gt;0, IFERROR(_xlfn.MAXIFS('Detalle individual'!$J$5:$J$297, 'Detalle individual'!$C$5:$C$297, A25), ""), "")</f>
        <v>100</v>
      </c>
      <c r="J25" s="6">
        <f>IF(D25&gt;0, IFERROR(_xlfn.MINIFS('Detalle individual'!$J$5:$J$297, 'Detalle individual'!$C$5:$C$297, A25), ""), "")</f>
        <v>95</v>
      </c>
      <c r="K25" s="25">
        <f>IF(D25&gt;0, IFERROR(_xlfn.MINIFS('Detalle individual'!$G$5:$G$297, 'Detalle individual'!$C$5:$C$297, A25), ""), "")</f>
        <v>46296.56951388889</v>
      </c>
      <c r="L25" s="25">
        <f>IF(D25&gt;0, IFERROR(_xlfn.MAXIFS('Detalle individual'!$H$5:$H$297, 'Detalle individual'!$C$5:$C$297, A25), ""), "")</f>
        <v>46305.513344907406</v>
      </c>
      <c r="M25" s="7">
        <f>IF(D25&gt;0, IFERROR(_xlfn.MINIFS('Detalle individual'!$I$5:$I$297, 'Detalle individual'!$C$5:$C$297, A25), ""), "")</f>
        <v>3.35</v>
      </c>
      <c r="N25" s="7">
        <f>IF(D25&gt;0, IFERROR(AVERAGEIFS('Detalle individual'!$I$5:$I$297, 'Detalle individual'!$C$5:$C$297, A25), ""), "")</f>
        <v>8.05833333333333</v>
      </c>
    </row>
    <row r="26">
      <c r="A26" s="5" t="inlineStr">
        <is>
          <t>DEPARTAMENTO DE EDUCACION Y RESPONSABILIDAD SOCIAL</t>
        </is>
      </c>
      <c r="B26" s="5" t="inlineStr">
        <is>
          <t>Gerencia Administrativa</t>
        </is>
      </c>
      <c r="C26" s="8">
        <f>COUNTIF('Detalle individual'!$C$5:$C$297, A26)</f>
        <v>3</v>
      </c>
      <c r="D26" s="8">
        <f>COUNTIFS('Detalle individual'!$C$5:$C$297, A26, 'Detalle individual'!$F$5:$F$297, "Completado")</f>
        <v>1</v>
      </c>
      <c r="E26" s="8">
        <f>C26-D26</f>
        <v>2</v>
      </c>
      <c r="F26" s="9">
        <f>IF(C26&gt;0, D26/C26, 0)</f>
        <v>0.333333333333333</v>
      </c>
      <c r="G26" s="4" t="str">
        <f>IF(AND(C26&gt;0, D26=C26), "Completo", "Pendiente")</f>
        <v>Pendiente</v>
      </c>
      <c r="H26" s="7">
        <f>IF(D26&gt;0, IFERROR(AVERAGEIFS('Detalle individual'!$J$5:$J$297, 'Detalle individual'!$C$5:$C$297, A26), ""), "")</f>
        <v>100</v>
      </c>
      <c r="I26" s="6">
        <f>IF(D26&gt;0, IFERROR(_xlfn.MAXIFS('Detalle individual'!$J$5:$J$297, 'Detalle individual'!$C$5:$C$297, A26), ""), "")</f>
        <v>100</v>
      </c>
      <c r="J26" s="6">
        <f>IF(D26&gt;0, IFERROR(_xlfn.MINIFS('Detalle individual'!$J$5:$J$297, 'Detalle individual'!$C$5:$C$297, A26), ""), "")</f>
        <v>100</v>
      </c>
      <c r="K26" s="25">
        <f>IF(D26&gt;0, IFERROR(_xlfn.MINIFS('Detalle individual'!$G$5:$G$297, 'Detalle individual'!$C$5:$C$297, A26), ""), "")</f>
        <v>46301.62170138889</v>
      </c>
      <c r="L26" s="25">
        <f>IF(D26&gt;0, IFERROR(_xlfn.MAXIFS('Detalle individual'!$H$5:$H$297, 'Detalle individual'!$C$5:$C$297, A26), ""), "")</f>
        <v>46301.64635416667</v>
      </c>
      <c r="M26" s="7">
        <f>IF(D26&gt;0, IFERROR(_xlfn.MINIFS('Detalle individual'!$I$5:$I$297, 'Detalle individual'!$C$5:$C$297, A26), ""), "")</f>
        <v>35.5</v>
      </c>
      <c r="N26" s="7">
        <f>IF(D26&gt;0, IFERROR(AVERAGEIFS('Detalle individual'!$I$5:$I$297, 'Detalle individual'!$C$5:$C$297, A26), ""), "")</f>
        <v>35.5</v>
      </c>
    </row>
    <row r="27">
      <c r="A27" s="5" t="inlineStr">
        <is>
          <t xml:space="preserve">DEPARTAMENTO DE MERCADEO </t>
        </is>
      </c>
      <c r="B27" s="5" t="inlineStr">
        <is>
          <t>Gerencia de Negocios</t>
        </is>
      </c>
      <c r="C27" s="8">
        <f>COUNTIF('Detalle individual'!$C$5:$C$297, A27)</f>
        <v>7</v>
      </c>
      <c r="D27" s="8">
        <f>COUNTIFS('Detalle individual'!$C$5:$C$297, A27, 'Detalle individual'!$F$5:$F$297, "Completado")</f>
        <v>2</v>
      </c>
      <c r="E27" s="8">
        <f>C27-D27</f>
        <v>5</v>
      </c>
      <c r="F27" s="9">
        <f>IF(C27&gt;0, D27/C27, 0)</f>
        <v>0.285714285714286</v>
      </c>
      <c r="G27" s="4" t="str">
        <f>IF(AND(C27&gt;0, D27=C27), "Completo", "Pendiente")</f>
        <v>Pendiente</v>
      </c>
      <c r="H27" s="7">
        <f>IF(D27&gt;0, IFERROR(AVERAGEIFS('Detalle individual'!$J$5:$J$297, 'Detalle individual'!$C$5:$C$297, A27), ""), "")</f>
        <v>97.5</v>
      </c>
      <c r="I27" s="6">
        <f>IF(D27&gt;0, IFERROR(_xlfn.MAXIFS('Detalle individual'!$J$5:$J$297, 'Detalle individual'!$C$5:$C$297, A27), ""), "")</f>
        <v>100</v>
      </c>
      <c r="J27" s="6">
        <f>IF(D27&gt;0, IFERROR(_xlfn.MINIFS('Detalle individual'!$J$5:$J$297, 'Detalle individual'!$C$5:$C$297, A27), ""), "")</f>
        <v>95</v>
      </c>
      <c r="K27" s="25">
        <f>IF(D27&gt;0, IFERROR(_xlfn.MINIFS('Detalle individual'!$G$5:$G$297, 'Detalle individual'!$C$5:$C$297, A27), ""), "")</f>
        <v>46301.61615740741</v>
      </c>
      <c r="L27" s="25">
        <f>IF(D27&gt;0, IFERROR(_xlfn.MAXIFS('Detalle individual'!$H$5:$H$297, 'Detalle individual'!$C$5:$C$297, A27), ""), "")</f>
        <v>46308.39677083334</v>
      </c>
      <c r="M27" s="7">
        <f>IF(D27&gt;0, IFERROR(_xlfn.MINIFS('Detalle individual'!$I$5:$I$297, 'Detalle individual'!$C$5:$C$297, A27), ""), "")</f>
        <v>15.55</v>
      </c>
      <c r="N27" s="7">
        <f>IF(D27&gt;0, IFERROR(AVERAGEIFS('Detalle individual'!$I$5:$I$297, 'Detalle individual'!$C$5:$C$297, A27), ""), "")</f>
        <v>25.85</v>
      </c>
    </row>
    <row r="28">
      <c r="A28" s="5" t="inlineStr">
        <is>
          <t>DEPARTAMENTO DE OPERACIONES Y SOPORTE TECNICO</t>
        </is>
      </c>
      <c r="B28" s="5" t="inlineStr">
        <is>
          <t>Gerencia de Sistemas</t>
        </is>
      </c>
      <c r="C28" s="8">
        <f>COUNTIF('Detalle individual'!$C$5:$C$297, A28)</f>
        <v>7</v>
      </c>
      <c r="D28" s="8">
        <f>COUNTIFS('Detalle individual'!$C$5:$C$297, A28, 'Detalle individual'!$F$5:$F$297, "Completado")</f>
        <v>6</v>
      </c>
      <c r="E28" s="8">
        <f>C28-D28</f>
        <v>1</v>
      </c>
      <c r="F28" s="9">
        <f>IF(C28&gt;0, D28/C28, 0)</f>
        <v>0.857142857142857</v>
      </c>
      <c r="G28" s="4" t="str">
        <f>IF(AND(C28&gt;0, D28=C28), "Completo", "Pendiente")</f>
        <v>Pendiente</v>
      </c>
      <c r="H28" s="7">
        <f>IF(D28&gt;0, IFERROR(AVERAGEIFS('Detalle individual'!$J$5:$J$297, 'Detalle individual'!$C$5:$C$297, A28), ""), "")</f>
        <v>100</v>
      </c>
      <c r="I28" s="6">
        <f>IF(D28&gt;0, IFERROR(_xlfn.MAXIFS('Detalle individual'!$J$5:$J$297, 'Detalle individual'!$C$5:$C$297, A28), ""), "")</f>
        <v>100</v>
      </c>
      <c r="J28" s="6">
        <f>IF(D28&gt;0, IFERROR(_xlfn.MINIFS('Detalle individual'!$J$5:$J$297, 'Detalle individual'!$C$5:$C$297, A28), ""), "")</f>
        <v>100</v>
      </c>
      <c r="K28" s="25">
        <f>IF(D28&gt;0, IFERROR(_xlfn.MINIFS('Detalle individual'!$G$5:$G$297, 'Detalle individual'!$C$5:$C$297, A28), ""), "")</f>
        <v>46300.46083333333</v>
      </c>
      <c r="L28" s="25">
        <f>IF(D28&gt;0, IFERROR(_xlfn.MAXIFS('Detalle individual'!$H$5:$H$297, 'Detalle individual'!$C$5:$C$297, A28), ""), "")</f>
        <v>46302.441828703704</v>
      </c>
      <c r="M28" s="7">
        <f>IF(D28&gt;0, IFERROR(_xlfn.MINIFS('Detalle individual'!$I$5:$I$297, 'Detalle individual'!$C$5:$C$297, A28), ""), "")</f>
        <v>3.16666666666667</v>
      </c>
      <c r="N28" s="7">
        <f>IF(D28&gt;0, IFERROR(AVERAGEIFS('Detalle individual'!$I$5:$I$297, 'Detalle individual'!$C$5:$C$297, A28), ""), "")</f>
        <v>16.5583333333333</v>
      </c>
    </row>
    <row r="29">
      <c r="A29" s="5" t="inlineStr">
        <is>
          <t>DEPARTAMENTO DE PLANIFICACIÓN Y ANALISIS</t>
        </is>
      </c>
      <c r="B29" s="5" t="inlineStr">
        <is>
          <t>Gerencia de Finanzas y Planificación</t>
        </is>
      </c>
      <c r="C29" s="8">
        <f>COUNTIF('Detalle individual'!$C$5:$C$297, A29)</f>
        <v>3</v>
      </c>
      <c r="D29" s="8">
        <f>COUNTIFS('Detalle individual'!$C$5:$C$297, A29, 'Detalle individual'!$F$5:$F$297, "Completado")</f>
        <v>2</v>
      </c>
      <c r="E29" s="8">
        <f>C29-D29</f>
        <v>1</v>
      </c>
      <c r="F29" s="9">
        <f>IF(C29&gt;0, D29/C29, 0)</f>
        <v>0.666666666666667</v>
      </c>
      <c r="G29" s="4" t="str">
        <f>IF(AND(C29&gt;0, D29=C29), "Completo", "Pendiente")</f>
        <v>Pendiente</v>
      </c>
      <c r="H29" s="7">
        <f>IF(D29&gt;0, IFERROR(AVERAGEIFS('Detalle individual'!$J$5:$J$297, 'Detalle individual'!$C$5:$C$297, A29), ""), "")</f>
        <v>100</v>
      </c>
      <c r="I29" s="6">
        <f>IF(D29&gt;0, IFERROR(_xlfn.MAXIFS('Detalle individual'!$J$5:$J$297, 'Detalle individual'!$C$5:$C$297, A29), ""), "")</f>
        <v>100</v>
      </c>
      <c r="J29" s="6">
        <f>IF(D29&gt;0, IFERROR(_xlfn.MINIFS('Detalle individual'!$J$5:$J$297, 'Detalle individual'!$C$5:$C$297, A29), ""), "")</f>
        <v>100</v>
      </c>
      <c r="K29" s="25">
        <f>IF(D29&gt;0, IFERROR(_xlfn.MINIFS('Detalle individual'!$G$5:$G$297, 'Detalle individual'!$C$5:$C$297, A29), ""), "")</f>
        <v>46305.5291087963</v>
      </c>
      <c r="L29" s="25">
        <f>IF(D29&gt;0, IFERROR(_xlfn.MAXIFS('Detalle individual'!$H$5:$H$297, 'Detalle individual'!$C$5:$C$297, A29), ""), "")</f>
        <v>46307.665983796294</v>
      </c>
      <c r="M29" s="7">
        <f>IF(D29&gt;0, IFERROR(_xlfn.MINIFS('Detalle individual'!$I$5:$I$297, 'Detalle individual'!$C$5:$C$297, A29), ""), "")</f>
        <v>3.85</v>
      </c>
      <c r="N29" s="7">
        <f>IF(D29&gt;0, IFERROR(AVERAGEIFS('Detalle individual'!$I$5:$I$297, 'Detalle individual'!$C$5:$C$297, A29), ""), "")</f>
        <v>6.10833333333333</v>
      </c>
    </row>
    <row r="30">
      <c r="A30" s="5" t="inlineStr">
        <is>
          <t>DEPARTAMENTO DE PROCESOS</t>
        </is>
      </c>
      <c r="B30" s="5" t="inlineStr">
        <is>
          <t>Gerencia General</t>
        </is>
      </c>
      <c r="C30" s="8">
        <f>COUNTIF('Detalle individual'!$C$5:$C$297, A30)</f>
        <v>3</v>
      </c>
      <c r="D30" s="8">
        <f>COUNTIFS('Detalle individual'!$C$5:$C$297, A30, 'Detalle individual'!$F$5:$F$297, "Completado")</f>
        <v>3</v>
      </c>
      <c r="E30" s="8">
        <f>C30-D30</f>
        <v>0</v>
      </c>
      <c r="F30" s="9">
        <f>IF(C30&gt;0, D30/C30, 0)</f>
        <v>1</v>
      </c>
      <c r="G30" s="4" t="str">
        <f>IF(AND(C30&gt;0, D30=C30), "Completo", "Pendiente")</f>
        <v>Completo</v>
      </c>
      <c r="H30" s="7">
        <f>IF(D30&gt;0, IFERROR(AVERAGEIFS('Detalle individual'!$J$5:$J$297, 'Detalle individual'!$C$5:$C$297, A30), ""), "")</f>
        <v>100</v>
      </c>
      <c r="I30" s="6">
        <f>IF(D30&gt;0, IFERROR(_xlfn.MAXIFS('Detalle individual'!$J$5:$J$297, 'Detalle individual'!$C$5:$C$297, A30), ""), "")</f>
        <v>100</v>
      </c>
      <c r="J30" s="6">
        <f>IF(D30&gt;0, IFERROR(_xlfn.MINIFS('Detalle individual'!$J$5:$J$297, 'Detalle individual'!$C$5:$C$297, A30), ""), "")</f>
        <v>100</v>
      </c>
      <c r="K30" s="25">
        <f>IF(D30&gt;0, IFERROR(_xlfn.MINIFS('Detalle individual'!$G$5:$G$297, 'Detalle individual'!$C$5:$C$297, A30), ""), "")</f>
        <v>46296.436574074076</v>
      </c>
      <c r="L30" s="25">
        <f>IF(D30&gt;0, IFERROR(_xlfn.MAXIFS('Detalle individual'!$H$5:$H$297, 'Detalle individual'!$C$5:$C$297, A30), ""), "")</f>
        <v>46296.44149305556</v>
      </c>
      <c r="M30" s="7">
        <f>IF(D30&gt;0, IFERROR(_xlfn.MINIFS('Detalle individual'!$I$5:$I$297, 'Detalle individual'!$C$5:$C$297, A30), ""), "")</f>
        <v>6.11666666666667</v>
      </c>
      <c r="N30" s="7">
        <f>IF(D30&gt;0, IFERROR(AVERAGEIFS('Detalle individual'!$I$5:$I$297, 'Detalle individual'!$C$5:$C$297, A30), ""), "")</f>
        <v>6.66666666666667</v>
      </c>
    </row>
    <row r="31">
      <c r="A31" s="5" t="inlineStr">
        <is>
          <t>DEPARTAMENTO DE SEGURIDAD</t>
        </is>
      </c>
      <c r="B31" s="5" t="inlineStr">
        <is>
          <t>Gerencia Administrativa</t>
        </is>
      </c>
      <c r="C31" s="8">
        <f>COUNTIF('Detalle individual'!$C$5:$C$297, A31)</f>
        <v>2</v>
      </c>
      <c r="D31" s="8">
        <f>COUNTIFS('Detalle individual'!$C$5:$C$297, A31, 'Detalle individual'!$F$5:$F$297, "Completado")</f>
        <v>2</v>
      </c>
      <c r="E31" s="8">
        <f>C31-D31</f>
        <v>0</v>
      </c>
      <c r="F31" s="9">
        <f>IF(C31&gt;0, D31/C31, 0)</f>
        <v>1</v>
      </c>
      <c r="G31" s="4" t="str">
        <f>IF(AND(C31&gt;0, D31=C31), "Completo", "Pendiente")</f>
        <v>Completo</v>
      </c>
      <c r="H31" s="7">
        <f>IF(D31&gt;0, IFERROR(AVERAGEIFS('Detalle individual'!$J$5:$J$297, 'Detalle individual'!$C$5:$C$297, A31), ""), "")</f>
        <v>95</v>
      </c>
      <c r="I31" s="6">
        <f>IF(D31&gt;0, IFERROR(_xlfn.MAXIFS('Detalle individual'!$J$5:$J$297, 'Detalle individual'!$C$5:$C$297, A31), ""), "")</f>
        <v>100</v>
      </c>
      <c r="J31" s="6">
        <f>IF(D31&gt;0, IFERROR(_xlfn.MINIFS('Detalle individual'!$J$5:$J$297, 'Detalle individual'!$C$5:$C$297, A31), ""), "")</f>
        <v>90</v>
      </c>
      <c r="K31" s="25">
        <f>IF(D31&gt;0, IFERROR(_xlfn.MINIFS('Detalle individual'!$G$5:$G$297, 'Detalle individual'!$C$5:$C$297, A31), ""), "")</f>
        <v>46296.454039351855</v>
      </c>
      <c r="L31" s="25">
        <f>IF(D31&gt;0, IFERROR(_xlfn.MAXIFS('Detalle individual'!$H$5:$H$297, 'Detalle individual'!$C$5:$C$297, A31), ""), "")</f>
        <v>46296.46072916667</v>
      </c>
      <c r="M31" s="7">
        <f>IF(D31&gt;0, IFERROR(_xlfn.MINIFS('Detalle individual'!$I$5:$I$297, 'Detalle individual'!$C$5:$C$297, A31), ""), "")</f>
        <v>3.3</v>
      </c>
      <c r="N31" s="7">
        <f>IF(D31&gt;0, IFERROR(AVERAGEIFS('Detalle individual'!$I$5:$I$297, 'Detalle individual'!$C$5:$C$297, A31), ""), "")</f>
        <v>4.1</v>
      </c>
    </row>
    <row r="32">
      <c r="A32" s="5" t="inlineStr">
        <is>
          <t xml:space="preserve">DEPARTAMENTO DE SEGUROS </t>
        </is>
      </c>
      <c r="B32" s="5" t="inlineStr">
        <is>
          <t>Gerencia de Negocios</t>
        </is>
      </c>
      <c r="C32" s="8">
        <f>COUNTIF('Detalle individual'!$C$5:$C$297, A32)</f>
        <v>11</v>
      </c>
      <c r="D32" s="8">
        <f>COUNTIFS('Detalle individual'!$C$5:$C$297, A32, 'Detalle individual'!$F$5:$F$297, "Completado")</f>
        <v>10</v>
      </c>
      <c r="E32" s="8">
        <f>C32-D32</f>
        <v>1</v>
      </c>
      <c r="F32" s="9">
        <f>IF(C32&gt;0, D32/C32, 0)</f>
        <v>0.909090909090909</v>
      </c>
      <c r="G32" s="4" t="str">
        <f>IF(AND(C32&gt;0, D32=C32), "Completo", "Pendiente")</f>
        <v>Pendiente</v>
      </c>
      <c r="H32" s="7">
        <f>IF(D32&gt;0, IFERROR(AVERAGEIFS('Detalle individual'!$J$5:$J$297, 'Detalle individual'!$C$5:$C$297, A32), ""), "")</f>
        <v>97</v>
      </c>
      <c r="I32" s="6">
        <f>IF(D32&gt;0, IFERROR(_xlfn.MAXIFS('Detalle individual'!$J$5:$J$297, 'Detalle individual'!$C$5:$C$297, A32), ""), "")</f>
        <v>100</v>
      </c>
      <c r="J32" s="6">
        <f>IF(D32&gt;0, IFERROR(_xlfn.MINIFS('Detalle individual'!$J$5:$J$297, 'Detalle individual'!$C$5:$C$297, A32), ""), "")</f>
        <v>90</v>
      </c>
      <c r="K32" s="25">
        <f>IF(D32&gt;0, IFERROR(_xlfn.MINIFS('Detalle individual'!$G$5:$G$297, 'Detalle individual'!$C$5:$C$297, A32), ""), "")</f>
        <v>46296.426412037035</v>
      </c>
      <c r="L32" s="25">
        <f>IF(D32&gt;0, IFERROR(_xlfn.MAXIFS('Detalle individual'!$H$5:$H$297, 'Detalle individual'!$C$5:$C$297, A32), ""), "")</f>
        <v>46309.639328703706</v>
      </c>
      <c r="M32" s="7">
        <f>IF(D32&gt;0, IFERROR(_xlfn.MINIFS('Detalle individual'!$I$5:$I$297, 'Detalle individual'!$C$5:$C$297, A32), ""), "")</f>
        <v>4.15</v>
      </c>
      <c r="N32" s="7">
        <f>IF(D32&gt;0, IFERROR(AVERAGEIFS('Detalle individual'!$I$5:$I$297, 'Detalle individual'!$C$5:$C$297, A32), ""), "")</f>
        <v>15.0366666683583</v>
      </c>
    </row>
    <row r="33">
      <c r="A33" s="5" t="inlineStr">
        <is>
          <t>DEPARTAMENTO DE SERVICIOS GENERALES</t>
        </is>
      </c>
      <c r="B33" s="5" t="inlineStr">
        <is>
          <t>Gerencia Administrativa</t>
        </is>
      </c>
      <c r="C33" s="8">
        <f>COUNTIF('Detalle individual'!$C$5:$C$297, A33)</f>
        <v>17</v>
      </c>
      <c r="D33" s="8">
        <f>COUNTIFS('Detalle individual'!$C$5:$C$297, A33, 'Detalle individual'!$F$5:$F$297, "Completado")</f>
        <v>17</v>
      </c>
      <c r="E33" s="8">
        <f>C33-D33</f>
        <v>0</v>
      </c>
      <c r="F33" s="9">
        <f>IF(C33&gt;0, D33/C33, 0)</f>
        <v>1</v>
      </c>
      <c r="G33" s="4" t="str">
        <f>IF(AND(C33&gt;0, D33=C33), "Completo", "Pendiente")</f>
        <v>Completo</v>
      </c>
      <c r="H33" s="7">
        <f>IF(D33&gt;0, IFERROR(AVERAGEIFS('Detalle individual'!$J$5:$J$297, 'Detalle individual'!$C$5:$C$297, A33), ""), "")</f>
        <v>89.7058823529412</v>
      </c>
      <c r="I33" s="6">
        <f>IF(D33&gt;0, IFERROR(_xlfn.MAXIFS('Detalle individual'!$J$5:$J$297, 'Detalle individual'!$C$5:$C$297, A33), ""), "")</f>
        <v>100</v>
      </c>
      <c r="J33" s="6">
        <f>IF(D33&gt;0, IFERROR(_xlfn.MINIFS('Detalle individual'!$J$5:$J$297, 'Detalle individual'!$C$5:$C$297, A33), ""), "")</f>
        <v>60</v>
      </c>
      <c r="K33" s="25">
        <f>IF(D33&gt;0, IFERROR(_xlfn.MINIFS('Detalle individual'!$G$5:$G$297, 'Detalle individual'!$C$5:$C$297, A33), ""), "")</f>
        <v>46297.771944444445</v>
      </c>
      <c r="L33" s="25">
        <f>IF(D33&gt;0, IFERROR(_xlfn.MAXIFS('Detalle individual'!$H$5:$H$297, 'Detalle individual'!$C$5:$C$297, A33), ""), "")</f>
        <v>46307.402291666665</v>
      </c>
      <c r="M33" s="7">
        <f>IF(D33&gt;0, IFERROR(_xlfn.MINIFS('Detalle individual'!$I$5:$I$297, 'Detalle individual'!$C$5:$C$297, A33), ""), "")</f>
        <v>2.38333333333333</v>
      </c>
      <c r="N33" s="7">
        <f>IF(D33&gt;0, IFERROR(AVERAGEIFS('Detalle individual'!$I$5:$I$297, 'Detalle individual'!$C$5:$C$297, A33), ""), "")</f>
        <v>12.2882352941176</v>
      </c>
    </row>
    <row r="34">
      <c r="A34" s="5" t="inlineStr">
        <is>
          <t>DEPARTAMENTO DE SOLUCIONES FINANCIERAS</t>
        </is>
      </c>
      <c r="B34" s="5" t="inlineStr">
        <is>
          <t>Gerencia de Operaciones</t>
        </is>
      </c>
      <c r="C34" s="8">
        <f>COUNTIF('Detalle individual'!$C$5:$C$297, A34)</f>
        <v>10</v>
      </c>
      <c r="D34" s="8">
        <f>COUNTIFS('Detalle individual'!$C$5:$C$297, A34, 'Detalle individual'!$F$5:$F$297, "Completado")</f>
        <v>9</v>
      </c>
      <c r="E34" s="8">
        <f>C34-D34</f>
        <v>1</v>
      </c>
      <c r="F34" s="9">
        <f>IF(C34&gt;0, D34/C34, 0)</f>
        <v>0.9</v>
      </c>
      <c r="G34" s="4" t="str">
        <f>IF(AND(C34&gt;0, D34=C34), "Completo", "Pendiente")</f>
        <v>Pendiente</v>
      </c>
      <c r="H34" s="7">
        <f>IF(D34&gt;0, IFERROR(AVERAGEIFS('Detalle individual'!$J$5:$J$297, 'Detalle individual'!$C$5:$C$297, A34), ""), "")</f>
        <v>87.7777777777778</v>
      </c>
      <c r="I34" s="6">
        <f>IF(D34&gt;0, IFERROR(_xlfn.MAXIFS('Detalle individual'!$J$5:$J$297, 'Detalle individual'!$C$5:$C$297, A34), ""), "")</f>
        <v>100</v>
      </c>
      <c r="J34" s="6">
        <f>IF(D34&gt;0, IFERROR(_xlfn.MINIFS('Detalle individual'!$J$5:$J$297, 'Detalle individual'!$C$5:$C$297, A34), ""), "")</f>
        <v>70</v>
      </c>
      <c r="K34" s="25">
        <f>IF(D34&gt;0, IFERROR(_xlfn.MINIFS('Detalle individual'!$G$5:$G$297, 'Detalle individual'!$C$5:$C$297, A34), ""), "")</f>
        <v>46304.373240740744</v>
      </c>
      <c r="L34" s="25">
        <f>IF(D34&gt;0, IFERROR(_xlfn.MAXIFS('Detalle individual'!$H$5:$H$297, 'Detalle individual'!$C$5:$C$297, A34), ""), "")</f>
        <v>46309.38841435185</v>
      </c>
      <c r="M34" s="7">
        <f>IF(D34&gt;0, IFERROR(_xlfn.MINIFS('Detalle individual'!$I$5:$I$297, 'Detalle individual'!$C$5:$C$297, A34), ""), "")</f>
        <v>3.03333333333333</v>
      </c>
      <c r="N34" s="7">
        <f>IF(D34&gt;0, IFERROR(AVERAGEIFS('Detalle individual'!$I$5:$I$297, 'Detalle individual'!$C$5:$C$297, A34), ""), "")</f>
        <v>10.3925925925926</v>
      </c>
    </row>
    <row r="35">
      <c r="A35" s="5" t="inlineStr">
        <is>
          <t>DEPARTAMENTO DE TALENTO HUMANO</t>
        </is>
      </c>
      <c r="B35" s="5" t="inlineStr">
        <is>
          <t>Gerencia Administrativa</t>
        </is>
      </c>
      <c r="C35" s="8">
        <f>COUNTIF('Detalle individual'!$C$5:$C$297, A35)</f>
        <v>3</v>
      </c>
      <c r="D35" s="8">
        <f>COUNTIFS('Detalle individual'!$C$5:$C$297, A35, 'Detalle individual'!$F$5:$F$297, "Completado")</f>
        <v>2</v>
      </c>
      <c r="E35" s="8">
        <f>C35-D35</f>
        <v>1</v>
      </c>
      <c r="F35" s="9">
        <f>IF(C35&gt;0, D35/C35, 0)</f>
        <v>0.666666666666667</v>
      </c>
      <c r="G35" s="4" t="str">
        <f>IF(AND(C35&gt;0, D35=C35), "Completo", "Pendiente")</f>
        <v>Pendiente</v>
      </c>
      <c r="H35" s="7">
        <f>IF(D35&gt;0, IFERROR(AVERAGEIFS('Detalle individual'!$J$5:$J$297, 'Detalle individual'!$C$5:$C$297, A35), ""), "")</f>
        <v>95</v>
      </c>
      <c r="I35" s="6">
        <f>IF(D35&gt;0, IFERROR(_xlfn.MAXIFS('Detalle individual'!$J$5:$J$297, 'Detalle individual'!$C$5:$C$297, A35), ""), "")</f>
        <v>100</v>
      </c>
      <c r="J35" s="6">
        <f>IF(D35&gt;0, IFERROR(_xlfn.MINIFS('Detalle individual'!$J$5:$J$297, 'Detalle individual'!$C$5:$C$297, A35), ""), "")</f>
        <v>90</v>
      </c>
      <c r="K35" s="25">
        <f>IF(D35&gt;0, IFERROR(_xlfn.MINIFS('Detalle individual'!$G$5:$G$297, 'Detalle individual'!$C$5:$C$297, A35), ""), "")</f>
        <v>46304.40207175926</v>
      </c>
      <c r="L35" s="25">
        <f>IF(D35&gt;0, IFERROR(_xlfn.MAXIFS('Detalle individual'!$H$5:$H$297, 'Detalle individual'!$C$5:$C$297, A35), ""), "")</f>
        <v>46304.52142361111</v>
      </c>
      <c r="M35" s="7">
        <f>IF(D35&gt;0, IFERROR(_xlfn.MINIFS('Detalle individual'!$I$5:$I$297, 'Detalle individual'!$C$5:$C$297, A35), ""), "")</f>
        <v>5.66666666666667</v>
      </c>
      <c r="N35" s="7">
        <f>IF(D35&gt;0, IFERROR(AVERAGEIFS('Detalle individual'!$I$5:$I$297, 'Detalle individual'!$C$5:$C$297, A35), ""), "")</f>
        <v>10.725</v>
      </c>
    </row>
    <row r="36">
      <c r="A36" s="5" t="inlineStr">
        <is>
          <t>DEPARTAMENTO DE TARJETA DE CREDITO Y DEBITO</t>
        </is>
      </c>
      <c r="B36" s="5" t="inlineStr">
        <is>
          <t>Gerencia de Operaciones</t>
        </is>
      </c>
      <c r="C36" s="8">
        <f>COUNTIF('Detalle individual'!$C$5:$C$297, A36)</f>
        <v>6</v>
      </c>
      <c r="D36" s="8">
        <f>COUNTIFS('Detalle individual'!$C$5:$C$297, A36, 'Detalle individual'!$F$5:$F$297, "Completado")</f>
        <v>4</v>
      </c>
      <c r="E36" s="8">
        <f>C36-D36</f>
        <v>2</v>
      </c>
      <c r="F36" s="9">
        <f>IF(C36&gt;0, D36/C36, 0)</f>
        <v>0.666666666666667</v>
      </c>
      <c r="G36" s="4" t="str">
        <f>IF(AND(C36&gt;0, D36=C36), "Completo", "Pendiente")</f>
        <v>Pendiente</v>
      </c>
      <c r="H36" s="7">
        <f>IF(D36&gt;0, IFERROR(AVERAGEIFS('Detalle individual'!$J$5:$J$297, 'Detalle individual'!$C$5:$C$297, A36), ""), "")</f>
        <v>98.75</v>
      </c>
      <c r="I36" s="6">
        <f>IF(D36&gt;0, IFERROR(_xlfn.MAXIFS('Detalle individual'!$J$5:$J$297, 'Detalle individual'!$C$5:$C$297, A36), ""), "")</f>
        <v>100</v>
      </c>
      <c r="J36" s="6">
        <f>IF(D36&gt;0, IFERROR(_xlfn.MINIFS('Detalle individual'!$J$5:$J$297, 'Detalle individual'!$C$5:$C$297, A36), ""), "")</f>
        <v>95</v>
      </c>
      <c r="K36" s="25">
        <f>IF(D36&gt;0, IFERROR(_xlfn.MINIFS('Detalle individual'!$G$5:$G$297, 'Detalle individual'!$C$5:$C$297, A36), ""), "")</f>
        <v>46296.646261574075</v>
      </c>
      <c r="L36" s="25">
        <f>IF(D36&gt;0, IFERROR(_xlfn.MAXIFS('Detalle individual'!$H$5:$H$297, 'Detalle individual'!$C$5:$C$297, A36), ""), "")</f>
        <v>46309.65164351852</v>
      </c>
      <c r="M36" s="7">
        <f>IF(D36&gt;0, IFERROR(_xlfn.MINIFS('Detalle individual'!$I$5:$I$297, 'Detalle individual'!$C$5:$C$297, A36), ""), "")</f>
        <v>1.68333333333333</v>
      </c>
      <c r="N36" s="7">
        <f>IF(D36&gt;0, IFERROR(AVERAGEIFS('Detalle individual'!$I$5:$I$297, 'Detalle individual'!$C$5:$C$297, A36), ""), "")</f>
        <v>8.14583333333333</v>
      </c>
    </row>
    <row r="37">
      <c r="A37" s="5" t="inlineStr">
        <is>
          <t>DEPARTAMENTO LEGAL</t>
        </is>
      </c>
      <c r="B37" s="5" t="inlineStr">
        <is>
          <t>Gerencia Legal y Cumplimiento Normativo</t>
        </is>
      </c>
      <c r="C37" s="8">
        <f>COUNTIF('Detalle individual'!$C$5:$C$297, A37)</f>
        <v>8</v>
      </c>
      <c r="D37" s="8">
        <f>COUNTIFS('Detalle individual'!$C$5:$C$297, A37, 'Detalle individual'!$F$5:$F$297, "Completado")</f>
        <v>8</v>
      </c>
      <c r="E37" s="8">
        <f>C37-D37</f>
        <v>0</v>
      </c>
      <c r="F37" s="9">
        <f>IF(C37&gt;0, D37/C37, 0)</f>
        <v>1</v>
      </c>
      <c r="G37" s="4" t="str">
        <f>IF(AND(C37&gt;0, D37=C37), "Completo", "Pendiente")</f>
        <v>Completo</v>
      </c>
      <c r="H37" s="7">
        <f>IF(D37&gt;0, IFERROR(AVERAGEIFS('Detalle individual'!$J$5:$J$297, 'Detalle individual'!$C$5:$C$297, A37), ""), "")</f>
        <v>97.5</v>
      </c>
      <c r="I37" s="6">
        <f>IF(D37&gt;0, IFERROR(_xlfn.MAXIFS('Detalle individual'!$J$5:$J$297, 'Detalle individual'!$C$5:$C$297, A37), ""), "")</f>
        <v>100</v>
      </c>
      <c r="J37" s="6">
        <f>IF(D37&gt;0, IFERROR(_xlfn.MINIFS('Detalle individual'!$J$5:$J$297, 'Detalle individual'!$C$5:$C$297, A37), ""), "")</f>
        <v>90</v>
      </c>
      <c r="K37" s="25">
        <f>IF(D37&gt;0, IFERROR(_xlfn.MINIFS('Detalle individual'!$G$5:$G$297, 'Detalle individual'!$C$5:$C$297, A37), ""), "")</f>
        <v>46300.62287037037</v>
      </c>
      <c r="L37" s="25">
        <f>IF(D37&gt;0, IFERROR(_xlfn.MAXIFS('Detalle individual'!$H$5:$H$297, 'Detalle individual'!$C$5:$C$297, A37), ""), "")</f>
        <v>46308.62107638889</v>
      </c>
      <c r="M37" s="7">
        <f>IF(D37&gt;0, IFERROR(_xlfn.MINIFS('Detalle individual'!$I$5:$I$297, 'Detalle individual'!$C$5:$C$297, A37), ""), "")</f>
        <v>3.75</v>
      </c>
      <c r="N37" s="7">
        <f>IF(D37&gt;0, IFERROR(AVERAGEIFS('Detalle individual'!$I$5:$I$297, 'Detalle individual'!$C$5:$C$297, A37), ""), "")</f>
        <v>14.1520833333333</v>
      </c>
    </row>
    <row r="38">
      <c r="A38" s="5" t="inlineStr">
        <is>
          <t>GERENCIA  ADMINISTRATIVA</t>
        </is>
      </c>
      <c r="B38" s="5" t="inlineStr">
        <is>
          <t>Gerencia Administrativa</t>
        </is>
      </c>
      <c r="C38" s="8">
        <f>COUNTIF('Detalle individual'!$C$5:$C$297, A38)</f>
        <v>2</v>
      </c>
      <c r="D38" s="8">
        <f>COUNTIFS('Detalle individual'!$C$5:$C$297, A38, 'Detalle individual'!$F$5:$F$297, "Completado")</f>
        <v>2</v>
      </c>
      <c r="E38" s="8">
        <f>C38-D38</f>
        <v>0</v>
      </c>
      <c r="F38" s="9">
        <f>IF(C38&gt;0, D38/C38, 0)</f>
        <v>1</v>
      </c>
      <c r="G38" s="4" t="str">
        <f>IF(AND(C38&gt;0, D38=C38), "Completo", "Pendiente")</f>
        <v>Completo</v>
      </c>
      <c r="H38" s="7">
        <f>IF(D38&gt;0, IFERROR(AVERAGEIFS('Detalle individual'!$J$5:$J$297, 'Detalle individual'!$C$5:$C$297, A38), ""), "")</f>
        <v>100</v>
      </c>
      <c r="I38" s="6">
        <f>IF(D38&gt;0, IFERROR(_xlfn.MAXIFS('Detalle individual'!$J$5:$J$297, 'Detalle individual'!$C$5:$C$297, A38), ""), "")</f>
        <v>100</v>
      </c>
      <c r="J38" s="6">
        <f>IF(D38&gt;0, IFERROR(_xlfn.MINIFS('Detalle individual'!$J$5:$J$297, 'Detalle individual'!$C$5:$C$297, A38), ""), "")</f>
        <v>100</v>
      </c>
      <c r="K38" s="25">
        <f>IF(D38&gt;0, IFERROR(_xlfn.MINIFS('Detalle individual'!$G$5:$G$297, 'Detalle individual'!$C$5:$C$297, A38), ""), "")</f>
        <v>46297.636770833335</v>
      </c>
      <c r="L38" s="25">
        <f>IF(D38&gt;0, IFERROR(_xlfn.MAXIFS('Detalle individual'!$H$5:$H$297, 'Detalle individual'!$C$5:$C$297, A38), ""), "")</f>
        <v>46307.43666666667</v>
      </c>
      <c r="M38" s="7">
        <f>IF(D38&gt;0, IFERROR(_xlfn.MINIFS('Detalle individual'!$I$5:$I$297, 'Detalle individual'!$C$5:$C$297, A38), ""), "")</f>
        <v>2.3</v>
      </c>
      <c r="N38" s="7">
        <f>IF(D38&gt;0, IFERROR(AVERAGEIFS('Detalle individual'!$I$5:$I$297, 'Detalle individual'!$C$5:$C$297, A38), ""), "")</f>
        <v>7.05833333333333</v>
      </c>
    </row>
    <row r="39">
      <c r="A39" s="5" t="inlineStr">
        <is>
          <t>GERENCIA DE FINANZAS Y PLANIFICACIÓN</t>
        </is>
      </c>
      <c r="B39" s="5" t="inlineStr">
        <is>
          <t>Gerencia de Finanzas y Planificación</t>
        </is>
      </c>
      <c r="C39" s="8">
        <f>COUNTIF('Detalle individual'!$C$5:$C$297, A39)</f>
        <v>2</v>
      </c>
      <c r="D39" s="8">
        <f>COUNTIFS('Detalle individual'!$C$5:$C$297, A39, 'Detalle individual'!$F$5:$F$297, "Completado")</f>
        <v>2</v>
      </c>
      <c r="E39" s="8">
        <f>C39-D39</f>
        <v>0</v>
      </c>
      <c r="F39" s="9">
        <f>IF(C39&gt;0, D39/C39, 0)</f>
        <v>1</v>
      </c>
      <c r="G39" s="4" t="str">
        <f>IF(AND(C39&gt;0, D39=C39), "Completo", "Pendiente")</f>
        <v>Completo</v>
      </c>
      <c r="H39" s="7">
        <f>IF(D39&gt;0, IFERROR(AVERAGEIFS('Detalle individual'!$J$5:$J$297, 'Detalle individual'!$C$5:$C$297, A39), ""), "")</f>
        <v>100</v>
      </c>
      <c r="I39" s="6">
        <f>IF(D39&gt;0, IFERROR(_xlfn.MAXIFS('Detalle individual'!$J$5:$J$297, 'Detalle individual'!$C$5:$C$297, A39), ""), "")</f>
        <v>100</v>
      </c>
      <c r="J39" s="6">
        <f>IF(D39&gt;0, IFERROR(_xlfn.MINIFS('Detalle individual'!$J$5:$J$297, 'Detalle individual'!$C$5:$C$297, A39), ""), "")</f>
        <v>100</v>
      </c>
      <c r="K39" s="25">
        <f>IF(D39&gt;0, IFERROR(_xlfn.MINIFS('Detalle individual'!$G$5:$G$297, 'Detalle individual'!$C$5:$C$297, A39), ""), "")</f>
        <v>46296.42706018518</v>
      </c>
      <c r="L39" s="25">
        <f>IF(D39&gt;0, IFERROR(_xlfn.MAXIFS('Detalle individual'!$H$5:$H$297, 'Detalle individual'!$C$5:$C$297, A39), ""), "")</f>
        <v>46305.470555555556</v>
      </c>
      <c r="M39" s="7">
        <f>IF(D39&gt;0, IFERROR(_xlfn.MINIFS('Detalle individual'!$I$5:$I$297, 'Detalle individual'!$C$5:$C$297, A39), ""), "")</f>
        <v>3.6</v>
      </c>
      <c r="N39" s="7">
        <f>IF(D39&gt;0, IFERROR(AVERAGEIFS('Detalle individual'!$I$5:$I$297, 'Detalle individual'!$C$5:$C$297, A39), ""), "")</f>
        <v>4.03333333333333</v>
      </c>
    </row>
    <row r="40">
      <c r="A40" s="5" t="inlineStr">
        <is>
          <t>GERENCIA DE NEGOCIOS</t>
        </is>
      </c>
      <c r="B40" s="5" t="inlineStr">
        <is>
          <t>Gerencia de Negocios</t>
        </is>
      </c>
      <c r="C40" s="8">
        <f>COUNTIF('Detalle individual'!$C$5:$C$297, A40)</f>
        <v>4</v>
      </c>
      <c r="D40" s="8">
        <f>COUNTIFS('Detalle individual'!$C$5:$C$297, A40, 'Detalle individual'!$F$5:$F$297, "Completado")</f>
        <v>3</v>
      </c>
      <c r="E40" s="8">
        <f>C40-D40</f>
        <v>1</v>
      </c>
      <c r="F40" s="9">
        <f>IF(C40&gt;0, D40/C40, 0)</f>
        <v>0.75</v>
      </c>
      <c r="G40" s="4" t="str">
        <f>IF(AND(C40&gt;0, D40=C40), "Completo", "Pendiente")</f>
        <v>Pendiente</v>
      </c>
      <c r="H40" s="7">
        <f>IF(D40&gt;0, IFERROR(AVERAGEIFS('Detalle individual'!$J$5:$J$297, 'Detalle individual'!$C$5:$C$297, A40), ""), "")</f>
        <v>100</v>
      </c>
      <c r="I40" s="6">
        <f>IF(D40&gt;0, IFERROR(_xlfn.MAXIFS('Detalle individual'!$J$5:$J$297, 'Detalle individual'!$C$5:$C$297, A40), ""), "")</f>
        <v>100</v>
      </c>
      <c r="J40" s="6">
        <f>IF(D40&gt;0, IFERROR(_xlfn.MINIFS('Detalle individual'!$J$5:$J$297, 'Detalle individual'!$C$5:$C$297, A40), ""), "")</f>
        <v>100</v>
      </c>
      <c r="K40" s="25">
        <f>IF(D40&gt;0, IFERROR(_xlfn.MINIFS('Detalle individual'!$G$5:$G$297, 'Detalle individual'!$C$5:$C$297, A40), ""), "")</f>
        <v>46296.45108796296</v>
      </c>
      <c r="L40" s="25">
        <f>IF(D40&gt;0, IFERROR(_xlfn.MAXIFS('Detalle individual'!$H$5:$H$297, 'Detalle individual'!$C$5:$C$297, A40), ""), "")</f>
        <v>46301.440300925926</v>
      </c>
      <c r="M40" s="7">
        <f>IF(D40&gt;0, IFERROR(_xlfn.MINIFS('Detalle individual'!$I$5:$I$297, 'Detalle individual'!$C$5:$C$297, A40), ""), "")</f>
        <v>3.73333333333333</v>
      </c>
      <c r="N40" s="7">
        <f>IF(D40&gt;0, IFERROR(AVERAGEIFS('Detalle individual'!$I$5:$I$297, 'Detalle individual'!$C$5:$C$297, A40), ""), "")</f>
        <v>8.77777777777778</v>
      </c>
    </row>
    <row r="41">
      <c r="A41" s="5" t="inlineStr">
        <is>
          <t>GERENCIA DE OPERACIONES</t>
        </is>
      </c>
      <c r="B41" s="5" t="inlineStr">
        <is>
          <t>Gerencia de Operaciones</t>
        </is>
      </c>
      <c r="C41" s="8">
        <f>COUNTIF('Detalle individual'!$C$5:$C$297, A41)</f>
        <v>1</v>
      </c>
      <c r="D41" s="8">
        <f>COUNTIFS('Detalle individual'!$C$5:$C$297, A41, 'Detalle individual'!$F$5:$F$297, "Completado")</f>
        <v>0</v>
      </c>
      <c r="E41" s="8">
        <f>C41-D41</f>
        <v>1</v>
      </c>
      <c r="F41" s="9">
        <f>IF(C41&gt;0, D41/C41, 0)</f>
        <v>0</v>
      </c>
      <c r="G41" s="4" t="str">
        <f>IF(AND(C41&gt;0, D41=C41), "Completo", "Pendiente")</f>
        <v>Pendiente</v>
      </c>
      <c r="H41" s="7" t="str">
        <f>IF(D41&gt;0, IFERROR(AVERAGEIFS('Detalle individual'!$J$5:$J$297, 'Detalle individual'!$C$5:$C$297, A41), ""), "")</f>
        <v/>
      </c>
      <c r="I41" s="6" t="str">
        <f>IF(D41&gt;0, IFERROR(_xlfn.MAXIFS('Detalle individual'!$J$5:$J$297, 'Detalle individual'!$C$5:$C$297, A41), ""), "")</f>
        <v/>
      </c>
      <c r="J41" s="6" t="str">
        <f>IF(D41&gt;0, IFERROR(_xlfn.MINIFS('Detalle individual'!$J$5:$J$297, 'Detalle individual'!$C$5:$C$297, A41), ""), "")</f>
        <v/>
      </c>
      <c r="K41" s="25" t="str">
        <f>IF(D41&gt;0, IFERROR(_xlfn.MINIFS('Detalle individual'!$G$5:$G$297, 'Detalle individual'!$C$5:$C$297, A41), ""), "")</f>
        <v/>
      </c>
      <c r="L41" s="25" t="str">
        <f>IF(D41&gt;0, IFERROR(_xlfn.MAXIFS('Detalle individual'!$H$5:$H$297, 'Detalle individual'!$C$5:$C$297, A41), ""), "")</f>
        <v/>
      </c>
      <c r="M41" s="7" t="str">
        <f>IF(D41&gt;0, IFERROR(_xlfn.MINIFS('Detalle individual'!$I$5:$I$297, 'Detalle individual'!$C$5:$C$297, A41), ""), "")</f>
        <v/>
      </c>
      <c r="N41" s="7" t="str">
        <f>IF(D41&gt;0, IFERROR(AVERAGEIFS('Detalle individual'!$I$5:$I$297, 'Detalle individual'!$C$5:$C$297, A41), ""), "")</f>
        <v/>
      </c>
    </row>
    <row r="42">
      <c r="A42" s="5" t="inlineStr">
        <is>
          <t>GERENCIA DE SISTEMAS</t>
        </is>
      </c>
      <c r="B42" s="5" t="inlineStr">
        <is>
          <t>Gerencia de Sistemas</t>
        </is>
      </c>
      <c r="C42" s="8">
        <f>COUNTIF('Detalle individual'!$C$5:$C$297, A42)</f>
        <v>4</v>
      </c>
      <c r="D42" s="8">
        <f>COUNTIFS('Detalle individual'!$C$5:$C$297, A42, 'Detalle individual'!$F$5:$F$297, "Completado")</f>
        <v>3</v>
      </c>
      <c r="E42" s="8">
        <f>C42-D42</f>
        <v>1</v>
      </c>
      <c r="F42" s="9">
        <f>IF(C42&gt;0, D42/C42, 0)</f>
        <v>0.75</v>
      </c>
      <c r="G42" s="4" t="str">
        <f>IF(AND(C42&gt;0, D42=C42), "Completo", "Pendiente")</f>
        <v>Pendiente</v>
      </c>
      <c r="H42" s="7">
        <f>IF(D42&gt;0, IFERROR(AVERAGEIFS('Detalle individual'!$J$5:$J$297, 'Detalle individual'!$C$5:$C$297, A42), ""), "")</f>
        <v>98.3333333333333</v>
      </c>
      <c r="I42" s="6">
        <f>IF(D42&gt;0, IFERROR(_xlfn.MAXIFS('Detalle individual'!$J$5:$J$297, 'Detalle individual'!$C$5:$C$297, A42), ""), "")</f>
        <v>100</v>
      </c>
      <c r="J42" s="6">
        <f>IF(D42&gt;0, IFERROR(_xlfn.MINIFS('Detalle individual'!$J$5:$J$297, 'Detalle individual'!$C$5:$C$297, A42), ""), "")</f>
        <v>95</v>
      </c>
      <c r="K42" s="25">
        <f>IF(D42&gt;0, IFERROR(_xlfn.MINIFS('Detalle individual'!$G$5:$G$297, 'Detalle individual'!$C$5:$C$297, A42), ""), "")</f>
        <v>46300.582349537035</v>
      </c>
      <c r="L42" s="25">
        <f>IF(D42&gt;0, IFERROR(_xlfn.MAXIFS('Detalle individual'!$H$5:$H$297, 'Detalle individual'!$C$5:$C$297, A42), ""), "")</f>
        <v>46307.48341435185</v>
      </c>
      <c r="M42" s="7">
        <f>IF(D42&gt;0, IFERROR(_xlfn.MINIFS('Detalle individual'!$I$5:$I$297, 'Detalle individual'!$C$5:$C$297, A42), ""), "")</f>
        <v>3.01666666666667</v>
      </c>
      <c r="N42" s="7">
        <f>IF(D42&gt;0, IFERROR(AVERAGEIFS('Detalle individual'!$I$5:$I$297, 'Detalle individual'!$C$5:$C$297, A42), ""), "")</f>
        <v>4.27777777777778</v>
      </c>
    </row>
    <row r="43">
      <c r="A43" s="5" t="inlineStr">
        <is>
          <t>GERENCIA GENERAL</t>
        </is>
      </c>
      <c r="B43" s="5" t="inlineStr">
        <is>
          <t>Gerencia General</t>
        </is>
      </c>
      <c r="C43" s="8">
        <f>COUNTIF('Detalle individual'!$C$5:$C$297, A43)</f>
        <v>2</v>
      </c>
      <c r="D43" s="8">
        <f>COUNTIFS('Detalle individual'!$C$5:$C$297, A43, 'Detalle individual'!$F$5:$F$297, "Completado")</f>
        <v>1</v>
      </c>
      <c r="E43" s="8">
        <f>C43-D43</f>
        <v>1</v>
      </c>
      <c r="F43" s="9">
        <f>IF(C43&gt;0, D43/C43, 0)</f>
        <v>0.5</v>
      </c>
      <c r="G43" s="4" t="str">
        <f>IF(AND(C43&gt;0, D43=C43), "Completo", "Pendiente")</f>
        <v>Pendiente</v>
      </c>
      <c r="H43" s="7">
        <f>IF(D43&gt;0, IFERROR(AVERAGEIFS('Detalle individual'!$J$5:$J$297, 'Detalle individual'!$C$5:$C$297, A43), ""), "")</f>
        <v>100</v>
      </c>
      <c r="I43" s="6">
        <f>IF(D43&gt;0, IFERROR(_xlfn.MAXIFS('Detalle individual'!$J$5:$J$297, 'Detalle individual'!$C$5:$C$297, A43), ""), "")</f>
        <v>100</v>
      </c>
      <c r="J43" s="6">
        <f>IF(D43&gt;0, IFERROR(_xlfn.MINIFS('Detalle individual'!$J$5:$J$297, 'Detalle individual'!$C$5:$C$297, A43), ""), "")</f>
        <v>100</v>
      </c>
      <c r="K43" s="25">
        <f>IF(D43&gt;0, IFERROR(_xlfn.MINIFS('Detalle individual'!$G$5:$G$297, 'Detalle individual'!$C$5:$C$297, A43), ""), "")</f>
        <v>46305.40667824074</v>
      </c>
      <c r="L43" s="25">
        <f>IF(D43&gt;0, IFERROR(_xlfn.MAXIFS('Detalle individual'!$H$5:$H$297, 'Detalle individual'!$C$5:$C$297, A43), ""), "")</f>
        <v>46305.40980324074</v>
      </c>
      <c r="M43" s="7">
        <f>IF(D43&gt;0, IFERROR(_xlfn.MINIFS('Detalle individual'!$I$5:$I$297, 'Detalle individual'!$C$5:$C$297, A43), ""), "")</f>
        <v>4.5</v>
      </c>
      <c r="N43" s="7">
        <f>IF(D43&gt;0, IFERROR(AVERAGEIFS('Detalle individual'!$I$5:$I$297, 'Detalle individual'!$C$5:$C$297, A43), ""), "")</f>
        <v>4.5</v>
      </c>
    </row>
    <row r="44">
      <c r="A44" s="5" t="inlineStr">
        <is>
          <t>GERENCIA LEGAL Y DE CUMPLIMIENTO NORMATIVO</t>
        </is>
      </c>
      <c r="B44" s="5" t="inlineStr">
        <is>
          <t>Gerencia Legal y Cumplimiento Normativo</t>
        </is>
      </c>
      <c r="C44" s="8">
        <f>COUNTIF('Detalle individual'!$C$5:$C$297, A44)</f>
        <v>1</v>
      </c>
      <c r="D44" s="8">
        <f>COUNTIFS('Detalle individual'!$C$5:$C$297, A44, 'Detalle individual'!$F$5:$F$297, "Completado")</f>
        <v>1</v>
      </c>
      <c r="E44" s="8">
        <f>C44-D44</f>
        <v>0</v>
      </c>
      <c r="F44" s="9">
        <f>IF(C44&gt;0, D44/C44, 0)</f>
        <v>1</v>
      </c>
      <c r="G44" s="4" t="str">
        <f>IF(AND(C44&gt;0, D44=C44), "Completo", "Pendiente")</f>
        <v>Completo</v>
      </c>
      <c r="H44" s="7">
        <f>IF(D44&gt;0, IFERROR(AVERAGEIFS('Detalle individual'!$J$5:$J$297, 'Detalle individual'!$C$5:$C$297, A44), ""), "")</f>
        <v>100</v>
      </c>
      <c r="I44" s="6">
        <f>IF(D44&gt;0, IFERROR(_xlfn.MAXIFS('Detalle individual'!$J$5:$J$297, 'Detalle individual'!$C$5:$C$297, A44), ""), "")</f>
        <v>100</v>
      </c>
      <c r="J44" s="6">
        <f>IF(D44&gt;0, IFERROR(_xlfn.MINIFS('Detalle individual'!$J$5:$J$297, 'Detalle individual'!$C$5:$C$297, A44), ""), "")</f>
        <v>100</v>
      </c>
      <c r="K44" s="25">
        <f>IF(D44&gt;0, IFERROR(_xlfn.MINIFS('Detalle individual'!$G$5:$G$297, 'Detalle individual'!$C$5:$C$297, A44), ""), "")</f>
        <v>46304.69274305556</v>
      </c>
      <c r="L44" s="25">
        <f>IF(D44&gt;0, IFERROR(_xlfn.MAXIFS('Detalle individual'!$H$5:$H$297, 'Detalle individual'!$C$5:$C$297, A44), ""), "")</f>
        <v>46304.69452546296</v>
      </c>
      <c r="M44" s="7">
        <f>IF(D44&gt;0, IFERROR(_xlfn.MINIFS('Detalle individual'!$I$5:$I$297, 'Detalle individual'!$C$5:$C$297, A44), ""), "")</f>
        <v>2.56666666666667</v>
      </c>
      <c r="N44" s="7">
        <f>IF(D44&gt;0, IFERROR(AVERAGEIFS('Detalle individual'!$I$5:$I$297, 'Detalle individual'!$C$5:$C$297, A44), ""), "")</f>
        <v>2.56666666666667</v>
      </c>
    </row>
    <row r="45">
      <c r="A45" s="5" t="inlineStr">
        <is>
          <t>OFICIALIA DE CUMPLIMIENTO</t>
        </is>
      </c>
      <c r="B45" s="5" t="inlineStr">
        <is>
          <t>Gerencia de Oficialía de Cumplimiento</t>
        </is>
      </c>
      <c r="C45" s="8">
        <f>COUNTIF('Detalle individual'!$C$5:$C$297, A45)</f>
        <v>7</v>
      </c>
      <c r="D45" s="8">
        <f>COUNTIFS('Detalle individual'!$C$5:$C$297, A45, 'Detalle individual'!$F$5:$F$297, "Completado")</f>
        <v>7</v>
      </c>
      <c r="E45" s="8">
        <f>C45-D45</f>
        <v>0</v>
      </c>
      <c r="F45" s="9">
        <f>IF(C45&gt;0, D45/C45, 0)</f>
        <v>1</v>
      </c>
      <c r="G45" s="4" t="str">
        <f>IF(AND(C45&gt;0, D45=C45), "Completo", "Pendiente")</f>
        <v>Completo</v>
      </c>
      <c r="H45" s="7">
        <f>IF(D45&gt;0, IFERROR(AVERAGEIFS('Detalle individual'!$J$5:$J$297, 'Detalle individual'!$C$5:$C$297, A45), ""), "")</f>
        <v>100</v>
      </c>
      <c r="I45" s="6">
        <f>IF(D45&gt;0, IFERROR(_xlfn.MAXIFS('Detalle individual'!$J$5:$J$297, 'Detalle individual'!$C$5:$C$297, A45), ""), "")</f>
        <v>100</v>
      </c>
      <c r="J45" s="6">
        <f>IF(D45&gt;0, IFERROR(_xlfn.MINIFS('Detalle individual'!$J$5:$J$297, 'Detalle individual'!$C$5:$C$297, A45), ""), "")</f>
        <v>100</v>
      </c>
      <c r="K45" s="25">
        <f>IF(D45&gt;0, IFERROR(_xlfn.MINIFS('Detalle individual'!$G$5:$G$297, 'Detalle individual'!$C$5:$C$297, A45), ""), "")</f>
        <v>46296.47011574074</v>
      </c>
      <c r="L45" s="25">
        <f>IF(D45&gt;0, IFERROR(_xlfn.MAXIFS('Detalle individual'!$H$5:$H$297, 'Detalle individual'!$C$5:$C$297, A45), ""), "")</f>
        <v>46296.49747685185</v>
      </c>
      <c r="M45" s="7">
        <f>IF(D45&gt;0, IFERROR(_xlfn.MINIFS('Detalle individual'!$I$5:$I$297, 'Detalle individual'!$C$5:$C$297, A45), ""), "")</f>
        <v>9.16666666666667</v>
      </c>
      <c r="N45" s="7">
        <f>IF(D45&gt;0, IFERROR(AVERAGEIFS('Detalle individual'!$I$5:$I$297, 'Detalle individual'!$C$5:$C$297, A45), ""), "")</f>
        <v>11.9642857142857</v>
      </c>
    </row>
    <row r="46">
      <c r="A46" s="5" t="inlineStr">
        <is>
          <t>OFICIALIA DE SEGURIDAD DE LA INFORMACION</t>
        </is>
      </c>
      <c r="B46" s="5" t="inlineStr">
        <is>
          <t>Gerencia General</t>
        </is>
      </c>
      <c r="C46" s="8">
        <f>COUNTIF('Detalle individual'!$C$5:$C$297, A46)</f>
        <v>4</v>
      </c>
      <c r="D46" s="8">
        <f>COUNTIFS('Detalle individual'!$C$5:$C$297, A46, 'Detalle individual'!$F$5:$F$297, "Completado")</f>
        <v>4</v>
      </c>
      <c r="E46" s="8">
        <f>C46-D46</f>
        <v>0</v>
      </c>
      <c r="F46" s="9">
        <f>IF(C46&gt;0, D46/C46, 0)</f>
        <v>1</v>
      </c>
      <c r="G46" s="4" t="str">
        <f>IF(AND(C46&gt;0, D46=C46), "Completo", "Pendiente")</f>
        <v>Completo</v>
      </c>
      <c r="H46" s="7">
        <f>IF(D46&gt;0, IFERROR(AVERAGEIFS('Detalle individual'!$J$5:$J$297, 'Detalle individual'!$C$5:$C$297, A46), ""), "")</f>
        <v>96.25</v>
      </c>
      <c r="I46" s="6">
        <f>IF(D46&gt;0, IFERROR(_xlfn.MAXIFS('Detalle individual'!$J$5:$J$297, 'Detalle individual'!$C$5:$C$297, A46), ""), "")</f>
        <v>100</v>
      </c>
      <c r="J46" s="6">
        <f>IF(D46&gt;0, IFERROR(_xlfn.MINIFS('Detalle individual'!$J$5:$J$297, 'Detalle individual'!$C$5:$C$297, A46), ""), "")</f>
        <v>85</v>
      </c>
      <c r="K46" s="25">
        <f>IF(D46&gt;0, IFERROR(_xlfn.MINIFS('Detalle individual'!$G$5:$G$297, 'Detalle individual'!$C$5:$C$297, A46), ""), "")</f>
        <v>46296.44081018519</v>
      </c>
      <c r="L46" s="25">
        <f>IF(D46&gt;0, IFERROR(_xlfn.MAXIFS('Detalle individual'!$H$5:$H$297, 'Detalle individual'!$C$5:$C$297, A46), ""), "")</f>
        <v>46296.44909722222</v>
      </c>
      <c r="M46" s="7">
        <f>IF(D46&gt;0, IFERROR(_xlfn.MINIFS('Detalle individual'!$I$5:$I$297, 'Detalle individual'!$C$5:$C$297, A46), ""), "")</f>
        <v>9.06666666666667</v>
      </c>
      <c r="N46" s="7">
        <f>IF(D46&gt;0, IFERROR(AVERAGEIFS('Detalle individual'!$I$5:$I$297, 'Detalle individual'!$C$5:$C$297, A46), ""), "")</f>
        <v>10.5916666666667</v>
      </c>
    </row>
    <row r="47">
      <c r="A47" s="5" t="inlineStr">
        <is>
          <t xml:space="preserve">SUB GERENCIA DE CANALES </t>
        </is>
      </c>
      <c r="B47" s="5" t="inlineStr">
        <is>
          <t>Gerencia de Negocios</t>
        </is>
      </c>
      <c r="C47" s="8">
        <f>COUNTIF('Detalle individual'!$C$5:$C$297, A47)</f>
        <v>7</v>
      </c>
      <c r="D47" s="8">
        <f>COUNTIFS('Detalle individual'!$C$5:$C$297, A47, 'Detalle individual'!$F$5:$F$297, "Completado")</f>
        <v>3</v>
      </c>
      <c r="E47" s="8">
        <f>C47-D47</f>
        <v>4</v>
      </c>
      <c r="F47" s="9">
        <f>IF(C47&gt;0, D47/C47, 0)</f>
        <v>0.428571428571429</v>
      </c>
      <c r="G47" s="4" t="str">
        <f>IF(AND(C47&gt;0, D47=C47), "Completo", "Pendiente")</f>
        <v>Pendiente</v>
      </c>
      <c r="H47" s="7">
        <f>IF(D47&gt;0, IFERROR(AVERAGEIFS('Detalle individual'!$J$5:$J$297, 'Detalle individual'!$C$5:$C$297, A47), ""), "")</f>
        <v>96.6666666666667</v>
      </c>
      <c r="I47" s="6">
        <f>IF(D47&gt;0, IFERROR(_xlfn.MAXIFS('Detalle individual'!$J$5:$J$297, 'Detalle individual'!$C$5:$C$297, A47), ""), "")</f>
        <v>100</v>
      </c>
      <c r="J47" s="6">
        <f>IF(D47&gt;0, IFERROR(_xlfn.MINIFS('Detalle individual'!$J$5:$J$297, 'Detalle individual'!$C$5:$C$297, A47), ""), "")</f>
        <v>90</v>
      </c>
      <c r="K47" s="25">
        <f>IF(D47&gt;0, IFERROR(_xlfn.MINIFS('Detalle individual'!$G$5:$G$297, 'Detalle individual'!$C$5:$C$297, A47), ""), "")</f>
        <v>46300.40697916667</v>
      </c>
      <c r="L47" s="25">
        <f>IF(D47&gt;0, IFERROR(_xlfn.MAXIFS('Detalle individual'!$H$5:$H$297, 'Detalle individual'!$C$5:$C$297, A47), ""), "")</f>
        <v>46309.38234953704</v>
      </c>
      <c r="M47" s="7">
        <f>IF(D47&gt;0, IFERROR(_xlfn.MINIFS('Detalle individual'!$I$5:$I$297, 'Detalle individual'!$C$5:$C$297, A47), ""), "")</f>
        <v>3.71666666666667</v>
      </c>
      <c r="N47" s="7">
        <f>IF(D47&gt;0, IFERROR(AVERAGEIFS('Detalle individual'!$I$5:$I$297, 'Detalle individual'!$C$5:$C$297, A47), ""), "")</f>
        <v>10.6777777842667</v>
      </c>
    </row>
    <row r="48">
      <c r="A48" s="5" t="inlineStr">
        <is>
          <t>CONSEJO DE ADMINISTRACION</t>
        </is>
      </c>
      <c r="B48" s="5" t="inlineStr">
        <is>
          <t>Consejo de Administración</t>
        </is>
      </c>
      <c r="C48" s="8">
        <f>COUNTIF('Detalle individual'!$C$5:$C$297, A48)</f>
        <v>1</v>
      </c>
      <c r="D48" s="8">
        <f>COUNTIFS('Detalle individual'!$C$5:$C$297, A48, 'Detalle individual'!$F$5:$F$297, "Completado")</f>
        <v>1</v>
      </c>
      <c r="E48" s="8">
        <f>C48-D48</f>
        <v>0</v>
      </c>
      <c r="F48" s="9">
        <f>IF(C48&gt;0, D48/C48, 0)</f>
        <v>1</v>
      </c>
      <c r="G48" s="4" t="str">
        <f>IF(AND(C48&gt;0, D48=C48), "Completo", "Pendiente")</f>
        <v>Completo</v>
      </c>
      <c r="H48" s="7">
        <f>IF(D48&gt;0, IFERROR(AVERAGEIFS('Detalle individual'!$J$5:$J$297, 'Detalle individual'!$C$5:$C$297, A48), ""), "")</f>
        <v>90</v>
      </c>
      <c r="I48" s="6">
        <f>IF(D48&gt;0, IFERROR(_xlfn.MAXIFS('Detalle individual'!$J$5:$J$297, 'Detalle individual'!$C$5:$C$297, A48), ""), "")</f>
        <v>90</v>
      </c>
      <c r="J48" s="6">
        <f>IF(D48&gt;0, IFERROR(_xlfn.MINIFS('Detalle individual'!$J$5:$J$297, 'Detalle individual'!$C$5:$C$297, A48), ""), "")</f>
        <v>90</v>
      </c>
      <c r="K48" s="25">
        <f>IF(D48&gt;0, IFERROR(_xlfn.MINIFS('Detalle individual'!$G$5:$G$297, 'Detalle individual'!$C$5:$C$297, A48), ""), "")</f>
        <v>46300.65247685185</v>
      </c>
      <c r="L48" s="25">
        <f>IF(D48&gt;0, IFERROR(_xlfn.MAXIFS('Detalle individual'!$H$5:$H$297, 'Detalle individual'!$C$5:$C$297, A48), ""), "")</f>
        <v>46300.658009259256</v>
      </c>
      <c r="M48" s="7">
        <f>IF(D48&gt;0, IFERROR(_xlfn.MINIFS('Detalle individual'!$I$5:$I$297, 'Detalle individual'!$C$5:$C$297, A48), ""), "")</f>
        <v>7.96666666666667</v>
      </c>
      <c r="N48" s="7">
        <f>IF(D48&gt;0, IFERROR(AVERAGEIFS('Detalle individual'!$I$5:$I$297, 'Detalle individual'!$C$5:$C$297, A48), ""), "")</f>
        <v>7.96666666666667</v>
      </c>
    </row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1" tabSelected="0" workbookViewId="0">
      <selection activeCell="A1" sqref="A1"/>
    </sheetView>
  </sheetViews>
  <sheetFormatPr baseColWidth="8" defaultRowHeight="15"/>
  <cols>
    <col width="43" customWidth="1" min="1" max="1"/>
    <col width="51" customWidth="1" min="2" max="2"/>
    <col width="100" customWidth="1" min="3" max="3"/>
    <col width="14" customWidth="1" min="4" max="4"/>
    <col width="26" customWidth="1" min="5" max="5"/>
    <col width="53" customWidth="1" min="6" max="6"/>
    <col width="101" customWidth="1" min="7" max="7"/>
    <col width="97" customWidth="1" min="8" max="8"/>
    <col width="97" customWidth="1" min="9" max="9"/>
    <col width="97" customWidth="1" min="10" max="10"/>
    <col width="97" customWidth="1" min="11" max="11"/>
    <col width="97" customWidth="1" min="12" max="12"/>
    <col width="101" customWidth="1" min="13" max="13"/>
  </cols>
  <sheetData>
    <row r="1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</row>
    <row r="5">
      <c r="A5" s="5" t="inlineStr">
        <is>
          <t>Auditoría Interna</t>
        </is>
      </c>
      <c r="B5" s="8">
        <f>COUNTIF('Detalle individual'!$D$5:$D$297, A5)</f>
        <v>7</v>
      </c>
      <c r="C5" s="8">
        <f>COUNTIFS('Detalle individual'!$D$5:$D$297, A5, 'Detalle individual'!$F$5:$F$297, "Completado")</f>
        <v>7</v>
      </c>
      <c r="D5" s="8">
        <f>B5-C5</f>
        <v>0</v>
      </c>
      <c r="E5" s="9">
        <f>IF(B5&gt;0, C5/B5, 0)</f>
        <v>1</v>
      </c>
      <c r="F5" s="4" t="str">
        <f>IF(AND(B5&gt;0, C5=B5), "Completo", "Pendiente")</f>
        <v>Completo</v>
      </c>
      <c r="G5" s="7">
        <f>IF(C5&gt;0, IFERROR(AVERAGEIFS('Detalle individual'!$J$5:$J$297, 'Detalle individual'!$D$5:$D$297, A5), ""), "")</f>
        <v>97.1428571428571</v>
      </c>
      <c r="H5" s="6">
        <f>IF(C5&gt;0, IFERROR(_xlfn.MAXIFS('Detalle individual'!$J$5:$J$297, 'Detalle individual'!$D$5:$D$297, A5), ""), "")</f>
        <v>100</v>
      </c>
      <c r="I5" s="6">
        <f>IF(C5&gt;0, IFERROR(_xlfn.MINIFS('Detalle individual'!$J$5:$J$297, 'Detalle individual'!$D$5:$D$297, A5), ""), "")</f>
        <v>90</v>
      </c>
      <c r="J5" s="25">
        <f>IF(C5&gt;0, IFERROR(_xlfn.MINIFS('Detalle individual'!$G$5:$G$297, 'Detalle individual'!$D$5:$D$297, A5), ""), "")</f>
        <v>46296.61756944445</v>
      </c>
      <c r="K5" s="25">
        <f>IF(C5&gt;0, IFERROR(_xlfn.MAXIFS('Detalle individual'!$H$5:$H$297, 'Detalle individual'!$D$5:$D$297, A5), ""), "")</f>
        <v>46307.652766203704</v>
      </c>
      <c r="L5" s="7">
        <f>IF(C5&gt;0, IFERROR(_xlfn.MINIFS('Detalle individual'!$I$5:$I$297, 'Detalle individual'!$D$5:$D$297, A5), ""), "")</f>
        <v>3.8</v>
      </c>
      <c r="M5" s="7">
        <f>IF(C5&gt;0, IFERROR(AVERAGEIFS('Detalle individual'!$I$5:$I$297, 'Detalle individual'!$D$5:$D$297, A5), ""), "")</f>
        <v>6.54523809170238</v>
      </c>
    </row>
    <row r="6">
      <c r="A6" s="5" t="inlineStr">
        <is>
          <t>Gerencia Administrativa</t>
        </is>
      </c>
      <c r="B6" s="8">
        <f>COUNTIF('Detalle individual'!$D$5:$D$297, A6)</f>
        <v>35</v>
      </c>
      <c r="C6" s="8">
        <f>COUNTIFS('Detalle individual'!$D$5:$D$297, A6, 'Detalle individual'!$F$5:$F$297, "Completado")</f>
        <v>32</v>
      </c>
      <c r="D6" s="8">
        <f>B6-C6</f>
        <v>3</v>
      </c>
      <c r="E6" s="9">
        <f>IF(B6&gt;0, C6/B6, 0)</f>
        <v>0.914285714285714</v>
      </c>
      <c r="F6" s="4" t="str">
        <f>IF(AND(B6&gt;0, C6=B6), "Completo", "Pendiente")</f>
        <v>Pendiente</v>
      </c>
      <c r="G6" s="7">
        <f>IF(C6&gt;0, IFERROR(AVERAGEIFS('Detalle individual'!$J$5:$J$297, 'Detalle individual'!$D$5:$D$297, A6), ""), "")</f>
        <v>93.90625</v>
      </c>
      <c r="H6" s="6">
        <f>IF(C6&gt;0, IFERROR(_xlfn.MAXIFS('Detalle individual'!$J$5:$J$297, 'Detalle individual'!$D$5:$D$297, A6), ""), "")</f>
        <v>100</v>
      </c>
      <c r="I6" s="6">
        <f>IF(C6&gt;0, IFERROR(_xlfn.MINIFS('Detalle individual'!$J$5:$J$297, 'Detalle individual'!$D$5:$D$297, A6), ""), "")</f>
        <v>60</v>
      </c>
      <c r="J6" s="25">
        <f>IF(C6&gt;0, IFERROR(_xlfn.MINIFS('Detalle individual'!$G$5:$G$297, 'Detalle individual'!$D$5:$D$297, A6), ""), "")</f>
        <v>46296.454039351855</v>
      </c>
      <c r="K6" s="25">
        <f>IF(C6&gt;0, IFERROR(_xlfn.MAXIFS('Detalle individual'!$H$5:$H$297, 'Detalle individual'!$D$5:$D$297, A6), ""), "")</f>
        <v>46307.43666666667</v>
      </c>
      <c r="L6" s="7">
        <f>IF(C6&gt;0, IFERROR(_xlfn.MINIFS('Detalle individual'!$I$5:$I$297, 'Detalle individual'!$D$5:$D$297, A6), ""), "")</f>
        <v>2.11666666666667</v>
      </c>
      <c r="M6" s="7">
        <f>IF(C6&gt;0, IFERROR(AVERAGEIFS('Detalle individual'!$I$5:$I$297, 'Detalle individual'!$D$5:$D$297, A6), ""), "")</f>
        <v>11.0010416661094</v>
      </c>
    </row>
    <row r="7">
      <c r="A7" s="5" t="inlineStr">
        <is>
          <t>Gerencia General</t>
        </is>
      </c>
      <c r="B7" s="8">
        <f>COUNTIF('Detalle individual'!$D$5:$D$297, A7)</f>
        <v>13</v>
      </c>
      <c r="C7" s="8">
        <f>COUNTIFS('Detalle individual'!$D$5:$D$297, A7, 'Detalle individual'!$F$5:$F$297, "Completado")</f>
        <v>12</v>
      </c>
      <c r="D7" s="8">
        <f>B7-C7</f>
        <v>1</v>
      </c>
      <c r="E7" s="9">
        <f>IF(B7&gt;0, C7/B7, 0)</f>
        <v>0.923076923076923</v>
      </c>
      <c r="F7" s="4" t="str">
        <f>IF(AND(B7&gt;0, C7=B7), "Completo", "Pendiente")</f>
        <v>Pendiente</v>
      </c>
      <c r="G7" s="7">
        <f>IF(C7&gt;0, IFERROR(AVERAGEIFS('Detalle individual'!$J$5:$J$297, 'Detalle individual'!$D$5:$D$297, A7), ""), "")</f>
        <v>98.75</v>
      </c>
      <c r="H7" s="6">
        <f>IF(C7&gt;0, IFERROR(_xlfn.MAXIFS('Detalle individual'!$J$5:$J$297, 'Detalle individual'!$D$5:$D$297, A7), ""), "")</f>
        <v>100</v>
      </c>
      <c r="I7" s="6">
        <f>IF(C7&gt;0, IFERROR(_xlfn.MINIFS('Detalle individual'!$J$5:$J$297, 'Detalle individual'!$D$5:$D$297, A7), ""), "")</f>
        <v>85</v>
      </c>
      <c r="J7" s="25">
        <f>IF(C7&gt;0, IFERROR(_xlfn.MINIFS('Detalle individual'!$G$5:$G$297, 'Detalle individual'!$D$5:$D$297, A7), ""), "")</f>
        <v>46296.436574074076</v>
      </c>
      <c r="K7" s="25">
        <f>IF(C7&gt;0, IFERROR(_xlfn.MAXIFS('Detalle individual'!$H$5:$H$297, 'Detalle individual'!$D$5:$D$297, A7), ""), "")</f>
        <v>46305.40980324074</v>
      </c>
      <c r="L7" s="7">
        <f>IF(C7&gt;0, IFERROR(_xlfn.MINIFS('Detalle individual'!$I$5:$I$297, 'Detalle individual'!$D$5:$D$297, A7), ""), "")</f>
        <v>3.05</v>
      </c>
      <c r="M7" s="7">
        <f>IF(C7&gt;0, IFERROR(AVERAGEIFS('Detalle individual'!$I$5:$I$297, 'Detalle individual'!$D$5:$D$297, A7), ""), "")</f>
        <v>7.65416666666667</v>
      </c>
    </row>
    <row r="8">
      <c r="A8" s="5" t="inlineStr">
        <is>
          <t>Gerencia Legal y Cumplimiento Normativo</t>
        </is>
      </c>
      <c r="B8" s="8">
        <f>COUNTIF('Detalle individual'!$D$5:$D$297, A8)</f>
        <v>9</v>
      </c>
      <c r="C8" s="8">
        <f>COUNTIFS('Detalle individual'!$D$5:$D$297, A8, 'Detalle individual'!$F$5:$F$297, "Completado")</f>
        <v>9</v>
      </c>
      <c r="D8" s="8">
        <f>B8-C8</f>
        <v>0</v>
      </c>
      <c r="E8" s="9">
        <f>IF(B8&gt;0, C8/B8, 0)</f>
        <v>1</v>
      </c>
      <c r="F8" s="4" t="str">
        <f>IF(AND(B8&gt;0, C8=B8), "Completo", "Pendiente")</f>
        <v>Completo</v>
      </c>
      <c r="G8" s="7">
        <f>IF(C8&gt;0, IFERROR(AVERAGEIFS('Detalle individual'!$J$5:$J$297, 'Detalle individual'!$D$5:$D$297, A8), ""), "")</f>
        <v>97.7777777777778</v>
      </c>
      <c r="H8" s="6">
        <f>IF(C8&gt;0, IFERROR(_xlfn.MAXIFS('Detalle individual'!$J$5:$J$297, 'Detalle individual'!$D$5:$D$297, A8), ""), "")</f>
        <v>100</v>
      </c>
      <c r="I8" s="6">
        <f>IF(C8&gt;0, IFERROR(_xlfn.MINIFS('Detalle individual'!$J$5:$J$297, 'Detalle individual'!$D$5:$D$297, A8), ""), "")</f>
        <v>90</v>
      </c>
      <c r="J8" s="25">
        <f>IF(C8&gt;0, IFERROR(_xlfn.MINIFS('Detalle individual'!$G$5:$G$297, 'Detalle individual'!$D$5:$D$297, A8), ""), "")</f>
        <v>46300.62287037037</v>
      </c>
      <c r="K8" s="25">
        <f>IF(C8&gt;0, IFERROR(_xlfn.MAXIFS('Detalle individual'!$H$5:$H$297, 'Detalle individual'!$D$5:$D$297, A8), ""), "")</f>
        <v>46308.62107638889</v>
      </c>
      <c r="L8" s="7">
        <f>IF(C8&gt;0, IFERROR(_xlfn.MINIFS('Detalle individual'!$I$5:$I$297, 'Detalle individual'!$D$5:$D$297, A8), ""), "")</f>
        <v>2.56666666666667</v>
      </c>
      <c r="M8" s="7">
        <f>IF(C8&gt;0, IFERROR(AVERAGEIFS('Detalle individual'!$I$5:$I$297, 'Detalle individual'!$D$5:$D$297, A8), ""), "")</f>
        <v>12.8648148148148</v>
      </c>
    </row>
    <row r="9">
      <c r="A9" s="5" t="inlineStr">
        <is>
          <t>Gerencia de Finanzas y Planificación</t>
        </is>
      </c>
      <c r="B9" s="8">
        <f>COUNTIF('Detalle individual'!$D$5:$D$297, A9)</f>
        <v>18</v>
      </c>
      <c r="C9" s="8">
        <f>COUNTIFS('Detalle individual'!$D$5:$D$297, A9, 'Detalle individual'!$F$5:$F$297, "Completado")</f>
        <v>14</v>
      </c>
      <c r="D9" s="8">
        <f>B9-C9</f>
        <v>4</v>
      </c>
      <c r="E9" s="9">
        <f>IF(B9&gt;0, C9/B9, 0)</f>
        <v>0.777777777777778</v>
      </c>
      <c r="F9" s="4" t="str">
        <f>IF(AND(B9&gt;0, C9=B9), "Completo", "Pendiente")</f>
        <v>Pendiente</v>
      </c>
      <c r="G9" s="7">
        <f>IF(C9&gt;0, IFERROR(AVERAGEIFS('Detalle individual'!$J$5:$J$297, 'Detalle individual'!$D$5:$D$297, A9), ""), "")</f>
        <v>98.2142857142857</v>
      </c>
      <c r="H9" s="6">
        <f>IF(C9&gt;0, IFERROR(_xlfn.MAXIFS('Detalle individual'!$J$5:$J$297, 'Detalle individual'!$D$5:$D$297, A9), ""), "")</f>
        <v>100</v>
      </c>
      <c r="I9" s="6">
        <f>IF(C9&gt;0, IFERROR(_xlfn.MINIFS('Detalle individual'!$J$5:$J$297, 'Detalle individual'!$D$5:$D$297, A9), ""), "")</f>
        <v>85</v>
      </c>
      <c r="J9" s="25">
        <f>IF(C9&gt;0, IFERROR(_xlfn.MINIFS('Detalle individual'!$G$5:$G$297, 'Detalle individual'!$D$5:$D$297, A9), ""), "")</f>
        <v>46296.42706018518</v>
      </c>
      <c r="K9" s="25">
        <f>IF(C9&gt;0, IFERROR(_xlfn.MAXIFS('Detalle individual'!$H$5:$H$297, 'Detalle individual'!$D$5:$D$297, A9), ""), "")</f>
        <v>46309.386967592596</v>
      </c>
      <c r="L9" s="7">
        <f>IF(C9&gt;0, IFERROR(_xlfn.MINIFS('Detalle individual'!$I$5:$I$297, 'Detalle individual'!$D$5:$D$297, A9), ""), "")</f>
        <v>2.45</v>
      </c>
      <c r="M9" s="7">
        <f>IF(C9&gt;0, IFERROR(AVERAGEIFS('Detalle individual'!$I$5:$I$297, 'Detalle individual'!$D$5:$D$297, A9), ""), "")</f>
        <v>7.35714285880476</v>
      </c>
    </row>
    <row r="10">
      <c r="A10" s="5" t="inlineStr">
        <is>
          <t>Gerencia de Negocios</t>
        </is>
      </c>
      <c r="B10" s="8">
        <f>COUNTIF('Detalle individual'!$D$5:$D$297, A10)</f>
        <v>154</v>
      </c>
      <c r="C10" s="8">
        <f>COUNTIFS('Detalle individual'!$D$5:$D$297, A10, 'Detalle individual'!$F$5:$F$297, "Completado")</f>
        <v>107</v>
      </c>
      <c r="D10" s="8">
        <f>B10-C10</f>
        <v>47</v>
      </c>
      <c r="E10" s="9">
        <f>IF(B10&gt;0, C10/B10, 0)</f>
        <v>0.694805194805195</v>
      </c>
      <c r="F10" s="4" t="str">
        <f>IF(AND(B10&gt;0, C10=B10), "Completo", "Pendiente")</f>
        <v>Pendiente</v>
      </c>
      <c r="G10" s="7">
        <f>IF(C10&gt;0, IFERROR(AVERAGEIFS('Detalle individual'!$J$5:$J$297, 'Detalle individual'!$D$5:$D$297, A10), ""), "")</f>
        <v>96.4485981308411</v>
      </c>
      <c r="H10" s="6">
        <f>IF(C10&gt;0, IFERROR(_xlfn.MAXIFS('Detalle individual'!$J$5:$J$297, 'Detalle individual'!$D$5:$D$297, A10), ""), "")</f>
        <v>100</v>
      </c>
      <c r="I10" s="6">
        <f>IF(C10&gt;0, IFERROR(_xlfn.MINIFS('Detalle individual'!$J$5:$J$297, 'Detalle individual'!$D$5:$D$297, A10), ""), "")</f>
        <v>65</v>
      </c>
      <c r="J10" s="25">
        <f>IF(C10&gt;0, IFERROR(_xlfn.MINIFS('Detalle individual'!$G$5:$G$297, 'Detalle individual'!$D$5:$D$297, A10), ""), "")</f>
        <v>46296.426412037035</v>
      </c>
      <c r="K10" s="25">
        <f>IF(C10&gt;0, IFERROR(_xlfn.MAXIFS('Detalle individual'!$H$5:$H$297, 'Detalle individual'!$D$5:$D$297, A10), ""), "")</f>
        <v>46309.63957175926</v>
      </c>
      <c r="L10" s="7">
        <f>IF(C10&gt;0, IFERROR(_xlfn.MINIFS('Detalle individual'!$I$5:$I$297, 'Detalle individual'!$D$5:$D$297, A10), ""), "")</f>
        <v>1.75</v>
      </c>
      <c r="M10" s="7">
        <f>IF(C10&gt;0, IFERROR(AVERAGEIFS('Detalle individual'!$I$5:$I$297, 'Detalle individual'!$D$5:$D$297, A10), ""), "")</f>
        <v>12.7489096571548</v>
      </c>
    </row>
    <row r="11">
      <c r="A11" s="5" t="inlineStr">
        <is>
          <t>Gerencia de Oficialía de Cumplimiento</t>
        </is>
      </c>
      <c r="B11" s="8">
        <f>COUNTIF('Detalle individual'!$D$5:$D$297, A11)</f>
        <v>7</v>
      </c>
      <c r="C11" s="8">
        <f>COUNTIFS('Detalle individual'!$D$5:$D$297, A11, 'Detalle individual'!$F$5:$F$297, "Completado")</f>
        <v>7</v>
      </c>
      <c r="D11" s="8">
        <f>B11-C11</f>
        <v>0</v>
      </c>
      <c r="E11" s="9">
        <f>IF(B11&gt;0, C11/B11, 0)</f>
        <v>1</v>
      </c>
      <c r="F11" s="4" t="str">
        <f>IF(AND(B11&gt;0, C11=B11), "Completo", "Pendiente")</f>
        <v>Completo</v>
      </c>
      <c r="G11" s="7">
        <f>IF(C11&gt;0, IFERROR(AVERAGEIFS('Detalle individual'!$J$5:$J$297, 'Detalle individual'!$D$5:$D$297, A11), ""), "")</f>
        <v>100</v>
      </c>
      <c r="H11" s="6">
        <f>IF(C11&gt;0, IFERROR(_xlfn.MAXIFS('Detalle individual'!$J$5:$J$297, 'Detalle individual'!$D$5:$D$297, A11), ""), "")</f>
        <v>100</v>
      </c>
      <c r="I11" s="6">
        <f>IF(C11&gt;0, IFERROR(_xlfn.MINIFS('Detalle individual'!$J$5:$J$297, 'Detalle individual'!$D$5:$D$297, A11), ""), "")</f>
        <v>100</v>
      </c>
      <c r="J11" s="25">
        <f>IF(C11&gt;0, IFERROR(_xlfn.MINIFS('Detalle individual'!$G$5:$G$297, 'Detalle individual'!$D$5:$D$297, A11), ""), "")</f>
        <v>46296.47011574074</v>
      </c>
      <c r="K11" s="25">
        <f>IF(C11&gt;0, IFERROR(_xlfn.MAXIFS('Detalle individual'!$H$5:$H$297, 'Detalle individual'!$D$5:$D$297, A11), ""), "")</f>
        <v>46296.49747685185</v>
      </c>
      <c r="L11" s="7">
        <f>IF(C11&gt;0, IFERROR(_xlfn.MINIFS('Detalle individual'!$I$5:$I$297, 'Detalle individual'!$D$5:$D$297, A11), ""), "")</f>
        <v>9.16666666666667</v>
      </c>
      <c r="M11" s="7">
        <f>IF(C11&gt;0, IFERROR(AVERAGEIFS('Detalle individual'!$I$5:$I$297, 'Detalle individual'!$D$5:$D$297, A11), ""), "")</f>
        <v>11.9642857142857</v>
      </c>
    </row>
    <row r="12">
      <c r="A12" s="5" t="inlineStr">
        <is>
          <t>Gerencia de Operaciones</t>
        </is>
      </c>
      <c r="B12" s="8">
        <f>COUNTIF('Detalle individual'!$D$5:$D$297, A12)</f>
        <v>26</v>
      </c>
      <c r="C12" s="8">
        <f>COUNTIFS('Detalle individual'!$D$5:$D$297, A12, 'Detalle individual'!$F$5:$F$297, "Completado")</f>
        <v>21</v>
      </c>
      <c r="D12" s="8">
        <f>B12-C12</f>
        <v>5</v>
      </c>
      <c r="E12" s="9">
        <f>IF(B12&gt;0, C12/B12, 0)</f>
        <v>0.807692307692308</v>
      </c>
      <c r="F12" s="4" t="str">
        <f>IF(AND(B12&gt;0, C12=B12), "Completo", "Pendiente")</f>
        <v>Pendiente</v>
      </c>
      <c r="G12" s="7">
        <f>IF(C12&gt;0, IFERROR(AVERAGEIFS('Detalle individual'!$J$5:$J$297, 'Detalle individual'!$D$5:$D$297, A12), ""), "")</f>
        <v>94.2857142857143</v>
      </c>
      <c r="H12" s="6">
        <f>IF(C12&gt;0, IFERROR(_xlfn.MAXIFS('Detalle individual'!$J$5:$J$297, 'Detalle individual'!$D$5:$D$297, A12), ""), "")</f>
        <v>100</v>
      </c>
      <c r="I12" s="6">
        <f>IF(C12&gt;0, IFERROR(_xlfn.MINIFS('Detalle individual'!$J$5:$J$297, 'Detalle individual'!$D$5:$D$297, A12), ""), "")</f>
        <v>70</v>
      </c>
      <c r="J12" s="25">
        <f>IF(C12&gt;0, IFERROR(_xlfn.MINIFS('Detalle individual'!$G$5:$G$297, 'Detalle individual'!$D$5:$D$297, A12), ""), "")</f>
        <v>46296.56951388889</v>
      </c>
      <c r="K12" s="25">
        <f>IF(C12&gt;0, IFERROR(_xlfn.MAXIFS('Detalle individual'!$H$5:$H$297, 'Detalle individual'!$D$5:$D$297, A12), ""), "")</f>
        <v>46309.65164351852</v>
      </c>
      <c r="L12" s="7">
        <f>IF(C12&gt;0, IFERROR(_xlfn.MINIFS('Detalle individual'!$I$5:$I$297, 'Detalle individual'!$D$5:$D$297, A12), ""), "")</f>
        <v>1.68333333333333</v>
      </c>
      <c r="M12" s="7">
        <f>IF(C12&gt;0, IFERROR(AVERAGEIFS('Detalle individual'!$I$5:$I$297, 'Detalle individual'!$D$5:$D$297, A12), ""), "")</f>
        <v>9.44920634805873</v>
      </c>
    </row>
    <row r="13">
      <c r="A13" s="5" t="inlineStr">
        <is>
          <t>Gerencia de Sistemas</t>
        </is>
      </c>
      <c r="B13" s="8">
        <f>COUNTIF('Detalle individual'!$D$5:$D$297, A13)</f>
        <v>23</v>
      </c>
      <c r="C13" s="8">
        <f>COUNTIFS('Detalle individual'!$D$5:$D$297, A13, 'Detalle individual'!$F$5:$F$297, "Completado")</f>
        <v>20</v>
      </c>
      <c r="D13" s="8">
        <f>B13-C13</f>
        <v>3</v>
      </c>
      <c r="E13" s="9">
        <f>IF(B13&gt;0, C13/B13, 0)</f>
        <v>0.869565217391304</v>
      </c>
      <c r="F13" s="4" t="str">
        <f>IF(AND(B13&gt;0, C13=B13), "Completo", "Pendiente")</f>
        <v>Pendiente</v>
      </c>
      <c r="G13" s="7">
        <f>IF(C13&gt;0, IFERROR(AVERAGEIFS('Detalle individual'!$J$5:$J$297, 'Detalle individual'!$D$5:$D$297, A13), ""), "")</f>
        <v>99.5</v>
      </c>
      <c r="H13" s="6">
        <f>IF(C13&gt;0, IFERROR(_xlfn.MAXIFS('Detalle individual'!$J$5:$J$297, 'Detalle individual'!$D$5:$D$297, A13), ""), "")</f>
        <v>100</v>
      </c>
      <c r="I13" s="6">
        <f>IF(C13&gt;0, IFERROR(_xlfn.MINIFS('Detalle individual'!$J$5:$J$297, 'Detalle individual'!$D$5:$D$297, A13), ""), "")</f>
        <v>95</v>
      </c>
      <c r="J13" s="25">
        <f>IF(C13&gt;0, IFERROR(_xlfn.MINIFS('Detalle individual'!$G$5:$G$297, 'Detalle individual'!$D$5:$D$297, A13), ""), "")</f>
        <v>46296.56962962963</v>
      </c>
      <c r="K13" s="25">
        <f>IF(C13&gt;0, IFERROR(_xlfn.MAXIFS('Detalle individual'!$H$5:$H$297, 'Detalle individual'!$D$5:$D$297, A13), ""), "")</f>
        <v>46307.69321759259</v>
      </c>
      <c r="L13" s="7">
        <f>IF(C13&gt;0, IFERROR(_xlfn.MINIFS('Detalle individual'!$I$5:$I$297, 'Detalle individual'!$D$5:$D$297, A13), ""), "")</f>
        <v>3.01666666666667</v>
      </c>
      <c r="M13" s="7">
        <f>IF(C13&gt;0, IFERROR(AVERAGEIFS('Detalle individual'!$I$5:$I$297, 'Detalle individual'!$D$5:$D$297, A13), ""), "")</f>
        <v>14.4383333333333</v>
      </c>
    </row>
    <row r="14">
      <c r="A14" s="5" t="inlineStr">
        <is>
          <t>Consejo de Administración</t>
        </is>
      </c>
      <c r="B14" s="8">
        <f>COUNTIF('Detalle individual'!$D$5:$D$297, A14)</f>
        <v>1</v>
      </c>
      <c r="C14" s="8">
        <f>COUNTIFS('Detalle individual'!$D$5:$D$297, A14, 'Detalle individual'!$F$5:$F$297, "Completado")</f>
        <v>1</v>
      </c>
      <c r="D14" s="8">
        <f>B14-C14</f>
        <v>0</v>
      </c>
      <c r="E14" s="9">
        <f>IF(B14&gt;0, C14/B14, 0)</f>
        <v>1</v>
      </c>
      <c r="F14" s="4" t="str">
        <f>IF(AND(B14&gt;0, C14=B14), "Completo", "Pendiente")</f>
        <v>Completo</v>
      </c>
      <c r="G14" s="7">
        <f>IF(C14&gt;0, IFERROR(AVERAGEIFS('Detalle individual'!$J$5:$J$297, 'Detalle individual'!$D$5:$D$297, A14), ""), "")</f>
        <v>90</v>
      </c>
      <c r="H14" s="6">
        <f>IF(C14&gt;0, IFERROR(_xlfn.MAXIFS('Detalle individual'!$J$5:$J$297, 'Detalle individual'!$D$5:$D$297, A14), ""), "")</f>
        <v>90</v>
      </c>
      <c r="I14" s="6">
        <f>IF(C14&gt;0, IFERROR(_xlfn.MINIFS('Detalle individual'!$J$5:$J$297, 'Detalle individual'!$D$5:$D$297, A14), ""), "")</f>
        <v>90</v>
      </c>
      <c r="J14" s="25">
        <f>IF(C14&gt;0, IFERROR(_xlfn.MINIFS('Detalle individual'!$G$5:$G$297, 'Detalle individual'!$D$5:$D$297, A14), ""), "")</f>
        <v>46300.65247685185</v>
      </c>
      <c r="K14" s="25">
        <f>IF(C14&gt;0, IFERROR(_xlfn.MAXIFS('Detalle individual'!$H$5:$H$297, 'Detalle individual'!$D$5:$D$297, A14), ""), "")</f>
        <v>46300.658009259256</v>
      </c>
      <c r="L14" s="7">
        <f>IF(C14&gt;0, IFERROR(_xlfn.MINIFS('Detalle individual'!$I$5:$I$297, 'Detalle individual'!$D$5:$D$297, A14), ""), "")</f>
        <v>7.96666666666667</v>
      </c>
      <c r="M14" s="7">
        <f>IF(C14&gt;0, IFERROR(AVERAGEIFS('Detalle individual'!$I$5:$I$297, 'Detalle individual'!$D$5:$D$297, A14), ""), "")</f>
        <v>7.96666666666667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B1:R57"/>
  <sheetViews>
    <sheetView showGridLines="0" tabSelected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0" customWidth="1" min="15" max="15"/>
    <col width="13" customWidth="1" min="16" max="16"/>
    <col hidden="1" width="4" customWidth="1" min="18" max="18"/>
  </cols>
  <sheetData>
    <row r="1" ht="34" customHeight="1">
      <c r="B1" s="28" t="inlineStr">
        <is>
          <t>DASHBOARD GERENCIAL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</row>
    <row r="2" ht="22" customHeight="1">
      <c r="B2" s="30" t="inlineStr">
        <is>
          <t>Seleccione una gerencia en la celda amarilla para ver sus indicadores y el avance de cada departamento</t>
        </is>
      </c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</row>
    <row r="3" ht="8" customHeight="1"/>
    <row r="4">
      <c r="B4" s="31" t="inlineStr">
        <is>
          <t>GERENCIA SELECCIONADA</t>
        </is>
      </c>
    </row>
    <row r="5" ht="26" customHeight="1">
      <c r="B5" s="32" t="inlineStr">
        <is>
          <t>Todas las gerencias</t>
        </is>
      </c>
      <c r="C5" s="33" t="n"/>
      <c r="D5" s="33" t="n"/>
      <c r="E5" s="33" t="n"/>
      <c r="F5" s="34" t="n"/>
      <c r="H5" s="35" t="str">
        <f>HYPERLINK("#'Estado por Colaborador'!A1","Ver la lista de colaboradores pendientes y completados  →")</f>
        <v>Ver la lista de colaboradores pendientes y completados  →</v>
      </c>
    </row>
    <row r="6" ht="10" customHeight="1"/>
    <row r="7">
      <c r="C7" s="36" t="inlineStr">
        <is>
          <t>PERSONAL ESPERADO</t>
        </is>
      </c>
      <c r="D7" s="37" t="n"/>
      <c r="E7" s="38" t="n"/>
      <c r="F7" s="39" t="inlineStr">
        <is>
          <t>COMPLETADOS</t>
        </is>
      </c>
      <c r="G7" s="40" t="n"/>
      <c r="H7" s="41" t="n"/>
      <c r="I7" s="42" t="inlineStr">
        <is>
          <t>PENDIENTES</t>
        </is>
      </c>
      <c r="J7" s="43" t="n"/>
      <c r="K7" s="44" t="n"/>
      <c r="L7" s="36" t="inlineStr">
        <is>
          <t>% CUMPLIMIENTO</t>
        </is>
      </c>
      <c r="M7" s="37" t="n"/>
      <c r="N7" s="38" t="n"/>
      <c r="O7" s="45" t="inlineStr">
        <is>
          <t>NOTA PROMEDIO</t>
        </is>
      </c>
      <c r="P7" s="46" t="n"/>
    </row>
    <row r="8" ht="22" customHeight="1">
      <c r="C8" s="47">
        <f>IF($B$5="Todas las gerencias",SUM('Consolidado por Gerencia'!$B$5:$B$14),SUMIF('Consolidado por Gerencia'!$A$5:$A$14,$B$5,'Consolidado por Gerencia'!$B$5:$B$14))</f>
        <v>293</v>
      </c>
      <c r="E8" s="48" t="n"/>
      <c r="F8" s="49">
        <f>IF($B$5="Todas las gerencias",SUM('Consolidado por Gerencia'!$C$5:$C$14),SUMIF('Consolidado por Gerencia'!$A$5:$A$14,$B$5,'Consolidado por Gerencia'!$C$5:$C$14))</f>
        <v>230</v>
      </c>
      <c r="H8" s="48" t="n"/>
      <c r="I8" s="50">
        <f>C8-F8</f>
        <v>63</v>
      </c>
      <c r="K8" s="48" t="n"/>
      <c r="L8" s="51">
        <f>IF(C8&gt;0,F8/C8,0)</f>
        <v>0.784982935153584</v>
      </c>
      <c r="N8" s="48" t="n"/>
      <c r="O8" s="52">
        <f>IFERROR(IF($B$5="Todas las gerencias",AVERAGE('Detalle individual'!$J$5:$J$297),AVERAGEIFS('Detalle individual'!$J$5:$J$297,'Detalle individual'!$D$5:$D$297,$B$5)),"-")</f>
        <v>96.5434782608696</v>
      </c>
      <c r="P8" s="53" t="n"/>
    </row>
    <row r="9" ht="22" customHeight="1">
      <c r="C9" s="54" t="n"/>
      <c r="E9" s="48" t="n"/>
      <c r="F9" s="54" t="n"/>
      <c r="H9" s="48" t="n"/>
      <c r="I9" s="54" t="n"/>
      <c r="K9" s="48" t="n"/>
      <c r="L9" s="54" t="n"/>
      <c r="N9" s="48" t="n"/>
      <c r="O9" s="55" t="n"/>
      <c r="P9" s="53" t="n"/>
    </row>
    <row r="10">
      <c r="C10" s="56" t="n"/>
      <c r="D10" s="57" t="n"/>
      <c r="E10" s="22" t="n"/>
      <c r="F10" s="56" t="n"/>
      <c r="G10" s="57" t="n"/>
      <c r="H10" s="22" t="n"/>
      <c r="I10" s="56" t="n"/>
      <c r="J10" s="57" t="n"/>
      <c r="K10" s="22" t="n"/>
      <c r="L10" s="56" t="n"/>
      <c r="M10" s="57" t="n"/>
      <c r="N10" s="22" t="n"/>
      <c r="O10" s="58" t="n"/>
      <c r="P10" s="59" t="n"/>
    </row>
    <row r="11" ht="12" customHeight="1"/>
    <row r="12">
      <c r="B12" s="60" t="inlineStr">
        <is>
          <t>AVANCE POR DEPARTAMENTO (ordenado de mayor a menor cumplimiento)</t>
        </is>
      </c>
      <c r="C12" s="61" t="n"/>
      <c r="D12" s="61" t="n"/>
      <c r="E12" s="61" t="n"/>
      <c r="F12" s="61" t="n"/>
      <c r="G12" s="61" t="n"/>
      <c r="H12" s="61" t="n"/>
      <c r="I12" s="61" t="n"/>
      <c r="J12" s="61" t="n"/>
      <c r="K12" s="61" t="n"/>
      <c r="L12" s="61" t="n"/>
      <c r="M12" s="61" t="n"/>
      <c r="N12" s="61" t="n"/>
      <c r="O12" s="61" t="n"/>
      <c r="P12" s="61" t="n"/>
    </row>
    <row r="13" ht="30" customHeight="1">
      <c r="B13" s="62" t="inlineStr">
        <is>
          <t>#</t>
        </is>
      </c>
      <c r="C13" s="62" t="inlineStr">
        <is>
          <t>Departamento / Agencia</t>
        </is>
      </c>
      <c r="D13" s="29" t="n"/>
      <c r="E13" s="29" t="n"/>
      <c r="F13" s="29" t="n"/>
      <c r="G13" s="62" t="inlineStr">
        <is>
          <t>Gerencia</t>
        </is>
      </c>
      <c r="H13" s="29" t="n"/>
      <c r="I13" s="29" t="n"/>
      <c r="J13" s="62" t="inlineStr">
        <is>
          <t>Esperado</t>
        </is>
      </c>
      <c r="K13" s="62" t="inlineStr">
        <is>
          <t>Completados</t>
        </is>
      </c>
      <c r="L13" s="62" t="inlineStr">
        <is>
          <t>Pendientes</t>
        </is>
      </c>
      <c r="M13" s="62" t="inlineStr">
        <is>
          <t>% Cumplimiento</t>
        </is>
      </c>
      <c r="N13" s="29" t="n"/>
      <c r="O13" s="62" t="inlineStr">
        <is>
          <t>Nota prom.</t>
        </is>
      </c>
      <c r="P13" s="62" t="inlineStr">
        <is>
          <t>Estado</t>
        </is>
      </c>
    </row>
    <row r="14" ht="18" customHeight="1">
      <c r="B14" s="63">
        <f>IF($R14="","",1)</f>
        <v>1</v>
      </c>
      <c r="C14" s="64" t="str">
        <f>IF($R14="","",INDEX('Cálculos'!$O:$O,$R14))</f>
        <v>DEPARTAMENTO DE SERVICIOS GENERALES</v>
      </c>
      <c r="G14" s="64" t="str">
        <f>IF($R14="","",INDEX('Cálculos'!$P:$P,$R14))</f>
        <v>Gerencia Administrativa</v>
      </c>
      <c r="J14" s="63">
        <f>IF($R14="","",INDEX('Cálculos'!$Q:$Q,$R14))</f>
        <v>17</v>
      </c>
      <c r="K14" s="63">
        <f>IF($R14="","",INDEX('Cálculos'!$M:$M,$R14))</f>
        <v>17</v>
      </c>
      <c r="L14" s="63">
        <f>IF($R14="","",INDEX('Cálculos'!$N:$N,$R14))</f>
        <v>0</v>
      </c>
      <c r="M14" s="65">
        <f>IF($R14="","",INDEX('Cálculos'!$R:$R,$R14))</f>
        <v>1</v>
      </c>
      <c r="O14" s="66">
        <f>IF($R14="","",INDEX('Cálculos'!$S:$S,$R14))</f>
        <v>89.7058823529412</v>
      </c>
      <c r="P14" s="63" t="str">
        <f>IF($R14="","",IF(M14&gt;=1,"Completo","Pendiente"))</f>
        <v>Completo</v>
      </c>
      <c r="R14">
        <f>IFERROR(SMALL('Cálculos'!$T$20:$T$63,1),"")</f>
        <v>20</v>
      </c>
    </row>
    <row r="15" ht="18" customHeight="1">
      <c r="B15" s="63">
        <f>IF($R15="","",2)</f>
        <v>2</v>
      </c>
      <c r="C15" s="64" t="str">
        <f>IF($R15="","",INDEX('Cálculos'!$O:$O,$R15))</f>
        <v>DEPARTAMENTO DE CREDITOS</v>
      </c>
      <c r="G15" s="64" t="str">
        <f>IF($R15="","",INDEX('Cálculos'!$P:$P,$R15))</f>
        <v>Gerencia de Negocios</v>
      </c>
      <c r="J15" s="63">
        <f>IF($R15="","",INDEX('Cálculos'!$Q:$Q,$R15))</f>
        <v>13</v>
      </c>
      <c r="K15" s="63">
        <f>IF($R15="","",INDEX('Cálculos'!$M:$M,$R15))</f>
        <v>13</v>
      </c>
      <c r="L15" s="63">
        <f>IF($R15="","",INDEX('Cálculos'!$N:$N,$R15))</f>
        <v>0</v>
      </c>
      <c r="M15" s="65">
        <f>IF($R15="","",INDEX('Cálculos'!$R:$R,$R15))</f>
        <v>1</v>
      </c>
      <c r="O15" s="66">
        <f>IF($R15="","",INDEX('Cálculos'!$S:$S,$R15))</f>
        <v>98.4615384615385</v>
      </c>
      <c r="P15" s="63" t="str">
        <f>IF($R15="","",IF(M15&gt;=1,"Completo","Pendiente"))</f>
        <v>Completo</v>
      </c>
      <c r="R15">
        <f>IFERROR(SMALL('Cálculos'!$T$20:$T$63,2),"")</f>
        <v>21</v>
      </c>
    </row>
    <row r="16" ht="18" customHeight="1">
      <c r="B16" s="63">
        <f>IF($R16="","",3)</f>
        <v>3</v>
      </c>
      <c r="C16" s="64" t="str">
        <f>IF($R16="","",INDEX('Cálculos'!$O:$O,$R16))</f>
        <v>DEPARTAMENTO LEGAL</v>
      </c>
      <c r="G16" s="64" t="str">
        <f>IF($R16="","",INDEX('Cálculos'!$P:$P,$R16))</f>
        <v>Gerencia Legal y Cumplimiento Normativo</v>
      </c>
      <c r="J16" s="63">
        <f>IF($R16="","",INDEX('Cálculos'!$Q:$Q,$R16))</f>
        <v>8</v>
      </c>
      <c r="K16" s="63">
        <f>IF($R16="","",INDEX('Cálculos'!$M:$M,$R16))</f>
        <v>8</v>
      </c>
      <c r="L16" s="63">
        <f>IF($R16="","",INDEX('Cálculos'!$N:$N,$R16))</f>
        <v>0</v>
      </c>
      <c r="M16" s="65">
        <f>IF($R16="","",INDEX('Cálculos'!$R:$R,$R16))</f>
        <v>1</v>
      </c>
      <c r="O16" s="66">
        <f>IF($R16="","",INDEX('Cálculos'!$S:$S,$R16))</f>
        <v>97.5</v>
      </c>
      <c r="P16" s="63" t="str">
        <f>IF($R16="","",IF(M16&gt;=1,"Completo","Pendiente"))</f>
        <v>Completo</v>
      </c>
      <c r="R16">
        <f>IFERROR(SMALL('Cálculos'!$T$20:$T$63,3),"")</f>
        <v>22</v>
      </c>
    </row>
    <row r="17" ht="18" customHeight="1">
      <c r="B17" s="63">
        <f>IF($R17="","",4)</f>
        <v>4</v>
      </c>
      <c r="C17" s="64" t="str">
        <f>IF($R17="","",INDEX('Cálculos'!$O:$O,$R17))</f>
        <v>AGENCIA USULUTAN</v>
      </c>
      <c r="G17" s="64" t="str">
        <f>IF($R17="","",INDEX('Cálculos'!$P:$P,$R17))</f>
        <v>Gerencia de Negocios</v>
      </c>
      <c r="J17" s="63">
        <f>IF($R17="","",INDEX('Cálculos'!$Q:$Q,$R17))</f>
        <v>7</v>
      </c>
      <c r="K17" s="63">
        <f>IF($R17="","",INDEX('Cálculos'!$M:$M,$R17))</f>
        <v>7</v>
      </c>
      <c r="L17" s="63">
        <f>IF($R17="","",INDEX('Cálculos'!$N:$N,$R17))</f>
        <v>0</v>
      </c>
      <c r="M17" s="65">
        <f>IF($R17="","",INDEX('Cálculos'!$R:$R,$R17))</f>
        <v>1</v>
      </c>
      <c r="O17" s="66">
        <f>IF($R17="","",INDEX('Cálculos'!$S:$S,$R17))</f>
        <v>100</v>
      </c>
      <c r="P17" s="63" t="str">
        <f>IF($R17="","",IF(M17&gt;=1,"Completo","Pendiente"))</f>
        <v>Completo</v>
      </c>
      <c r="R17">
        <f>IFERROR(SMALL('Cálculos'!$T$20:$T$63,4),"")</f>
        <v>23</v>
      </c>
    </row>
    <row r="18" ht="18" customHeight="1">
      <c r="B18" s="63">
        <f>IF($R18="","",5)</f>
        <v>5</v>
      </c>
      <c r="C18" s="64" t="str">
        <f>IF($R18="","",INDEX('Cálculos'!$O:$O,$R18))</f>
        <v>DEPARTAMENTO DE AUDITORIA INTERNA</v>
      </c>
      <c r="G18" s="64" t="str">
        <f>IF($R18="","",INDEX('Cálculos'!$P:$P,$R18))</f>
        <v>Auditoría Interna</v>
      </c>
      <c r="J18" s="63">
        <f>IF($R18="","",INDEX('Cálculos'!$Q:$Q,$R18))</f>
        <v>7</v>
      </c>
      <c r="K18" s="63">
        <f>IF($R18="","",INDEX('Cálculos'!$M:$M,$R18))</f>
        <v>7</v>
      </c>
      <c r="L18" s="63">
        <f>IF($R18="","",INDEX('Cálculos'!$N:$N,$R18))</f>
        <v>0</v>
      </c>
      <c r="M18" s="65">
        <f>IF($R18="","",INDEX('Cálculos'!$R:$R,$R18))</f>
        <v>1</v>
      </c>
      <c r="O18" s="66">
        <f>IF($R18="","",INDEX('Cálculos'!$S:$S,$R18))</f>
        <v>97.1428571428571</v>
      </c>
      <c r="P18" s="63" t="str">
        <f>IF($R18="","",IF(M18&gt;=1,"Completo","Pendiente"))</f>
        <v>Completo</v>
      </c>
      <c r="R18">
        <f>IFERROR(SMALL('Cálculos'!$T$20:$T$63,5),"")</f>
        <v>24</v>
      </c>
    </row>
    <row r="19" ht="18" customHeight="1">
      <c r="B19" s="63">
        <f>IF($R19="","",6)</f>
        <v>6</v>
      </c>
      <c r="C19" s="64" t="str">
        <f>IF($R19="","",INDEX('Cálculos'!$O:$O,$R19))</f>
        <v>OFICIALIA DE CUMPLIMIENTO</v>
      </c>
      <c r="G19" s="64" t="str">
        <f>IF($R19="","",INDEX('Cálculos'!$P:$P,$R19))</f>
        <v>Gerencia de Oficialía de Cumplimiento</v>
      </c>
      <c r="J19" s="63">
        <f>IF($R19="","",INDEX('Cálculos'!$Q:$Q,$R19))</f>
        <v>7</v>
      </c>
      <c r="K19" s="63">
        <f>IF($R19="","",INDEX('Cálculos'!$M:$M,$R19))</f>
        <v>7</v>
      </c>
      <c r="L19" s="63">
        <f>IF($R19="","",INDEX('Cálculos'!$N:$N,$R19))</f>
        <v>0</v>
      </c>
      <c r="M19" s="65">
        <f>IF($R19="","",INDEX('Cálculos'!$R:$R,$R19))</f>
        <v>1</v>
      </c>
      <c r="O19" s="66">
        <f>IF($R19="","",INDEX('Cálculos'!$S:$S,$R19))</f>
        <v>100</v>
      </c>
      <c r="P19" s="63" t="str">
        <f>IF($R19="","",IF(M19&gt;=1,"Completo","Pendiente"))</f>
        <v>Completo</v>
      </c>
      <c r="R19">
        <f>IFERROR(SMALL('Cálculos'!$T$20:$T$63,6),"")</f>
        <v>25</v>
      </c>
    </row>
    <row r="20" ht="18" customHeight="1">
      <c r="B20" s="63">
        <f>IF($R20="","",7)</f>
        <v>7</v>
      </c>
      <c r="C20" s="64" t="str">
        <f>IF($R20="","",INDEX('Cálculos'!$O:$O,$R20))</f>
        <v>DEPARTAMENTO DE CUSTODIA DE GARANTÍA Y VALORES</v>
      </c>
      <c r="G20" s="64" t="str">
        <f>IF($R20="","",INDEX('Cálculos'!$P:$P,$R20))</f>
        <v>Gerencia Administrativa</v>
      </c>
      <c r="J20" s="63">
        <f>IF($R20="","",INDEX('Cálculos'!$Q:$Q,$R20))</f>
        <v>6</v>
      </c>
      <c r="K20" s="63">
        <f>IF($R20="","",INDEX('Cálculos'!$M:$M,$R20))</f>
        <v>6</v>
      </c>
      <c r="L20" s="63">
        <f>IF($R20="","",INDEX('Cálculos'!$N:$N,$R20))</f>
        <v>0</v>
      </c>
      <c r="M20" s="65">
        <f>IF($R20="","",INDEX('Cálculos'!$R:$R,$R20))</f>
        <v>1</v>
      </c>
      <c r="O20" s="66">
        <f>IF($R20="","",INDEX('Cálculos'!$S:$S,$R20))</f>
        <v>100</v>
      </c>
      <c r="P20" s="63" t="str">
        <f>IF($R20="","",IF(M20&gt;=1,"Completo","Pendiente"))</f>
        <v>Completo</v>
      </c>
      <c r="R20">
        <f>IFERROR(SMALL('Cálculos'!$T$20:$T$63,7),"")</f>
        <v>26</v>
      </c>
    </row>
    <row r="21" ht="18" customHeight="1">
      <c r="B21" s="63">
        <f>IF($R21="","",8)</f>
        <v>8</v>
      </c>
      <c r="C21" s="64" t="str">
        <f>IF($R21="","",INDEX('Cálculos'!$O:$O,$R21))</f>
        <v>ADMINISTRACION DE RIESGOS</v>
      </c>
      <c r="G21" s="64" t="str">
        <f>IF($R21="","",INDEX('Cálculos'!$P:$P,$R21))</f>
        <v>Gerencia General</v>
      </c>
      <c r="J21" s="63">
        <f>IF($R21="","",INDEX('Cálculos'!$Q:$Q,$R21))</f>
        <v>4</v>
      </c>
      <c r="K21" s="63">
        <f>IF($R21="","",INDEX('Cálculos'!$M:$M,$R21))</f>
        <v>4</v>
      </c>
      <c r="L21" s="63">
        <f>IF($R21="","",INDEX('Cálculos'!$N:$N,$R21))</f>
        <v>0</v>
      </c>
      <c r="M21" s="65">
        <f>IF($R21="","",INDEX('Cálculos'!$R:$R,$R21))</f>
        <v>1</v>
      </c>
      <c r="O21" s="66">
        <f>IF($R21="","",INDEX('Cálculos'!$S:$S,$R21))</f>
        <v>100</v>
      </c>
      <c r="P21" s="63" t="str">
        <f>IF($R21="","",IF(M21&gt;=1,"Completo","Pendiente"))</f>
        <v>Completo</v>
      </c>
      <c r="R21">
        <f>IFERROR(SMALL('Cálculos'!$T$20:$T$63,8),"")</f>
        <v>27</v>
      </c>
    </row>
    <row r="22" ht="18" customHeight="1">
      <c r="B22" s="63">
        <f>IF($R22="","",9)</f>
        <v>9</v>
      </c>
      <c r="C22" s="64" t="str">
        <f>IF($R22="","",INDEX('Cálculos'!$O:$O,$R22))</f>
        <v>DEPARTAMENTO DE DEPOSITOS</v>
      </c>
      <c r="G22" s="64" t="str">
        <f>IF($R22="","",INDEX('Cálculos'!$P:$P,$R22))</f>
        <v>Gerencia de Operaciones</v>
      </c>
      <c r="J22" s="63">
        <f>IF($R22="","",INDEX('Cálculos'!$Q:$Q,$R22))</f>
        <v>4</v>
      </c>
      <c r="K22" s="63">
        <f>IF($R22="","",INDEX('Cálculos'!$M:$M,$R22))</f>
        <v>4</v>
      </c>
      <c r="L22" s="63">
        <f>IF($R22="","",INDEX('Cálculos'!$N:$N,$R22))</f>
        <v>0</v>
      </c>
      <c r="M22" s="65">
        <f>IF($R22="","",INDEX('Cálculos'!$R:$R,$R22))</f>
        <v>1</v>
      </c>
      <c r="O22" s="66">
        <f>IF($R22="","",INDEX('Cálculos'!$S:$S,$R22))</f>
        <v>98.75</v>
      </c>
      <c r="P22" s="63" t="str">
        <f>IF($R22="","",IF(M22&gt;=1,"Completo","Pendiente"))</f>
        <v>Completo</v>
      </c>
      <c r="R22">
        <f>IFERROR(SMALL('Cálculos'!$T$20:$T$63,9),"")</f>
        <v>28</v>
      </c>
    </row>
    <row r="23" ht="18" customHeight="1">
      <c r="B23" s="63">
        <f>IF($R23="","",10)</f>
        <v>10</v>
      </c>
      <c r="C23" s="64" t="str">
        <f>IF($R23="","",INDEX('Cálculos'!$O:$O,$R23))</f>
        <v>OFICIALIA DE SEGURIDAD DE LA INFORMACION</v>
      </c>
      <c r="G23" s="64" t="str">
        <f>IF($R23="","",INDEX('Cálculos'!$P:$P,$R23))</f>
        <v>Gerencia General</v>
      </c>
      <c r="J23" s="63">
        <f>IF($R23="","",INDEX('Cálculos'!$Q:$Q,$R23))</f>
        <v>4</v>
      </c>
      <c r="K23" s="63">
        <f>IF($R23="","",INDEX('Cálculos'!$M:$M,$R23))</f>
        <v>4</v>
      </c>
      <c r="L23" s="63">
        <f>IF($R23="","",INDEX('Cálculos'!$N:$N,$R23))</f>
        <v>0</v>
      </c>
      <c r="M23" s="65">
        <f>IF($R23="","",INDEX('Cálculos'!$R:$R,$R23))</f>
        <v>1</v>
      </c>
      <c r="O23" s="66">
        <f>IF($R23="","",INDEX('Cálculos'!$S:$S,$R23))</f>
        <v>96.25</v>
      </c>
      <c r="P23" s="63" t="str">
        <f>IF($R23="","",IF(M23&gt;=1,"Completo","Pendiente"))</f>
        <v>Completo</v>
      </c>
      <c r="R23">
        <f>IFERROR(SMALL('Cálculos'!$T$20:$T$63,10),"")</f>
        <v>29</v>
      </c>
    </row>
    <row r="24" ht="18" customHeight="1">
      <c r="B24" s="63">
        <f>IF($R24="","",11)</f>
        <v>11</v>
      </c>
      <c r="C24" s="64" t="str">
        <f>IF($R24="","",INDEX('Cálculos'!$O:$O,$R24))</f>
        <v>DEPARTAMENTO DE PROCESOS</v>
      </c>
      <c r="G24" s="64" t="str">
        <f>IF($R24="","",INDEX('Cálculos'!$P:$P,$R24))</f>
        <v>Gerencia General</v>
      </c>
      <c r="J24" s="63">
        <f>IF($R24="","",INDEX('Cálculos'!$Q:$Q,$R24))</f>
        <v>3</v>
      </c>
      <c r="K24" s="63">
        <f>IF($R24="","",INDEX('Cálculos'!$M:$M,$R24))</f>
        <v>3</v>
      </c>
      <c r="L24" s="63">
        <f>IF($R24="","",INDEX('Cálculos'!$N:$N,$R24))</f>
        <v>0</v>
      </c>
      <c r="M24" s="65">
        <f>IF($R24="","",INDEX('Cálculos'!$R:$R,$R24))</f>
        <v>1</v>
      </c>
      <c r="O24" s="66">
        <f>IF($R24="","",INDEX('Cálculos'!$S:$S,$R24))</f>
        <v>100</v>
      </c>
      <c r="P24" s="63" t="str">
        <f>IF($R24="","",IF(M24&gt;=1,"Completo","Pendiente"))</f>
        <v>Completo</v>
      </c>
      <c r="R24">
        <f>IFERROR(SMALL('Cálculos'!$T$20:$T$63,11),"")</f>
        <v>30</v>
      </c>
    </row>
    <row r="25" ht="18" customHeight="1">
      <c r="B25" s="63">
        <f>IF($R25="","",12)</f>
        <v>12</v>
      </c>
      <c r="C25" s="64" t="str">
        <f>IF($R25="","",INDEX('Cálculos'!$O:$O,$R25))</f>
        <v>CLINICA EMPRESARIAL</v>
      </c>
      <c r="G25" s="64" t="str">
        <f>IF($R25="","",INDEX('Cálculos'!$P:$P,$R25))</f>
        <v>Gerencia Administrativa</v>
      </c>
      <c r="J25" s="63">
        <f>IF($R25="","",INDEX('Cálculos'!$Q:$Q,$R25))</f>
        <v>2</v>
      </c>
      <c r="K25" s="63">
        <f>IF($R25="","",INDEX('Cálculos'!$M:$M,$R25))</f>
        <v>2</v>
      </c>
      <c r="L25" s="63">
        <f>IF($R25="","",INDEX('Cálculos'!$N:$N,$R25))</f>
        <v>0</v>
      </c>
      <c r="M25" s="65">
        <f>IF($R25="","",INDEX('Cálculos'!$R:$R,$R25))</f>
        <v>1</v>
      </c>
      <c r="O25" s="66">
        <f>IF($R25="","",INDEX('Cálculos'!$S:$S,$R25))</f>
        <v>100</v>
      </c>
      <c r="P25" s="63" t="str">
        <f>IF($R25="","",IF(M25&gt;=1,"Completo","Pendiente"))</f>
        <v>Completo</v>
      </c>
      <c r="R25">
        <f>IFERROR(SMALL('Cálculos'!$T$20:$T$63,12),"")</f>
        <v>31</v>
      </c>
    </row>
    <row r="26" ht="18" customHeight="1">
      <c r="B26" s="63">
        <f>IF($R26="","",13)</f>
        <v>13</v>
      </c>
      <c r="C26" s="64" t="str">
        <f>IF($R26="","",INDEX('Cálculos'!$O:$O,$R26))</f>
        <v>DEPARTAMENTO DE SEGURIDAD</v>
      </c>
      <c r="G26" s="64" t="str">
        <f>IF($R26="","",INDEX('Cálculos'!$P:$P,$R26))</f>
        <v>Gerencia Administrativa</v>
      </c>
      <c r="J26" s="63">
        <f>IF($R26="","",INDEX('Cálculos'!$Q:$Q,$R26))</f>
        <v>2</v>
      </c>
      <c r="K26" s="63">
        <f>IF($R26="","",INDEX('Cálculos'!$M:$M,$R26))</f>
        <v>2</v>
      </c>
      <c r="L26" s="63">
        <f>IF($R26="","",INDEX('Cálculos'!$N:$N,$R26))</f>
        <v>0</v>
      </c>
      <c r="M26" s="65">
        <f>IF($R26="","",INDEX('Cálculos'!$R:$R,$R26))</f>
        <v>1</v>
      </c>
      <c r="O26" s="66">
        <f>IF($R26="","",INDEX('Cálculos'!$S:$S,$R26))</f>
        <v>95</v>
      </c>
      <c r="P26" s="63" t="str">
        <f>IF($R26="","",IF(M26&gt;=1,"Completo","Pendiente"))</f>
        <v>Completo</v>
      </c>
      <c r="R26">
        <f>IFERROR(SMALL('Cálculos'!$T$20:$T$63,13),"")</f>
        <v>32</v>
      </c>
    </row>
    <row r="27" ht="18" customHeight="1">
      <c r="B27" s="63">
        <f>IF($R27="","",14)</f>
        <v>14</v>
      </c>
      <c r="C27" s="64" t="str">
        <f>IF($R27="","",INDEX('Cálculos'!$O:$O,$R27))</f>
        <v>GERENCIA ADMINISTRATIVA</v>
      </c>
      <c r="G27" s="64" t="str">
        <f>IF($R27="","",INDEX('Cálculos'!$P:$P,$R27))</f>
        <v>Gerencia Administrativa</v>
      </c>
      <c r="J27" s="63">
        <f>IF($R27="","",INDEX('Cálculos'!$Q:$Q,$R27))</f>
        <v>2</v>
      </c>
      <c r="K27" s="63">
        <f>IF($R27="","",INDEX('Cálculos'!$M:$M,$R27))</f>
        <v>2</v>
      </c>
      <c r="L27" s="63">
        <f>IF($R27="","",INDEX('Cálculos'!$N:$N,$R27))</f>
        <v>0</v>
      </c>
      <c r="M27" s="65">
        <f>IF($R27="","",INDEX('Cálculos'!$R:$R,$R27))</f>
        <v>1</v>
      </c>
      <c r="O27" s="66">
        <f>IF($R27="","",INDEX('Cálculos'!$S:$S,$R27))</f>
        <v>100</v>
      </c>
      <c r="P27" s="63" t="str">
        <f>IF($R27="","",IF(M27&gt;=1,"Completo","Pendiente"))</f>
        <v>Completo</v>
      </c>
      <c r="R27">
        <f>IFERROR(SMALL('Cálculos'!$T$20:$T$63,14),"")</f>
        <v>33</v>
      </c>
    </row>
    <row r="28" ht="18" customHeight="1">
      <c r="B28" s="63">
        <f>IF($R28="","",15)</f>
        <v>15</v>
      </c>
      <c r="C28" s="64" t="str">
        <f>IF($R28="","",INDEX('Cálculos'!$O:$O,$R28))</f>
        <v>GERENCIA DE FINANZAS Y PLANIFICACIÓN</v>
      </c>
      <c r="G28" s="64" t="str">
        <f>IF($R28="","",INDEX('Cálculos'!$P:$P,$R28))</f>
        <v>Gerencia de Finanzas y Planificación</v>
      </c>
      <c r="J28" s="63">
        <f>IF($R28="","",INDEX('Cálculos'!$Q:$Q,$R28))</f>
        <v>2</v>
      </c>
      <c r="K28" s="63">
        <f>IF($R28="","",INDEX('Cálculos'!$M:$M,$R28))</f>
        <v>2</v>
      </c>
      <c r="L28" s="63">
        <f>IF($R28="","",INDEX('Cálculos'!$N:$N,$R28))</f>
        <v>0</v>
      </c>
      <c r="M28" s="65">
        <f>IF($R28="","",INDEX('Cálculos'!$R:$R,$R28))</f>
        <v>1</v>
      </c>
      <c r="O28" s="66">
        <f>IF($R28="","",INDEX('Cálculos'!$S:$S,$R28))</f>
        <v>100</v>
      </c>
      <c r="P28" s="63" t="str">
        <f>IF($R28="","",IF(M28&gt;=1,"Completo","Pendiente"))</f>
        <v>Completo</v>
      </c>
      <c r="R28">
        <f>IFERROR(SMALL('Cálculos'!$T$20:$T$63,15),"")</f>
        <v>34</v>
      </c>
    </row>
    <row r="29" ht="18" customHeight="1">
      <c r="B29" s="63">
        <f>IF($R29="","",16)</f>
        <v>16</v>
      </c>
      <c r="C29" s="64" t="str">
        <f>IF($R29="","",INDEX('Cálculos'!$O:$O,$R29))</f>
        <v>ADMINISTRACION DE BASE DE DATOS</v>
      </c>
      <c r="G29" s="64" t="str">
        <f>IF($R29="","",INDEX('Cálculos'!$P:$P,$R29))</f>
        <v>Gerencia de Sistemas</v>
      </c>
      <c r="J29" s="63">
        <f>IF($R29="","",INDEX('Cálculos'!$Q:$Q,$R29))</f>
        <v>1</v>
      </c>
      <c r="K29" s="63">
        <f>IF($R29="","",INDEX('Cálculos'!$M:$M,$R29))</f>
        <v>1</v>
      </c>
      <c r="L29" s="63">
        <f>IF($R29="","",INDEX('Cálculos'!$N:$N,$R29))</f>
        <v>0</v>
      </c>
      <c r="M29" s="65">
        <f>IF($R29="","",INDEX('Cálculos'!$R:$R,$R29))</f>
        <v>1</v>
      </c>
      <c r="O29" s="66">
        <f>IF($R29="","",INDEX('Cálculos'!$S:$S,$R29))</f>
        <v>95</v>
      </c>
      <c r="P29" s="63" t="str">
        <f>IF($R29="","",IF(M29&gt;=1,"Completo","Pendiente"))</f>
        <v>Completo</v>
      </c>
      <c r="R29">
        <f>IFERROR(SMALL('Cálculos'!$T$20:$T$63,16),"")</f>
        <v>35</v>
      </c>
    </row>
    <row r="30" ht="18" customHeight="1">
      <c r="B30" s="63">
        <f>IF($R30="","",17)</f>
        <v>17</v>
      </c>
      <c r="C30" s="64" t="str">
        <f>IF($R30="","",INDEX('Cálculos'!$O:$O,$R30))</f>
        <v>GERENCIA LEGAL Y DE CUMPLIMIENTO NORMATIVO</v>
      </c>
      <c r="G30" s="64" t="str">
        <f>IF($R30="","",INDEX('Cálculos'!$P:$P,$R30))</f>
        <v>Gerencia Legal y Cumplimiento Normativo</v>
      </c>
      <c r="J30" s="63">
        <f>IF($R30="","",INDEX('Cálculos'!$Q:$Q,$R30))</f>
        <v>1</v>
      </c>
      <c r="K30" s="63">
        <f>IF($R30="","",INDEX('Cálculos'!$M:$M,$R30))</f>
        <v>1</v>
      </c>
      <c r="L30" s="63">
        <f>IF($R30="","",INDEX('Cálculos'!$N:$N,$R30))</f>
        <v>0</v>
      </c>
      <c r="M30" s="65">
        <f>IF($R30="","",INDEX('Cálculos'!$R:$R,$R30))</f>
        <v>1</v>
      </c>
      <c r="O30" s="66">
        <f>IF($R30="","",INDEX('Cálculos'!$S:$S,$R30))</f>
        <v>100</v>
      </c>
      <c r="P30" s="63" t="str">
        <f>IF($R30="","",IF(M30&gt;=1,"Completo","Pendiente"))</f>
        <v>Completo</v>
      </c>
      <c r="R30">
        <f>IFERROR(SMALL('Cálculos'!$T$20:$T$63,17),"")</f>
        <v>36</v>
      </c>
    </row>
    <row r="31" ht="18" customHeight="1">
      <c r="B31" s="63">
        <f>IF($R31="","",18)</f>
        <v>18</v>
      </c>
      <c r="C31" s="64" t="str">
        <f>IF($R31="","",INDEX('Cálculos'!$O:$O,$R31))</f>
        <v>CONSEJO DE ADMINISTRACION</v>
      </c>
      <c r="G31" s="64" t="str">
        <f>IF($R31="","",INDEX('Cálculos'!$P:$P,$R31))</f>
        <v>Consejo de Administración</v>
      </c>
      <c r="J31" s="63">
        <f>IF($R31="","",INDEX('Cálculos'!$Q:$Q,$R31))</f>
        <v>1</v>
      </c>
      <c r="K31" s="63">
        <f>IF($R31="","",INDEX('Cálculos'!$M:$M,$R31))</f>
        <v>1</v>
      </c>
      <c r="L31" s="63">
        <f>IF($R31="","",INDEX('Cálculos'!$N:$N,$R31))</f>
        <v>0</v>
      </c>
      <c r="M31" s="65">
        <f>IF($R31="","",INDEX('Cálculos'!$R:$R,$R31))</f>
        <v>1</v>
      </c>
      <c r="O31" s="66">
        <f>IF($R31="","",INDEX('Cálculos'!$S:$S,$R31))</f>
        <v>90</v>
      </c>
      <c r="P31" s="63" t="str">
        <f>IF($R31="","",IF(M31&gt;=1,"Completo","Pendiente"))</f>
        <v>Completo</v>
      </c>
      <c r="R31">
        <f>IFERROR(SMALL('Cálculos'!$T$20:$T$63,18),"")</f>
        <v>37</v>
      </c>
    </row>
    <row r="32" ht="18" customHeight="1">
      <c r="B32" s="63">
        <f>IF($R32="","",19)</f>
        <v>19</v>
      </c>
      <c r="C32" s="64" t="str">
        <f>IF($R32="","",INDEX('Cálculos'!$O:$O,$R32))</f>
        <v>AGENCIA MERLIOT</v>
      </c>
      <c r="G32" s="64" t="str">
        <f>IF($R32="","",INDEX('Cálculos'!$P:$P,$R32))</f>
        <v>Gerencia de Negocios</v>
      </c>
      <c r="J32" s="63">
        <f>IF($R32="","",INDEX('Cálculos'!$Q:$Q,$R32))</f>
        <v>13</v>
      </c>
      <c r="K32" s="63">
        <f>IF($R32="","",INDEX('Cálculos'!$M:$M,$R32))</f>
        <v>12</v>
      </c>
      <c r="L32" s="63">
        <f>IF($R32="","",INDEX('Cálculos'!$N:$N,$R32))</f>
        <v>1</v>
      </c>
      <c r="M32" s="65">
        <f>IF($R32="","",INDEX('Cálculos'!$R:$R,$R32))</f>
        <v>0.923076923076923</v>
      </c>
      <c r="O32" s="66">
        <f>IF($R32="","",INDEX('Cálculos'!$S:$S,$R32))</f>
        <v>95.4166666666667</v>
      </c>
      <c r="P32" s="63" t="str">
        <f>IF($R32="","",IF(M32&gt;=1,"Completo","Pendiente"))</f>
        <v>Pendiente</v>
      </c>
      <c r="R32">
        <f>IFERROR(SMALL('Cálculos'!$T$20:$T$63,19),"")</f>
        <v>38</v>
      </c>
    </row>
    <row r="33" ht="18" customHeight="1">
      <c r="B33" s="63">
        <f>IF($R33="","",20)</f>
        <v>20</v>
      </c>
      <c r="C33" s="64" t="str">
        <f>IF($R33="","",INDEX('Cálculos'!$O:$O,$R33))</f>
        <v>DEPARTAMENTO DE ANALISIS Y PROGRAMACIÓN</v>
      </c>
      <c r="G33" s="64" t="str">
        <f>IF($R33="","",INDEX('Cálculos'!$P:$P,$R33))</f>
        <v>Gerencia de Sistemas</v>
      </c>
      <c r="J33" s="63">
        <f>IF($R33="","",INDEX('Cálculos'!$Q:$Q,$R33))</f>
        <v>11</v>
      </c>
      <c r="K33" s="63">
        <f>IF($R33="","",INDEX('Cálculos'!$M:$M,$R33))</f>
        <v>10</v>
      </c>
      <c r="L33" s="63">
        <f>IF($R33="","",INDEX('Cálculos'!$N:$N,$R33))</f>
        <v>1</v>
      </c>
      <c r="M33" s="65">
        <f>IF($R33="","",INDEX('Cálculos'!$R:$R,$R33))</f>
        <v>0.909090909090909</v>
      </c>
      <c r="O33" s="66">
        <f>IF($R33="","",INDEX('Cálculos'!$S:$S,$R33))</f>
        <v>100</v>
      </c>
      <c r="P33" s="63" t="str">
        <f>IF($R33="","",IF(M33&gt;=1,"Completo","Pendiente"))</f>
        <v>Pendiente</v>
      </c>
      <c r="R33">
        <f>IFERROR(SMALL('Cálculos'!$T$20:$T$63,20),"")</f>
        <v>39</v>
      </c>
    </row>
    <row r="34" ht="18" customHeight="1">
      <c r="B34" s="63">
        <f>IF($R34="","",21)</f>
        <v>21</v>
      </c>
      <c r="C34" s="64" t="str">
        <f>IF($R34="","",INDEX('Cálculos'!$O:$O,$R34))</f>
        <v>DEPARTAMENTO DE SEGUROS</v>
      </c>
      <c r="G34" s="64" t="str">
        <f>IF($R34="","",INDEX('Cálculos'!$P:$P,$R34))</f>
        <v>Gerencia de Negocios</v>
      </c>
      <c r="J34" s="63">
        <f>IF($R34="","",INDEX('Cálculos'!$Q:$Q,$R34))</f>
        <v>11</v>
      </c>
      <c r="K34" s="63">
        <f>IF($R34="","",INDEX('Cálculos'!$M:$M,$R34))</f>
        <v>10</v>
      </c>
      <c r="L34" s="63">
        <f>IF($R34="","",INDEX('Cálculos'!$N:$N,$R34))</f>
        <v>1</v>
      </c>
      <c r="M34" s="65">
        <f>IF($R34="","",INDEX('Cálculos'!$R:$R,$R34))</f>
        <v>0.909090909090909</v>
      </c>
      <c r="O34" s="66">
        <f>IF($R34="","",INDEX('Cálculos'!$S:$S,$R34))</f>
        <v>97</v>
      </c>
      <c r="P34" s="63" t="str">
        <f>IF($R34="","",IF(M34&gt;=1,"Completo","Pendiente"))</f>
        <v>Pendiente</v>
      </c>
      <c r="R34">
        <f>IFERROR(SMALL('Cálculos'!$T$20:$T$63,21),"")</f>
        <v>40</v>
      </c>
    </row>
    <row r="35" ht="18" customHeight="1">
      <c r="B35" s="63">
        <f>IF($R35="","",22)</f>
        <v>22</v>
      </c>
      <c r="C35" s="64" t="str">
        <f>IF($R35="","",INDEX('Cálculos'!$O:$O,$R35))</f>
        <v>DEPARTAMENTO DE SOLUCIONES FINANCIERAS</v>
      </c>
      <c r="G35" s="64" t="str">
        <f>IF($R35="","",INDEX('Cálculos'!$P:$P,$R35))</f>
        <v>Gerencia de Operaciones</v>
      </c>
      <c r="J35" s="63">
        <f>IF($R35="","",INDEX('Cálculos'!$Q:$Q,$R35))</f>
        <v>10</v>
      </c>
      <c r="K35" s="63">
        <f>IF($R35="","",INDEX('Cálculos'!$M:$M,$R35))</f>
        <v>9</v>
      </c>
      <c r="L35" s="63">
        <f>IF($R35="","",INDEX('Cálculos'!$N:$N,$R35))</f>
        <v>1</v>
      </c>
      <c r="M35" s="65">
        <f>IF($R35="","",INDEX('Cálculos'!$R:$R,$R35))</f>
        <v>0.9</v>
      </c>
      <c r="O35" s="66">
        <f>IF($R35="","",INDEX('Cálculos'!$S:$S,$R35))</f>
        <v>87.7777777777778</v>
      </c>
      <c r="P35" s="63" t="str">
        <f>IF($R35="","",IF(M35&gt;=1,"Completo","Pendiente"))</f>
        <v>Pendiente</v>
      </c>
      <c r="R35">
        <f>IFERROR(SMALL('Cálculos'!$T$20:$T$63,22),"")</f>
        <v>41</v>
      </c>
    </row>
    <row r="36" ht="18" customHeight="1">
      <c r="B36" s="63">
        <f>IF($R36="","",23)</f>
        <v>23</v>
      </c>
      <c r="C36" s="64" t="str">
        <f>IF($R36="","",INDEX('Cálculos'!$O:$O,$R36))</f>
        <v>AGENCIA PLAZA MUNDO</v>
      </c>
      <c r="G36" s="64" t="str">
        <f>IF($R36="","",INDEX('Cálculos'!$P:$P,$R36))</f>
        <v>Gerencia de Negocios</v>
      </c>
      <c r="J36" s="63">
        <f>IF($R36="","",INDEX('Cálculos'!$Q:$Q,$R36))</f>
        <v>8</v>
      </c>
      <c r="K36" s="63">
        <f>IF($R36="","",INDEX('Cálculos'!$M:$M,$R36))</f>
        <v>7</v>
      </c>
      <c r="L36" s="63">
        <f>IF($R36="","",INDEX('Cálculos'!$N:$N,$R36))</f>
        <v>1</v>
      </c>
      <c r="M36" s="65">
        <f>IF($R36="","",INDEX('Cálculos'!$R:$R,$R36))</f>
        <v>0.875</v>
      </c>
      <c r="O36" s="66">
        <f>IF($R36="","",INDEX('Cálculos'!$S:$S,$R36))</f>
        <v>98.5714285714286</v>
      </c>
      <c r="P36" s="63" t="str">
        <f>IF($R36="","",IF(M36&gt;=1,"Completo","Pendiente"))</f>
        <v>Pendiente</v>
      </c>
      <c r="R36">
        <f>IFERROR(SMALL('Cálculos'!$T$20:$T$63,23),"")</f>
        <v>42</v>
      </c>
    </row>
    <row r="37" ht="18" customHeight="1">
      <c r="B37" s="63">
        <f>IF($R37="","",24)</f>
        <v>24</v>
      </c>
      <c r="C37" s="64" t="str">
        <f>IF($R37="","",INDEX('Cálculos'!$O:$O,$R37))</f>
        <v>AGENCIA SAN MIGUEL</v>
      </c>
      <c r="G37" s="64" t="str">
        <f>IF($R37="","",INDEX('Cálculos'!$P:$P,$R37))</f>
        <v>Gerencia de Negocios</v>
      </c>
      <c r="J37" s="63">
        <f>IF($R37="","",INDEX('Cálculos'!$Q:$Q,$R37))</f>
        <v>8</v>
      </c>
      <c r="K37" s="63">
        <f>IF($R37="","",INDEX('Cálculos'!$M:$M,$R37))</f>
        <v>7</v>
      </c>
      <c r="L37" s="63">
        <f>IF($R37="","",INDEX('Cálculos'!$N:$N,$R37))</f>
        <v>1</v>
      </c>
      <c r="M37" s="65">
        <f>IF($R37="","",INDEX('Cálculos'!$R:$R,$R37))</f>
        <v>0.875</v>
      </c>
      <c r="O37" s="66">
        <f>IF($R37="","",INDEX('Cálculos'!$S:$S,$R37))</f>
        <v>98.5714285714286</v>
      </c>
      <c r="P37" s="63" t="str">
        <f>IF($R37="","",IF(M37&gt;=1,"Completo","Pendiente"))</f>
        <v>Pendiente</v>
      </c>
      <c r="R37">
        <f>IFERROR(SMALL('Cálculos'!$T$20:$T$63,24),"")</f>
        <v>43</v>
      </c>
    </row>
    <row r="38" ht="18" customHeight="1">
      <c r="B38" s="63">
        <f>IF($R38="","",25)</f>
        <v>25</v>
      </c>
      <c r="C38" s="64" t="str">
        <f>IF($R38="","",INDEX('Cálculos'!$O:$O,$R38))</f>
        <v>DEPARTAMENTO COMERCIAL DE TARJETA DE CREDITO Y DEBITO</v>
      </c>
      <c r="G38" s="64" t="str">
        <f>IF($R38="","",INDEX('Cálculos'!$P:$P,$R38))</f>
        <v>Gerencia de Negocios</v>
      </c>
      <c r="J38" s="63">
        <f>IF($R38="","",INDEX('Cálculos'!$Q:$Q,$R38))</f>
        <v>8</v>
      </c>
      <c r="K38" s="63">
        <f>IF($R38="","",INDEX('Cálculos'!$M:$M,$R38))</f>
        <v>7</v>
      </c>
      <c r="L38" s="63">
        <f>IF($R38="","",INDEX('Cálculos'!$N:$N,$R38))</f>
        <v>1</v>
      </c>
      <c r="M38" s="65">
        <f>IF($R38="","",INDEX('Cálculos'!$R:$R,$R38))</f>
        <v>0.875</v>
      </c>
      <c r="O38" s="66">
        <f>IF($R38="","",INDEX('Cálculos'!$S:$S,$R38))</f>
        <v>86.4285714285714</v>
      </c>
      <c r="P38" s="63" t="str">
        <f>IF($R38="","",IF(M38&gt;=1,"Completo","Pendiente"))</f>
        <v>Pendiente</v>
      </c>
      <c r="R38">
        <f>IFERROR(SMALL('Cálculos'!$T$20:$T$63,25),"")</f>
        <v>44</v>
      </c>
    </row>
    <row r="39" ht="18" customHeight="1">
      <c r="B39" s="63">
        <f>IF($R39="","",26)</f>
        <v>26</v>
      </c>
      <c r="C39" s="64" t="str">
        <f>IF($R39="","",INDEX('Cálculos'!$O:$O,$R39))</f>
        <v>DEPARTAMENTO DE ATENCION A ASOCIADO Y CLIENTE</v>
      </c>
      <c r="G39" s="64" t="str">
        <f>IF($R39="","",INDEX('Cálculos'!$P:$P,$R39))</f>
        <v>Gerencia de Negocios</v>
      </c>
      <c r="J39" s="63">
        <f>IF($R39="","",INDEX('Cálculos'!$Q:$Q,$R39))</f>
        <v>7</v>
      </c>
      <c r="K39" s="63">
        <f>IF($R39="","",INDEX('Cálculos'!$M:$M,$R39))</f>
        <v>6</v>
      </c>
      <c r="L39" s="63">
        <f>IF($R39="","",INDEX('Cálculos'!$N:$N,$R39))</f>
        <v>1</v>
      </c>
      <c r="M39" s="65">
        <f>IF($R39="","",INDEX('Cálculos'!$R:$R,$R39))</f>
        <v>0.857142857142857</v>
      </c>
      <c r="O39" s="66">
        <f>IF($R39="","",INDEX('Cálculos'!$S:$S,$R39))</f>
        <v>95</v>
      </c>
      <c r="P39" s="63" t="str">
        <f>IF($R39="","",IF(M39&gt;=1,"Completo","Pendiente"))</f>
        <v>Pendiente</v>
      </c>
      <c r="R39">
        <f>IFERROR(SMALL('Cálculos'!$T$20:$T$63,26),"")</f>
        <v>45</v>
      </c>
    </row>
    <row r="40" ht="18" customHeight="1">
      <c r="B40" s="63">
        <f>IF($R40="","",27)</f>
        <v>27</v>
      </c>
      <c r="C40" s="64" t="str">
        <f>IF($R40="","",INDEX('Cálculos'!$O:$O,$R40))</f>
        <v>DEPARTAMENTO DE OPERACIONES Y SOPORTE TECNICO</v>
      </c>
      <c r="G40" s="64" t="str">
        <f>IF($R40="","",INDEX('Cálculos'!$P:$P,$R40))</f>
        <v>Gerencia de Sistemas</v>
      </c>
      <c r="J40" s="63">
        <f>IF($R40="","",INDEX('Cálculos'!$Q:$Q,$R40))</f>
        <v>7</v>
      </c>
      <c r="K40" s="63">
        <f>IF($R40="","",INDEX('Cálculos'!$M:$M,$R40))</f>
        <v>6</v>
      </c>
      <c r="L40" s="63">
        <f>IF($R40="","",INDEX('Cálculos'!$N:$N,$R40))</f>
        <v>1</v>
      </c>
      <c r="M40" s="65">
        <f>IF($R40="","",INDEX('Cálculos'!$R:$R,$R40))</f>
        <v>0.857142857142857</v>
      </c>
      <c r="O40" s="66">
        <f>IF($R40="","",INDEX('Cálculos'!$S:$S,$R40))</f>
        <v>100</v>
      </c>
      <c r="P40" s="63" t="str">
        <f>IF($R40="","",IF(M40&gt;=1,"Completo","Pendiente"))</f>
        <v>Pendiente</v>
      </c>
      <c r="R40">
        <f>IFERROR(SMALL('Cálculos'!$T$20:$T$63,27),"")</f>
        <v>46</v>
      </c>
    </row>
    <row r="41" ht="18" customHeight="1">
      <c r="B41" s="63">
        <f>IF($R41="","",28)</f>
        <v>28</v>
      </c>
      <c r="C41" s="64" t="str">
        <f>IF($R41="","",INDEX('Cálculos'!$O:$O,$R41))</f>
        <v>AGENCIA COLEGIO MEDICO</v>
      </c>
      <c r="G41" s="64" t="str">
        <f>IF($R41="","",INDEX('Cálculos'!$P:$P,$R41))</f>
        <v>Gerencia de Negocios</v>
      </c>
      <c r="J41" s="63">
        <f>IF($R41="","",INDEX('Cálculos'!$Q:$Q,$R41))</f>
        <v>12</v>
      </c>
      <c r="K41" s="63">
        <f>IF($R41="","",INDEX('Cálculos'!$M:$M,$R41))</f>
        <v>10</v>
      </c>
      <c r="L41" s="63">
        <f>IF($R41="","",INDEX('Cálculos'!$N:$N,$R41))</f>
        <v>2</v>
      </c>
      <c r="M41" s="65">
        <f>IF($R41="","",INDEX('Cálculos'!$R:$R,$R41))</f>
        <v>0.833333333333333</v>
      </c>
      <c r="O41" s="66">
        <f>IF($R41="","",INDEX('Cálculos'!$S:$S,$R41))</f>
        <v>97</v>
      </c>
      <c r="P41" s="63" t="str">
        <f>IF($R41="","",IF(M41&gt;=1,"Completo","Pendiente"))</f>
        <v>Pendiente</v>
      </c>
      <c r="R41">
        <f>IFERROR(SMALL('Cálculos'!$T$20:$T$63,28),"")</f>
        <v>47</v>
      </c>
    </row>
    <row r="42" ht="18" customHeight="1">
      <c r="B42" s="63">
        <f>IF($R42="","",29)</f>
        <v>29</v>
      </c>
      <c r="C42" s="64" t="str">
        <f>IF($R42="","",INDEX('Cálculos'!$O:$O,$R42))</f>
        <v>ADMINISTRACIÓN DE CARTERAS</v>
      </c>
      <c r="G42" s="64" t="str">
        <f>IF($R42="","",INDEX('Cálculos'!$P:$P,$R42))</f>
        <v>Gerencia de Operaciones</v>
      </c>
      <c r="J42" s="63">
        <f>IF($R42="","",INDEX('Cálculos'!$Q:$Q,$R42))</f>
        <v>5</v>
      </c>
      <c r="K42" s="63">
        <f>IF($R42="","",INDEX('Cálculos'!$M:$M,$R42))</f>
        <v>4</v>
      </c>
      <c r="L42" s="63">
        <f>IF($R42="","",INDEX('Cálculos'!$N:$N,$R42))</f>
        <v>1</v>
      </c>
      <c r="M42" s="65">
        <f>IF($R42="","",INDEX('Cálculos'!$R:$R,$R42))</f>
        <v>0.8</v>
      </c>
      <c r="O42" s="66">
        <f>IF($R42="","",INDEX('Cálculos'!$S:$S,$R42))</f>
        <v>100</v>
      </c>
      <c r="P42" s="63" t="str">
        <f>IF($R42="","",IF(M42&gt;=1,"Completo","Pendiente"))</f>
        <v>Pendiente</v>
      </c>
      <c r="R42">
        <f>IFERROR(SMALL('Cálculos'!$T$20:$T$63,29),"")</f>
        <v>48</v>
      </c>
    </row>
    <row r="43" ht="18" customHeight="1">
      <c r="B43" s="63">
        <f>IF($R43="","",30)</f>
        <v>30</v>
      </c>
      <c r="C43" s="64" t="str">
        <f>IF($R43="","",INDEX('Cálculos'!$O:$O,$R43))</f>
        <v>DEPARTAMENTO DE CONTABILIDAD</v>
      </c>
      <c r="G43" s="64" t="str">
        <f>IF($R43="","",INDEX('Cálculos'!$P:$P,$R43))</f>
        <v>Gerencia de Finanzas y Planificación</v>
      </c>
      <c r="J43" s="63">
        <f>IF($R43="","",INDEX('Cálculos'!$Q:$Q,$R43))</f>
        <v>13</v>
      </c>
      <c r="K43" s="63">
        <f>IF($R43="","",INDEX('Cálculos'!$M:$M,$R43))</f>
        <v>10</v>
      </c>
      <c r="L43" s="63">
        <f>IF($R43="","",INDEX('Cálculos'!$N:$N,$R43))</f>
        <v>3</v>
      </c>
      <c r="M43" s="65">
        <f>IF($R43="","",INDEX('Cálculos'!$R:$R,$R43))</f>
        <v>0.769230769230769</v>
      </c>
      <c r="O43" s="66">
        <f>IF($R43="","",INDEX('Cálculos'!$S:$S,$R43))</f>
        <v>97.5</v>
      </c>
      <c r="P43" s="63" t="str">
        <f>IF($R43="","",IF(M43&gt;=1,"Completo","Pendiente"))</f>
        <v>Pendiente</v>
      </c>
      <c r="R43">
        <f>IFERROR(SMALL('Cálculos'!$T$20:$T$63,30),"")</f>
        <v>49</v>
      </c>
    </row>
    <row r="44" ht="18" customHeight="1">
      <c r="B44" s="63">
        <f>IF($R44="","",31)</f>
        <v>31</v>
      </c>
      <c r="C44" s="64" t="str">
        <f>IF($R44="","",INDEX('Cálculos'!$O:$O,$R44))</f>
        <v>GERENCIA DE NEGOCIOS</v>
      </c>
      <c r="G44" s="64" t="str">
        <f>IF($R44="","",INDEX('Cálculos'!$P:$P,$R44))</f>
        <v>Gerencia de Negocios</v>
      </c>
      <c r="J44" s="63">
        <f>IF($R44="","",INDEX('Cálculos'!$Q:$Q,$R44))</f>
        <v>4</v>
      </c>
      <c r="K44" s="63">
        <f>IF($R44="","",INDEX('Cálculos'!$M:$M,$R44))</f>
        <v>3</v>
      </c>
      <c r="L44" s="63">
        <f>IF($R44="","",INDEX('Cálculos'!$N:$N,$R44))</f>
        <v>1</v>
      </c>
      <c r="M44" s="65">
        <f>IF($R44="","",INDEX('Cálculos'!$R:$R,$R44))</f>
        <v>0.75</v>
      </c>
      <c r="O44" s="66">
        <f>IF($R44="","",INDEX('Cálculos'!$S:$S,$R44))</f>
        <v>100</v>
      </c>
      <c r="P44" s="63" t="str">
        <f>IF($R44="","",IF(M44&gt;=1,"Completo","Pendiente"))</f>
        <v>Pendiente</v>
      </c>
      <c r="R44">
        <f>IFERROR(SMALL('Cálculos'!$T$20:$T$63,31),"")</f>
        <v>50</v>
      </c>
    </row>
    <row r="45" ht="18" customHeight="1">
      <c r="B45" s="63">
        <f>IF($R45="","",32)</f>
        <v>32</v>
      </c>
      <c r="C45" s="64" t="str">
        <f>IF($R45="","",INDEX('Cálculos'!$O:$O,$R45))</f>
        <v>GERENCIA DE SISTEMAS</v>
      </c>
      <c r="G45" s="64" t="str">
        <f>IF($R45="","",INDEX('Cálculos'!$P:$P,$R45))</f>
        <v>Gerencia de Sistemas</v>
      </c>
      <c r="J45" s="63">
        <f>IF($R45="","",INDEX('Cálculos'!$Q:$Q,$R45))</f>
        <v>4</v>
      </c>
      <c r="K45" s="63">
        <f>IF($R45="","",INDEX('Cálculos'!$M:$M,$R45))</f>
        <v>3</v>
      </c>
      <c r="L45" s="63">
        <f>IF($R45="","",INDEX('Cálculos'!$N:$N,$R45))</f>
        <v>1</v>
      </c>
      <c r="M45" s="65">
        <f>IF($R45="","",INDEX('Cálculos'!$R:$R,$R45))</f>
        <v>0.75</v>
      </c>
      <c r="O45" s="66">
        <f>IF($R45="","",INDEX('Cálculos'!$S:$S,$R45))</f>
        <v>98.3333333333333</v>
      </c>
      <c r="P45" s="63" t="str">
        <f>IF($R45="","",IF(M45&gt;=1,"Completo","Pendiente"))</f>
        <v>Pendiente</v>
      </c>
      <c r="R45">
        <f>IFERROR(SMALL('Cálculos'!$T$20:$T$63,32),"")</f>
        <v>51</v>
      </c>
    </row>
    <row r="46" ht="18" customHeight="1">
      <c r="B46" s="63">
        <f>IF($R46="","",33)</f>
        <v>33</v>
      </c>
      <c r="C46" s="64" t="str">
        <f>IF($R46="","",INDEX('Cálculos'!$O:$O,$R46))</f>
        <v>DEPARTAMENTO DE TARJETA DE CREDITO Y DEBITO</v>
      </c>
      <c r="G46" s="64" t="str">
        <f>IF($R46="","",INDEX('Cálculos'!$P:$P,$R46))</f>
        <v>Gerencia de Operaciones</v>
      </c>
      <c r="J46" s="63">
        <f>IF($R46="","",INDEX('Cálculos'!$Q:$Q,$R46))</f>
        <v>6</v>
      </c>
      <c r="K46" s="63">
        <f>IF($R46="","",INDEX('Cálculos'!$M:$M,$R46))</f>
        <v>4</v>
      </c>
      <c r="L46" s="63">
        <f>IF($R46="","",INDEX('Cálculos'!$N:$N,$R46))</f>
        <v>2</v>
      </c>
      <c r="M46" s="65">
        <f>IF($R46="","",INDEX('Cálculos'!$R:$R,$R46))</f>
        <v>0.666666666666667</v>
      </c>
      <c r="O46" s="66">
        <f>IF($R46="","",INDEX('Cálculos'!$S:$S,$R46))</f>
        <v>98.75</v>
      </c>
      <c r="P46" s="63" t="str">
        <f>IF($R46="","",IF(M46&gt;=1,"Completo","Pendiente"))</f>
        <v>Pendiente</v>
      </c>
      <c r="R46">
        <f>IFERROR(SMALL('Cálculos'!$T$20:$T$63,33),"")</f>
        <v>52</v>
      </c>
    </row>
    <row r="47" ht="18" customHeight="1">
      <c r="B47" s="63">
        <f>IF($R47="","",34)</f>
        <v>34</v>
      </c>
      <c r="C47" s="64" t="str">
        <f>IF($R47="","",INDEX('Cálculos'!$O:$O,$R47))</f>
        <v>DEPARTAMENTO DE PLANIFICACIÓN Y ANALISIS</v>
      </c>
      <c r="G47" s="64" t="str">
        <f>IF($R47="","",INDEX('Cálculos'!$P:$P,$R47))</f>
        <v>Gerencia de Finanzas y Planificación</v>
      </c>
      <c r="J47" s="63">
        <f>IF($R47="","",INDEX('Cálculos'!$Q:$Q,$R47))</f>
        <v>3</v>
      </c>
      <c r="K47" s="63">
        <f>IF($R47="","",INDEX('Cálculos'!$M:$M,$R47))</f>
        <v>2</v>
      </c>
      <c r="L47" s="63">
        <f>IF($R47="","",INDEX('Cálculos'!$N:$N,$R47))</f>
        <v>1</v>
      </c>
      <c r="M47" s="65">
        <f>IF($R47="","",INDEX('Cálculos'!$R:$R,$R47))</f>
        <v>0.666666666666667</v>
      </c>
      <c r="O47" s="66">
        <f>IF($R47="","",INDEX('Cálculos'!$S:$S,$R47))</f>
        <v>100</v>
      </c>
      <c r="P47" s="63" t="str">
        <f>IF($R47="","",IF(M47&gt;=1,"Completo","Pendiente"))</f>
        <v>Pendiente</v>
      </c>
      <c r="R47">
        <f>IFERROR(SMALL('Cálculos'!$T$20:$T$63,34),"")</f>
        <v>53</v>
      </c>
    </row>
    <row r="48" ht="18" customHeight="1">
      <c r="B48" s="63">
        <f>IF($R48="","",35)</f>
        <v>35</v>
      </c>
      <c r="C48" s="64" t="str">
        <f>IF($R48="","",INDEX('Cálculos'!$O:$O,$R48))</f>
        <v>DEPARTAMENTO DE TALENTO HUMANO</v>
      </c>
      <c r="G48" s="64" t="str">
        <f>IF($R48="","",INDEX('Cálculos'!$P:$P,$R48))</f>
        <v>Gerencia Administrativa</v>
      </c>
      <c r="J48" s="63">
        <f>IF($R48="","",INDEX('Cálculos'!$Q:$Q,$R48))</f>
        <v>3</v>
      </c>
      <c r="K48" s="63">
        <f>IF($R48="","",INDEX('Cálculos'!$M:$M,$R48))</f>
        <v>2</v>
      </c>
      <c r="L48" s="63">
        <f>IF($R48="","",INDEX('Cálculos'!$N:$N,$R48))</f>
        <v>1</v>
      </c>
      <c r="M48" s="65">
        <f>IF($R48="","",INDEX('Cálculos'!$R:$R,$R48))</f>
        <v>0.666666666666667</v>
      </c>
      <c r="O48" s="66">
        <f>IF($R48="","",INDEX('Cálculos'!$S:$S,$R48))</f>
        <v>95</v>
      </c>
      <c r="P48" s="63" t="str">
        <f>IF($R48="","",IF(M48&gt;=1,"Completo","Pendiente"))</f>
        <v>Pendiente</v>
      </c>
      <c r="R48">
        <f>IFERROR(SMALL('Cálculos'!$T$20:$T$63,35),"")</f>
        <v>54</v>
      </c>
    </row>
    <row r="49" ht="18" customHeight="1">
      <c r="B49" s="63">
        <f>IF($R49="","",36)</f>
        <v>36</v>
      </c>
      <c r="C49" s="64" t="str">
        <f>IF($R49="","",INDEX('Cálculos'!$O:$O,$R49))</f>
        <v>AGENCIA SANTA ANA</v>
      </c>
      <c r="G49" s="64" t="str">
        <f>IF($R49="","",INDEX('Cálculos'!$P:$P,$R49))</f>
        <v>Gerencia de Negocios</v>
      </c>
      <c r="J49" s="63">
        <f>IF($R49="","",INDEX('Cálculos'!$Q:$Q,$R49))</f>
        <v>8</v>
      </c>
      <c r="K49" s="63">
        <f>IF($R49="","",INDEX('Cálculos'!$M:$M,$R49))</f>
        <v>4</v>
      </c>
      <c r="L49" s="63">
        <f>IF($R49="","",INDEX('Cálculos'!$N:$N,$R49))</f>
        <v>4</v>
      </c>
      <c r="M49" s="65">
        <f>IF($R49="","",INDEX('Cálculos'!$R:$R,$R49))</f>
        <v>0.5</v>
      </c>
      <c r="O49" s="66">
        <f>IF($R49="","",INDEX('Cálculos'!$S:$S,$R49))</f>
        <v>95</v>
      </c>
      <c r="P49" s="63" t="str">
        <f>IF($R49="","",IF(M49&gt;=1,"Completo","Pendiente"))</f>
        <v>Pendiente</v>
      </c>
      <c r="R49">
        <f>IFERROR(SMALL('Cálculos'!$T$20:$T$63,36),"")</f>
        <v>55</v>
      </c>
    </row>
    <row r="50" ht="18" customHeight="1">
      <c r="B50" s="63">
        <f>IF($R50="","",37)</f>
        <v>37</v>
      </c>
      <c r="C50" s="64" t="str">
        <f>IF($R50="","",INDEX('Cálculos'!$O:$O,$R50))</f>
        <v>GERENCIA GENERAL</v>
      </c>
      <c r="G50" s="64" t="str">
        <f>IF($R50="","",INDEX('Cálculos'!$P:$P,$R50))</f>
        <v>Gerencia General</v>
      </c>
      <c r="J50" s="63">
        <f>IF($R50="","",INDEX('Cálculos'!$Q:$Q,$R50))</f>
        <v>2</v>
      </c>
      <c r="K50" s="63">
        <f>IF($R50="","",INDEX('Cálculos'!$M:$M,$R50))</f>
        <v>1</v>
      </c>
      <c r="L50" s="63">
        <f>IF($R50="","",INDEX('Cálculos'!$N:$N,$R50))</f>
        <v>1</v>
      </c>
      <c r="M50" s="65">
        <f>IF($R50="","",INDEX('Cálculos'!$R:$R,$R50))</f>
        <v>0.5</v>
      </c>
      <c r="O50" s="66">
        <f>IF($R50="","",INDEX('Cálculos'!$S:$S,$R50))</f>
        <v>100</v>
      </c>
      <c r="P50" s="63" t="str">
        <f>IF($R50="","",IF(M50&gt;=1,"Completo","Pendiente"))</f>
        <v>Pendiente</v>
      </c>
      <c r="R50">
        <f>IFERROR(SMALL('Cálculos'!$T$20:$T$63,37),"")</f>
        <v>56</v>
      </c>
    </row>
    <row r="51" ht="18" customHeight="1">
      <c r="B51" s="63">
        <f>IF($R51="","",38)</f>
        <v>38</v>
      </c>
      <c r="C51" s="64" t="str">
        <f>IF($R51="","",INDEX('Cálculos'!$O:$O,$R51))</f>
        <v>AGENCIA CENTRAL</v>
      </c>
      <c r="G51" s="64" t="str">
        <f>IF($R51="","",INDEX('Cálculos'!$P:$P,$R51))</f>
        <v>Gerencia de Negocios</v>
      </c>
      <c r="J51" s="63">
        <f>IF($R51="","",INDEX('Cálculos'!$Q:$Q,$R51))</f>
        <v>18</v>
      </c>
      <c r="K51" s="63">
        <f>IF($R51="","",INDEX('Cálculos'!$M:$M,$R51))</f>
        <v>8</v>
      </c>
      <c r="L51" s="63">
        <f>IF($R51="","",INDEX('Cálculos'!$N:$N,$R51))</f>
        <v>10</v>
      </c>
      <c r="M51" s="65">
        <f>IF($R51="","",INDEX('Cálculos'!$R:$R,$R51))</f>
        <v>0.444444444444444</v>
      </c>
      <c r="O51" s="66">
        <f>IF($R51="","",INDEX('Cálculos'!$S:$S,$R51))</f>
        <v>96.25</v>
      </c>
      <c r="P51" s="63" t="str">
        <f>IF($R51="","",IF(M51&gt;=1,"Completo","Pendiente"))</f>
        <v>Pendiente</v>
      </c>
      <c r="R51">
        <f>IFERROR(SMALL('Cálculos'!$T$20:$T$63,38),"")</f>
        <v>57</v>
      </c>
    </row>
    <row r="52" ht="18" customHeight="1">
      <c r="B52" s="63">
        <f>IF($R52="","",39)</f>
        <v>39</v>
      </c>
      <c r="C52" s="64" t="str">
        <f>IF($R52="","",INDEX('Cálculos'!$O:$O,$R52))</f>
        <v>AGENCIA COLONIA MEDICA</v>
      </c>
      <c r="G52" s="64" t="str">
        <f>IF($R52="","",INDEX('Cálculos'!$P:$P,$R52))</f>
        <v>Gerencia de Negocios</v>
      </c>
      <c r="J52" s="63">
        <f>IF($R52="","",INDEX('Cálculos'!$Q:$Q,$R52))</f>
        <v>16</v>
      </c>
      <c r="K52" s="63">
        <f>IF($R52="","",INDEX('Cálculos'!$M:$M,$R52))</f>
        <v>7</v>
      </c>
      <c r="L52" s="63">
        <f>IF($R52="","",INDEX('Cálculos'!$N:$N,$R52))</f>
        <v>9</v>
      </c>
      <c r="M52" s="65">
        <f>IF($R52="","",INDEX('Cálculos'!$R:$R,$R52))</f>
        <v>0.4375</v>
      </c>
      <c r="O52" s="66">
        <f>IF($R52="","",INDEX('Cálculos'!$S:$S,$R52))</f>
        <v>97.8571428571429</v>
      </c>
      <c r="P52" s="63" t="str">
        <f>IF($R52="","",IF(M52&gt;=1,"Completo","Pendiente"))</f>
        <v>Pendiente</v>
      </c>
      <c r="R52">
        <f>IFERROR(SMALL('Cálculos'!$T$20:$T$63,39),"")</f>
        <v>58</v>
      </c>
    </row>
    <row r="53" ht="18" customHeight="1">
      <c r="B53" s="63">
        <f>IF($R53="","",40)</f>
        <v>40</v>
      </c>
      <c r="C53" s="64" t="str">
        <f>IF($R53="","",INDEX('Cálculos'!$O:$O,$R53))</f>
        <v>SUB GERENCIA DE CANALES</v>
      </c>
      <c r="G53" s="64" t="str">
        <f>IF($R53="","",INDEX('Cálculos'!$P:$P,$R53))</f>
        <v>Gerencia de Negocios</v>
      </c>
      <c r="J53" s="63">
        <f>IF($R53="","",INDEX('Cálculos'!$Q:$Q,$R53))</f>
        <v>7</v>
      </c>
      <c r="K53" s="63">
        <f>IF($R53="","",INDEX('Cálculos'!$M:$M,$R53))</f>
        <v>3</v>
      </c>
      <c r="L53" s="63">
        <f>IF($R53="","",INDEX('Cálculos'!$N:$N,$R53))</f>
        <v>4</v>
      </c>
      <c r="M53" s="65">
        <f>IF($R53="","",INDEX('Cálculos'!$R:$R,$R53))</f>
        <v>0.428571428571429</v>
      </c>
      <c r="O53" s="66">
        <f>IF($R53="","",INDEX('Cálculos'!$S:$S,$R53))</f>
        <v>96.6666666666667</v>
      </c>
      <c r="P53" s="63" t="str">
        <f>IF($R53="","",IF(M53&gt;=1,"Completo","Pendiente"))</f>
        <v>Pendiente</v>
      </c>
      <c r="R53">
        <f>IFERROR(SMALL('Cálculos'!$T$20:$T$63,40),"")</f>
        <v>59</v>
      </c>
    </row>
    <row r="54" ht="18" customHeight="1">
      <c r="B54" s="63">
        <f>IF($R54="","",41)</f>
        <v>41</v>
      </c>
      <c r="C54" s="64" t="str">
        <f>IF($R54="","",INDEX('Cálculos'!$O:$O,$R54))</f>
        <v>DEPARTAMENTO DE EDUCACION Y RESPONSABILIDAD SOCIAL</v>
      </c>
      <c r="G54" s="64" t="str">
        <f>IF($R54="","",INDEX('Cálculos'!$P:$P,$R54))</f>
        <v>Gerencia Administrativa</v>
      </c>
      <c r="J54" s="63">
        <f>IF($R54="","",INDEX('Cálculos'!$Q:$Q,$R54))</f>
        <v>3</v>
      </c>
      <c r="K54" s="63">
        <f>IF($R54="","",INDEX('Cálculos'!$M:$M,$R54))</f>
        <v>1</v>
      </c>
      <c r="L54" s="63">
        <f>IF($R54="","",INDEX('Cálculos'!$N:$N,$R54))</f>
        <v>2</v>
      </c>
      <c r="M54" s="65">
        <f>IF($R54="","",INDEX('Cálculos'!$R:$R,$R54))</f>
        <v>0.333333333333333</v>
      </c>
      <c r="O54" s="66">
        <f>IF($R54="","",INDEX('Cálculos'!$S:$S,$R54))</f>
        <v>100</v>
      </c>
      <c r="P54" s="63" t="str">
        <f>IF($R54="","",IF(M54&gt;=1,"Completo","Pendiente"))</f>
        <v>Pendiente</v>
      </c>
      <c r="R54">
        <f>IFERROR(SMALL('Cálculos'!$T$20:$T$63,41),"")</f>
        <v>60</v>
      </c>
    </row>
    <row r="55" ht="18" customHeight="1">
      <c r="B55" s="63">
        <f>IF($R55="","",42)</f>
        <v>42</v>
      </c>
      <c r="C55" s="64" t="str">
        <f>IF($R55="","",INDEX('Cálculos'!$O:$O,$R55))</f>
        <v>DEPARTAMENTO DE MERCADEO</v>
      </c>
      <c r="G55" s="64" t="str">
        <f>IF($R55="","",INDEX('Cálculos'!$P:$P,$R55))</f>
        <v>Gerencia de Negocios</v>
      </c>
      <c r="J55" s="63">
        <f>IF($R55="","",INDEX('Cálculos'!$Q:$Q,$R55))</f>
        <v>7</v>
      </c>
      <c r="K55" s="63">
        <f>IF($R55="","",INDEX('Cálculos'!$M:$M,$R55))</f>
        <v>2</v>
      </c>
      <c r="L55" s="63">
        <f>IF($R55="","",INDEX('Cálculos'!$N:$N,$R55))</f>
        <v>5</v>
      </c>
      <c r="M55" s="65">
        <f>IF($R55="","",INDEX('Cálculos'!$R:$R,$R55))</f>
        <v>0.285714285714286</v>
      </c>
      <c r="O55" s="66">
        <f>IF($R55="","",INDEX('Cálculos'!$S:$S,$R55))</f>
        <v>97.5</v>
      </c>
      <c r="P55" s="63" t="str">
        <f>IF($R55="","",IF(M55&gt;=1,"Completo","Pendiente"))</f>
        <v>Pendiente</v>
      </c>
      <c r="R55">
        <f>IFERROR(SMALL('Cálculos'!$T$20:$T$63,42),"")</f>
        <v>61</v>
      </c>
    </row>
    <row r="56" ht="18" customHeight="1">
      <c r="B56" s="63">
        <f>IF($R56="","",43)</f>
        <v>43</v>
      </c>
      <c r="C56" s="64" t="str">
        <f>IF($R56="","",INDEX('Cálculos'!$O:$O,$R56))</f>
        <v>AGENCIA SONSONATE</v>
      </c>
      <c r="G56" s="64" t="str">
        <f>IF($R56="","",INDEX('Cálculos'!$P:$P,$R56))</f>
        <v>Gerencia de Negocios</v>
      </c>
      <c r="J56" s="63">
        <f>IF($R56="","",INDEX('Cálculos'!$Q:$Q,$R56))</f>
        <v>7</v>
      </c>
      <c r="K56" s="63">
        <f>IF($R56="","",INDEX('Cálculos'!$M:$M,$R56))</f>
        <v>1</v>
      </c>
      <c r="L56" s="63">
        <f>IF($R56="","",INDEX('Cálculos'!$N:$N,$R56))</f>
        <v>6</v>
      </c>
      <c r="M56" s="65">
        <f>IF($R56="","",INDEX('Cálculos'!$R:$R,$R56))</f>
        <v>0.142857142857143</v>
      </c>
      <c r="O56" s="66">
        <f>IF($R56="","",INDEX('Cálculos'!$S:$S,$R56))</f>
        <v>80</v>
      </c>
      <c r="P56" s="63" t="str">
        <f>IF($R56="","",IF(M56&gt;=1,"Completo","Pendiente"))</f>
        <v>Pendiente</v>
      </c>
      <c r="R56">
        <f>IFERROR(SMALL('Cálculos'!$T$20:$T$63,43),"")</f>
        <v>62</v>
      </c>
    </row>
    <row r="57" ht="18" customHeight="1">
      <c r="B57" s="63">
        <f>IF($R57="","",44)</f>
        <v>44</v>
      </c>
      <c r="C57" s="64" t="str">
        <f>IF($R57="","",INDEX('Cálculos'!$O:$O,$R57))</f>
        <v>GERENCIA DE OPERACIONES</v>
      </c>
      <c r="G57" s="64" t="str">
        <f>IF($R57="","",INDEX('Cálculos'!$P:$P,$R57))</f>
        <v>Gerencia de Operaciones</v>
      </c>
      <c r="J57" s="63">
        <f>IF($R57="","",INDEX('Cálculos'!$Q:$Q,$R57))</f>
        <v>1</v>
      </c>
      <c r="K57" s="63">
        <f>IF($R57="","",INDEX('Cálculos'!$M:$M,$R57))</f>
        <v>0</v>
      </c>
      <c r="L57" s="63">
        <f>IF($R57="","",INDEX('Cálculos'!$N:$N,$R57))</f>
        <v>1</v>
      </c>
      <c r="M57" s="65">
        <f>IF($R57="","",INDEX('Cálculos'!$R:$R,$R57))</f>
        <v>0</v>
      </c>
      <c r="O57" s="66" t="str">
        <f>IF($R57="","",INDEX('Cálculos'!$S:$S,$R57))</f>
        <v/>
      </c>
      <c r="P57" s="63" t="str">
        <f>IF($R57="","",IF(M57&gt;=1,"Completo","Pendiente"))</f>
        <v>Pendiente</v>
      </c>
      <c r="R57">
        <f>IFERROR(SMALL('Cálculos'!$T$20:$T$63,44),"")</f>
        <v>63</v>
      </c>
    </row>
  </sheetData>
  <mergeCells count="156">
    <mergeCell ref="O7:P7"/>
    <mergeCell ref="G38:I38"/>
    <mergeCell ref="C52:F52"/>
    <mergeCell ref="M43:N43"/>
    <mergeCell ref="C39:F39"/>
    <mergeCell ref="G13:I13"/>
    <mergeCell ref="C32:F32"/>
    <mergeCell ref="C37:F37"/>
    <mergeCell ref="G15:I15"/>
    <mergeCell ref="C13:F13"/>
    <mergeCell ref="G24:I24"/>
    <mergeCell ref="M35:N35"/>
    <mergeCell ref="M54:N54"/>
    <mergeCell ref="C15:F15"/>
    <mergeCell ref="G26:I26"/>
    <mergeCell ref="C7:E7"/>
    <mergeCell ref="C24:F24"/>
    <mergeCell ref="M16:N16"/>
    <mergeCell ref="G16:I16"/>
    <mergeCell ref="M25:N25"/>
    <mergeCell ref="I10:K10"/>
    <mergeCell ref="G50:I50"/>
    <mergeCell ref="C26:F26"/>
    <mergeCell ref="M36:N36"/>
    <mergeCell ref="C54:F54"/>
    <mergeCell ref="M18:N18"/>
    <mergeCell ref="M33:N33"/>
    <mergeCell ref="M45:N45"/>
    <mergeCell ref="C41:F41"/>
    <mergeCell ref="G52:I52"/>
    <mergeCell ref="C50:F50"/>
    <mergeCell ref="M17:N17"/>
    <mergeCell ref="G36:I36"/>
    <mergeCell ref="G42:I42"/>
    <mergeCell ref="C56:F56"/>
    <mergeCell ref="M47:N47"/>
    <mergeCell ref="C43:F43"/>
    <mergeCell ref="M19:N19"/>
    <mergeCell ref="M50:N50"/>
    <mergeCell ref="F7:H7"/>
    <mergeCell ref="C27:F27"/>
    <mergeCell ref="B12:P12"/>
    <mergeCell ref="C36:F36"/>
    <mergeCell ref="C17:F17"/>
    <mergeCell ref="G28:I28"/>
    <mergeCell ref="G37:I37"/>
    <mergeCell ref="M44:N44"/>
    <mergeCell ref="B1:P1"/>
    <mergeCell ref="C19:F19"/>
    <mergeCell ref="G30:I30"/>
    <mergeCell ref="C28:F28"/>
    <mergeCell ref="L10:N10"/>
    <mergeCell ref="G14:I14"/>
    <mergeCell ref="M51:N51"/>
    <mergeCell ref="C30:F30"/>
    <mergeCell ref="G55:I55"/>
    <mergeCell ref="G51:I51"/>
    <mergeCell ref="C14:F14"/>
    <mergeCell ref="M13:N13"/>
    <mergeCell ref="G54:I54"/>
    <mergeCell ref="G32:I32"/>
    <mergeCell ref="M21:N21"/>
    <mergeCell ref="G41:I41"/>
    <mergeCell ref="H5:P5"/>
    <mergeCell ref="M27:N27"/>
    <mergeCell ref="G56:I56"/>
    <mergeCell ref="M41:N41"/>
    <mergeCell ref="G43:I43"/>
    <mergeCell ref="C40:F40"/>
    <mergeCell ref="M24:N24"/>
    <mergeCell ref="G27:I27"/>
    <mergeCell ref="B5:F5"/>
    <mergeCell ref="C8:E9"/>
    <mergeCell ref="G17:I17"/>
    <mergeCell ref="M53:N53"/>
    <mergeCell ref="C10:E10"/>
    <mergeCell ref="B4:F4"/>
    <mergeCell ref="M34:N34"/>
    <mergeCell ref="G19:I19"/>
    <mergeCell ref="G53:I53"/>
    <mergeCell ref="M55:N55"/>
    <mergeCell ref="M52:N52"/>
    <mergeCell ref="G34:I34"/>
    <mergeCell ref="M49:N49"/>
    <mergeCell ref="M39:N39"/>
    <mergeCell ref="C57:F57"/>
    <mergeCell ref="M48:N48"/>
    <mergeCell ref="C18:F18"/>
    <mergeCell ref="C53:F53"/>
    <mergeCell ref="C34:F34"/>
    <mergeCell ref="G45:I45"/>
    <mergeCell ref="G20:I20"/>
    <mergeCell ref="G29:I29"/>
    <mergeCell ref="M31:N31"/>
    <mergeCell ref="M40:N40"/>
    <mergeCell ref="G47:I47"/>
    <mergeCell ref="C45:F45"/>
    <mergeCell ref="M15:N15"/>
    <mergeCell ref="G44:I44"/>
    <mergeCell ref="G22:I22"/>
    <mergeCell ref="M37:N37"/>
    <mergeCell ref="C20:F20"/>
    <mergeCell ref="G31:I31"/>
    <mergeCell ref="G46:I46"/>
    <mergeCell ref="C29:F29"/>
    <mergeCell ref="G40:I40"/>
    <mergeCell ref="F8:H9"/>
    <mergeCell ref="C47:F47"/>
    <mergeCell ref="G21:I21"/>
    <mergeCell ref="M26:N26"/>
    <mergeCell ref="C44:F44"/>
    <mergeCell ref="C22:F22"/>
    <mergeCell ref="C31:F31"/>
    <mergeCell ref="M29:N29"/>
    <mergeCell ref="M23:N23"/>
    <mergeCell ref="M38:N38"/>
    <mergeCell ref="G23:I23"/>
    <mergeCell ref="C46:F46"/>
    <mergeCell ref="C21:F21"/>
    <mergeCell ref="I8:K9"/>
    <mergeCell ref="C51:F51"/>
    <mergeCell ref="I7:K7"/>
    <mergeCell ref="C48:F48"/>
    <mergeCell ref="C23:F23"/>
    <mergeCell ref="B2:P2"/>
    <mergeCell ref="G57:I57"/>
    <mergeCell ref="O10:P10"/>
    <mergeCell ref="C38:F38"/>
    <mergeCell ref="G18:I18"/>
    <mergeCell ref="G49:I49"/>
    <mergeCell ref="G33:I33"/>
    <mergeCell ref="O8:P9"/>
    <mergeCell ref="M20:N20"/>
    <mergeCell ref="C49:F49"/>
    <mergeCell ref="G35:I35"/>
    <mergeCell ref="C33:F33"/>
    <mergeCell ref="C42:F42"/>
    <mergeCell ref="M22:N22"/>
    <mergeCell ref="G25:I25"/>
    <mergeCell ref="M30:N30"/>
    <mergeCell ref="C35:F35"/>
    <mergeCell ref="M46:N46"/>
    <mergeCell ref="M28:N28"/>
    <mergeCell ref="M42:N42"/>
    <mergeCell ref="C16:F16"/>
    <mergeCell ref="L8:N9"/>
    <mergeCell ref="C25:F25"/>
    <mergeCell ref="C55:F55"/>
    <mergeCell ref="L7:N7"/>
    <mergeCell ref="F10:H10"/>
    <mergeCell ref="M57:N57"/>
    <mergeCell ref="M32:N32"/>
    <mergeCell ref="M14:N14"/>
    <mergeCell ref="G39:I39"/>
    <mergeCell ref="G48:I48"/>
    <mergeCell ref="M56:N56"/>
  </mergeCells>
  <conditionalFormatting sqref="P14:P57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1" stopIfTrue="1">
      <formula>$P14="Pendiente"</formula>
    </cfRule>
  </conditionalFormatting>
  <conditionalFormatting sqref="B14:P57">
    <cfRule type="expression" priority="4" dxfId="2">
      <formula>AND($R14&lt;&gt;"",MOD(ROW(),2)=0)</formula>
    </cfRule>
    <cfRule type="expression" priority="5" dxfId="3">
      <formula>$R14&lt;&gt;""</formula>
    </cfRule>
  </conditionalFormatting>
  <conditionalFormatting sqref="M14:M57">
    <cfRule type="dataBar" priority="6">
      <dataBar showValue="1">
        <cfvo type="num" val="0"/>
        <cfvo type="num" val="1"/>
        <color rgb="005B9BD5"/>
      </dataBar>
    </cfRule>
  </conditionalFormatting>
  <dataValidations count="1">
    <dataValidation sqref="B5" showDropDown="0" showInputMessage="0" showErrorMessage="0" allowBlank="0" errorTitle="Valor no válido" error="Seleccione una gerencia de la lista." promptTitle="Gerencia" prompt="Elija una gerencia o 'Todas las gerencias'." type="list">
      <formula1>'Cálculos'!$V$5:$V$15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B1:P8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2" customWidth="1" min="17" max="17"/>
  </cols>
  <sheetData>
    <row r="1" ht="34" customHeight="1">
      <c r="B1" s="28" t="inlineStr">
        <is>
          <t>DASHBOARD EJECUTIVO DE CUMPLIMIENTO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</row>
    <row r="2" ht="22" customHeight="1">
      <c r="B2" s="30" t="inlineStr">
        <is>
          <t>Evaluación de Gestión Integral de Riesgos · avance institucional y por gerencia</t>
        </is>
      </c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</row>
    <row r="3">
      <c r="B3" s="31" t="inlineStr">
        <is>
          <t>Datos actualizados al:</t>
        </is>
      </c>
      <c r="E3" s="67">
        <f>MAX('Detalle individual'!$H$5:$H$297)</f>
        <v>46309.65164351852</v>
      </c>
    </row>
    <row r="4" ht="8" customHeight="1"/>
    <row r="5">
      <c r="B5" s="36" t="inlineStr">
        <is>
          <t>PERSONAL ESPERADO</t>
        </is>
      </c>
      <c r="C5" s="37" t="n"/>
      <c r="D5" s="38" t="n"/>
      <c r="E5" s="39" t="inlineStr">
        <is>
          <t>COMPLETADOS</t>
        </is>
      </c>
      <c r="F5" s="40" t="n"/>
      <c r="G5" s="41" t="n"/>
      <c r="H5" s="42" t="inlineStr">
        <is>
          <t>PENDIENTES</t>
        </is>
      </c>
      <c r="I5" s="43" t="n"/>
      <c r="J5" s="44" t="n"/>
      <c r="K5" s="36" t="inlineStr">
        <is>
          <t>% CUMPLIMIENTO</t>
        </is>
      </c>
      <c r="L5" s="37" t="n"/>
      <c r="M5" s="38" t="n"/>
      <c r="N5" s="36" t="inlineStr">
        <is>
          <t>NOTA PROMEDIO</t>
        </is>
      </c>
      <c r="O5" s="37" t="n"/>
      <c r="P5" s="38" t="n"/>
    </row>
    <row r="6" ht="22" customHeight="1">
      <c r="B6" s="47">
        <f>SUM('Consolidado por Gerencia'!$B$5:$B$14)</f>
        <v>293</v>
      </c>
      <c r="D6" s="48" t="n"/>
      <c r="E6" s="49">
        <f>SUM('Consolidado por Gerencia'!$C$5:$C$14)</f>
        <v>230</v>
      </c>
      <c r="G6" s="48" t="n"/>
      <c r="H6" s="50">
        <f>SUM('Consolidado por Gerencia'!$D$5:$D$14)</f>
        <v>63</v>
      </c>
      <c r="J6" s="48" t="n"/>
      <c r="K6" s="51">
        <f>IF(B6&gt;0,E6/B6,0)</f>
        <v>0.784982935153584</v>
      </c>
      <c r="M6" s="48" t="n"/>
      <c r="N6" s="68">
        <f>IFERROR(AVERAGE('Detalle individual'!$J$5:$J$297),"-")</f>
        <v>96.5434782608696</v>
      </c>
      <c r="P6" s="48" t="n"/>
    </row>
    <row r="7" ht="22" customHeight="1">
      <c r="B7" s="54" t="n"/>
      <c r="D7" s="48" t="n"/>
      <c r="E7" s="54" t="n"/>
      <c r="G7" s="48" t="n"/>
      <c r="H7" s="54" t="n"/>
      <c r="J7" s="48" t="n"/>
      <c r="K7" s="54" t="n"/>
      <c r="M7" s="48" t="n"/>
      <c r="N7" s="54" t="n"/>
      <c r="P7" s="48" t="n"/>
    </row>
    <row r="8">
      <c r="B8" s="69" t="inlineStr">
        <is>
          <t>Colaboradores en base oficial</t>
        </is>
      </c>
      <c r="C8" s="57" t="n"/>
      <c r="D8" s="22" t="n"/>
      <c r="E8" s="69" t="inlineStr">
        <is>
          <t>Exámenes realizados</t>
        </is>
      </c>
      <c r="F8" s="57" t="n"/>
      <c r="G8" s="22" t="n"/>
      <c r="H8" s="69" t="inlineStr">
        <is>
          <t>Aún sin realizar</t>
        </is>
      </c>
      <c r="I8" s="57" t="n"/>
      <c r="J8" s="22" t="n"/>
      <c r="K8" s="69" t="inlineStr">
        <is>
          <t>Meta institucional: 100%</t>
        </is>
      </c>
      <c r="L8" s="57" t="n"/>
      <c r="M8" s="22" t="n"/>
      <c r="N8" s="69" t="inlineStr">
        <is>
          <t>Sobre 100 puntos</t>
        </is>
      </c>
      <c r="O8" s="57" t="n"/>
      <c r="P8" s="22" t="n"/>
    </row>
    <row r="9" ht="10" customHeight="1"/>
  </sheetData>
  <mergeCells count="19">
    <mergeCell ref="N6:P7"/>
    <mergeCell ref="B2:P2"/>
    <mergeCell ref="B8:D8"/>
    <mergeCell ref="N5:P5"/>
    <mergeCell ref="B1:P1"/>
    <mergeCell ref="N8:P8"/>
    <mergeCell ref="K6:M7"/>
    <mergeCell ref="K8:M8"/>
    <mergeCell ref="H6:J7"/>
    <mergeCell ref="B5:D5"/>
    <mergeCell ref="H5:J5"/>
    <mergeCell ref="H8:J8"/>
    <mergeCell ref="E3:G3"/>
    <mergeCell ref="E6:G7"/>
    <mergeCell ref="B3:D3"/>
    <mergeCell ref="B6:D7"/>
    <mergeCell ref="E5:G5"/>
    <mergeCell ref="K5:M5"/>
    <mergeCell ref="E8:G8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/>
  </sheetPr>
  <dimension ref="B1:P2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34" customHeight="1">
      <c r="B1" s="28" t="inlineStr">
        <is>
          <t>CUMPLIMIENTO POR DEPARTAMENTO / AGENCIA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</row>
    <row r="2" ht="22" customHeight="1">
      <c r="B2" s="30" t="inlineStr">
        <is>
          <t>Ordenado de mayor a menor % de cumplimiento · la barra muestra completados (azul) y pendientes (gris)</t>
        </is>
      </c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</row>
  </sheetData>
  <mergeCells count="2"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/>
  </sheetPr>
  <dimension ref="B1:K301"/>
  <sheetViews>
    <sheetView showGridLines="0" tabSelected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9" customWidth="1" min="3" max="3"/>
    <col width="38" customWidth="1" min="4" max="4"/>
    <col width="46" customWidth="1" min="5" max="5"/>
    <col width="42" customWidth="1" min="6" max="6"/>
    <col width="32" customWidth="1" min="7" max="7"/>
    <col width="14" customWidth="1" min="8" max="8"/>
    <col width="18" customWidth="1" min="9" max="9"/>
    <col width="9" customWidth="1" min="10" max="10"/>
    <col hidden="1" width="4" customWidth="1" min="11" max="11"/>
  </cols>
  <sheetData>
    <row r="1" ht="34" customHeight="1">
      <c r="B1" s="28" t="inlineStr">
        <is>
          <t>ESTADO DE LA EVALUACIÓN POR COLABORADOR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</row>
    <row r="2" ht="22" customHeight="1">
      <c r="B2" s="30" t="inlineStr">
        <is>
          <t>Use los filtros amarillos para ver quién completó y quién tiene pendiente el examen</t>
        </is>
      </c>
      <c r="C2" s="29" t="n"/>
      <c r="D2" s="29" t="n"/>
      <c r="E2" s="29" t="n"/>
      <c r="F2" s="29" t="n"/>
      <c r="G2" s="29" t="n"/>
      <c r="H2" s="29" t="n"/>
      <c r="I2" s="29" t="n"/>
      <c r="J2" s="29" t="n"/>
    </row>
    <row r="3" ht="8" customHeight="1"/>
    <row r="4" ht="22" customHeight="1">
      <c r="B4" s="70" t="inlineStr">
        <is>
          <t>Gerencia:</t>
        </is>
      </c>
      <c r="D4" s="71" t="inlineStr">
        <is>
          <t>Todas las gerencias</t>
        </is>
      </c>
      <c r="E4" s="72" t="n"/>
      <c r="G4" s="73" t="inlineStr">
        <is>
          <t>Colaboradores mostrados</t>
        </is>
      </c>
      <c r="H4" s="74">
        <f>COUNT(K9:K301)</f>
        <v>293</v>
      </c>
    </row>
    <row r="5" ht="22" customHeight="1">
      <c r="B5" s="70" t="inlineStr">
        <is>
          <t>Departamento:</t>
        </is>
      </c>
      <c r="D5" s="71" t="inlineStr">
        <is>
          <t>Todos los departamentos</t>
        </is>
      </c>
      <c r="E5" s="72" t="n"/>
      <c r="G5" s="73" t="inlineStr">
        <is>
          <t>Completados</t>
        </is>
      </c>
      <c r="H5" s="75">
        <f>COUNTIF(H9:H301,"Completado")</f>
        <v>230</v>
      </c>
    </row>
    <row r="6" ht="22" customHeight="1">
      <c r="B6" s="70" t="inlineStr">
        <is>
          <t>Estado:</t>
        </is>
      </c>
      <c r="D6" s="71" t="inlineStr">
        <is>
          <t>Todos</t>
        </is>
      </c>
      <c r="E6" s="72" t="n"/>
      <c r="G6" s="73" t="inlineStr">
        <is>
          <t>Pendientes</t>
        </is>
      </c>
      <c r="H6" s="76">
        <f>COUNTIF(H9:H301,"Pendiente")</f>
        <v>63</v>
      </c>
    </row>
    <row r="7" ht="10" customHeight="1"/>
    <row r="8" ht="30" customHeight="1">
      <c r="B8" s="62" t="inlineStr">
        <is>
          <t>#</t>
        </is>
      </c>
      <c r="C8" s="62" t="inlineStr">
        <is>
          <t>Código</t>
        </is>
      </c>
      <c r="D8" s="62" t="inlineStr">
        <is>
          <t>Nombre del colaborador</t>
        </is>
      </c>
      <c r="E8" s="62" t="inlineStr">
        <is>
          <t>Cargo</t>
        </is>
      </c>
      <c r="F8" s="62" t="inlineStr">
        <is>
          <t>Departamento / Agencia</t>
        </is>
      </c>
      <c r="G8" s="62" t="inlineStr">
        <is>
          <t>Gerencia</t>
        </is>
      </c>
      <c r="H8" s="62" t="inlineStr">
        <is>
          <t>Estado</t>
        </is>
      </c>
      <c r="I8" s="62" t="inlineStr">
        <is>
          <t>Fecha de finalización</t>
        </is>
      </c>
      <c r="J8" s="62" t="inlineStr">
        <is>
          <t>Nota</t>
        </is>
      </c>
    </row>
    <row r="9">
      <c r="B9" s="63">
        <f>IF($K9="","",1)</f>
        <v>1</v>
      </c>
      <c r="C9" s="63" t="str">
        <f>IF($K9="","",INDEX('Detalle individual'!$A:$A,$K9))</f>
        <v>732</v>
      </c>
      <c r="D9" s="64" t="str">
        <f>IF($K9="","",TRIM(INDEX('Detalle individual'!$B:$B,$K9)))</f>
        <v>RICARDO JOSUE CACAO ROVELO</v>
      </c>
      <c r="E9" s="64" t="str">
        <f>IF($K9="","",TRIM(INDEX('Detalle individual'!$E:$E,$K9)))</f>
        <v>ANALISTA DE CARTERAS</v>
      </c>
      <c r="F9" s="64" t="str">
        <f>IF($K9="","",TRIM(INDEX('Detalle individual'!$C:$C,$K9)))</f>
        <v>ADMINISTRACIÓN DE CARTERAS</v>
      </c>
      <c r="G9" s="64" t="str">
        <f>IF($K9="","",INDEX('Detalle individual'!$D:$D,$K9))</f>
        <v>Gerencia de Operaciones</v>
      </c>
      <c r="H9" s="63" t="str">
        <f>IF($K9="","",INDEX('Detalle individual'!$F:$F,$K9))</f>
        <v>Pendiente</v>
      </c>
      <c r="I9" s="77" t="str">
        <f>IF($K9="","",IF(INDEX('Detalle individual'!$F:$F,$K9)="Completado",INDEX('Detalle individual'!$H:$H,$K9),""))</f>
        <v/>
      </c>
      <c r="J9" s="78" t="str">
        <f>IF($K9="","",IF(INDEX('Detalle individual'!$F:$F,$K9)="Completado",INDEX('Detalle individual'!$J:$J,$K9),""))</f>
        <v/>
      </c>
      <c r="K9">
        <f>IFERROR(MOD(SMALL('Cálculos'!$Z$5:$Z$297,1),1000),"")</f>
        <v>82</v>
      </c>
    </row>
    <row r="10">
      <c r="B10" s="63">
        <f>IF($K10="","",2)</f>
        <v>2</v>
      </c>
      <c r="C10" s="63" t="str">
        <f>IF($K10="","",INDEX('Detalle individual'!$A:$A,$K10))</f>
        <v>49</v>
      </c>
      <c r="D10" s="64" t="str">
        <f>IF($K10="","",TRIM(INDEX('Detalle individual'!$B:$B,$K10)))</f>
        <v>GRISELDA DEL CARMEN DOMINGUEZ MERINO</v>
      </c>
      <c r="E10" s="64" t="str">
        <f>IF($K10="","",TRIM(INDEX('Detalle individual'!$E:$E,$K10)))</f>
        <v>EJECUTIVO DE NEGOCIOS</v>
      </c>
      <c r="F10" s="64" t="str">
        <f>IF($K10="","",TRIM(INDEX('Detalle individual'!$C:$C,$K10)))</f>
        <v>AGENCIA CENTRAL</v>
      </c>
      <c r="G10" s="64" t="str">
        <f>IF($K10="","",INDEX('Detalle individual'!$D:$D,$K10))</f>
        <v>Gerencia de Negocios</v>
      </c>
      <c r="H10" s="63" t="str">
        <f>IF($K10="","",INDEX('Detalle individual'!$F:$F,$K10))</f>
        <v>Pendiente</v>
      </c>
      <c r="I10" s="77" t="str">
        <f>IF($K10="","",IF(INDEX('Detalle individual'!$F:$F,$K10)="Completado",INDEX('Detalle individual'!$H:$H,$K10),""))</f>
        <v/>
      </c>
      <c r="J10" s="78" t="str">
        <f>IF($K10="","",IF(INDEX('Detalle individual'!$F:$F,$K10)="Completado",INDEX('Detalle individual'!$J:$J,$K10),""))</f>
        <v/>
      </c>
      <c r="K10">
        <f>IFERROR(MOD(SMALL('Cálculos'!$Z$5:$Z$297,2),1000),"")</f>
        <v>192</v>
      </c>
    </row>
    <row r="11">
      <c r="B11" s="63">
        <f>IF($K11="","",3)</f>
        <v>3</v>
      </c>
      <c r="C11" s="63" t="str">
        <f>IF($K11="","",INDEX('Detalle individual'!$A:$A,$K11))</f>
        <v>234</v>
      </c>
      <c r="D11" s="64" t="str">
        <f>IF($K11="","",TRIM(INDEX('Detalle individual'!$B:$B,$K11)))</f>
        <v>LETICIA ESMERALDA ROSA</v>
      </c>
      <c r="E11" s="64" t="str">
        <f>IF($K11="","",TRIM(INDEX('Detalle individual'!$E:$E,$K11)))</f>
        <v>EJECUTIVO DE NEGOCIOS</v>
      </c>
      <c r="F11" s="64" t="str">
        <f>IF($K11="","",TRIM(INDEX('Detalle individual'!$C:$C,$K11)))</f>
        <v>AGENCIA CENTRAL</v>
      </c>
      <c r="G11" s="64" t="str">
        <f>IF($K11="","",INDEX('Detalle individual'!$D:$D,$K11))</f>
        <v>Gerencia de Negocios</v>
      </c>
      <c r="H11" s="63" t="str">
        <f>IF($K11="","",INDEX('Detalle individual'!$F:$F,$K11))</f>
        <v>Pendiente</v>
      </c>
      <c r="I11" s="77" t="str">
        <f>IF($K11="","",IF(INDEX('Detalle individual'!$F:$F,$K11)="Completado",INDEX('Detalle individual'!$H:$H,$K11),""))</f>
        <v/>
      </c>
      <c r="J11" s="78" t="str">
        <f>IF($K11="","",IF(INDEX('Detalle individual'!$F:$F,$K11)="Completado",INDEX('Detalle individual'!$J:$J,$K11),""))</f>
        <v/>
      </c>
      <c r="K11">
        <f>IFERROR(MOD(SMALL('Cálculos'!$Z$5:$Z$297,3),1000),"")</f>
        <v>193</v>
      </c>
    </row>
    <row r="12">
      <c r="B12" s="63">
        <f>IF($K12="","",4)</f>
        <v>4</v>
      </c>
      <c r="C12" s="63" t="str">
        <f>IF($K12="","",INDEX('Detalle individual'!$A:$A,$K12))</f>
        <v>253</v>
      </c>
      <c r="D12" s="64" t="str">
        <f>IF($K12="","",TRIM(INDEX('Detalle individual'!$B:$B,$K12)))</f>
        <v>ELSY GUADALUPE COREA AGUILUZ</v>
      </c>
      <c r="E12" s="64" t="str">
        <f>IF($K12="","",TRIM(INDEX('Detalle individual'!$E:$E,$K12)))</f>
        <v>EJECUTIVO DE NEGOCIOS</v>
      </c>
      <c r="F12" s="64" t="str">
        <f>IF($K12="","",TRIM(INDEX('Detalle individual'!$C:$C,$K12)))</f>
        <v>AGENCIA CENTRAL</v>
      </c>
      <c r="G12" s="64" t="str">
        <f>IF($K12="","",INDEX('Detalle individual'!$D:$D,$K12))</f>
        <v>Gerencia de Negocios</v>
      </c>
      <c r="H12" s="63" t="str">
        <f>IF($K12="","",INDEX('Detalle individual'!$F:$F,$K12))</f>
        <v>Pendiente</v>
      </c>
      <c r="I12" s="77" t="str">
        <f>IF($K12="","",IF(INDEX('Detalle individual'!$F:$F,$K12)="Completado",INDEX('Detalle individual'!$H:$H,$K12),""))</f>
        <v/>
      </c>
      <c r="J12" s="78" t="str">
        <f>IF($K12="","",IF(INDEX('Detalle individual'!$F:$F,$K12)="Completado",INDEX('Detalle individual'!$J:$J,$K12),""))</f>
        <v/>
      </c>
      <c r="K12">
        <f>IFERROR(MOD(SMALL('Cálculos'!$Z$5:$Z$297,4),1000),"")</f>
        <v>194</v>
      </c>
    </row>
    <row r="13">
      <c r="B13" s="63">
        <f>IF($K13="","",5)</f>
        <v>5</v>
      </c>
      <c r="C13" s="63" t="str">
        <f>IF($K13="","",INDEX('Detalle individual'!$A:$A,$K13))</f>
        <v>385</v>
      </c>
      <c r="D13" s="64" t="str">
        <f>IF($K13="","",TRIM(INDEX('Detalle individual'!$B:$B,$K13)))</f>
        <v>BLANCA ARACELY MORENO HERNANDEZ</v>
      </c>
      <c r="E13" s="64" t="str">
        <f>IF($K13="","",TRIM(INDEX('Detalle individual'!$E:$E,$K13)))</f>
        <v>AUXILIAR DE OPERACIONES Y ATENCION EN AGENCIA</v>
      </c>
      <c r="F13" s="64" t="str">
        <f>IF($K13="","",TRIM(INDEX('Detalle individual'!$C:$C,$K13)))</f>
        <v>AGENCIA CENTRAL</v>
      </c>
      <c r="G13" s="64" t="str">
        <f>IF($K13="","",INDEX('Detalle individual'!$D:$D,$K13))</f>
        <v>Gerencia de Negocios</v>
      </c>
      <c r="H13" s="63" t="str">
        <f>IF($K13="","",INDEX('Detalle individual'!$F:$F,$K13))</f>
        <v>Pendiente</v>
      </c>
      <c r="I13" s="77" t="str">
        <f>IF($K13="","",IF(INDEX('Detalle individual'!$F:$F,$K13)="Completado",INDEX('Detalle individual'!$H:$H,$K13),""))</f>
        <v/>
      </c>
      <c r="J13" s="78" t="str">
        <f>IF($K13="","",IF(INDEX('Detalle individual'!$F:$F,$K13)="Completado",INDEX('Detalle individual'!$J:$J,$K13),""))</f>
        <v/>
      </c>
      <c r="K13">
        <f>IFERROR(MOD(SMALL('Cálculos'!$Z$5:$Z$297,5),1000),"")</f>
        <v>195</v>
      </c>
    </row>
    <row r="14">
      <c r="B14" s="63">
        <f>IF($K14="","",6)</f>
        <v>6</v>
      </c>
      <c r="C14" s="63" t="str">
        <f>IF($K14="","",INDEX('Detalle individual'!$A:$A,$K14))</f>
        <v>440</v>
      </c>
      <c r="D14" s="64" t="str">
        <f>IF($K14="","",TRIM(INDEX('Detalle individual'!$B:$B,$K14)))</f>
        <v>KARLA MERCEDES DELEON DELGADO</v>
      </c>
      <c r="E14" s="64" t="str">
        <f>IF($K14="","",TRIM(INDEX('Detalle individual'!$E:$E,$K14)))</f>
        <v>JEFE DE AGENCIA</v>
      </c>
      <c r="F14" s="64" t="str">
        <f>IF($K14="","",TRIM(INDEX('Detalle individual'!$C:$C,$K14)))</f>
        <v>AGENCIA CENTRAL</v>
      </c>
      <c r="G14" s="64" t="str">
        <f>IF($K14="","",INDEX('Detalle individual'!$D:$D,$K14))</f>
        <v>Gerencia de Negocios</v>
      </c>
      <c r="H14" s="63" t="str">
        <f>IF($K14="","",INDEX('Detalle individual'!$F:$F,$K14))</f>
        <v>Pendiente</v>
      </c>
      <c r="I14" s="77" t="str">
        <f>IF($K14="","",IF(INDEX('Detalle individual'!$F:$F,$K14)="Completado",INDEX('Detalle individual'!$H:$H,$K14),""))</f>
        <v/>
      </c>
      <c r="J14" s="78" t="str">
        <f>IF($K14="","",IF(INDEX('Detalle individual'!$F:$F,$K14)="Completado",INDEX('Detalle individual'!$J:$J,$K14),""))</f>
        <v/>
      </c>
      <c r="K14">
        <f>IFERROR(MOD(SMALL('Cálculos'!$Z$5:$Z$297,6),1000),"")</f>
        <v>196</v>
      </c>
    </row>
    <row r="15">
      <c r="B15" s="63">
        <f>IF($K15="","",7)</f>
        <v>7</v>
      </c>
      <c r="C15" s="63" t="str">
        <f>IF($K15="","",INDEX('Detalle individual'!$A:$A,$K15))</f>
        <v>739</v>
      </c>
      <c r="D15" s="64" t="str">
        <f>IF($K15="","",TRIM(INDEX('Detalle individual'!$B:$B,$K15)))</f>
        <v>JOHANA PATRICIA LUNA RAMOS</v>
      </c>
      <c r="E15" s="64" t="str">
        <f>IF($K15="","",TRIM(INDEX('Detalle individual'!$E:$E,$K15)))</f>
        <v>CAJERO</v>
      </c>
      <c r="F15" s="64" t="str">
        <f>IF($K15="","",TRIM(INDEX('Detalle individual'!$C:$C,$K15)))</f>
        <v>AGENCIA CENTRAL</v>
      </c>
      <c r="G15" s="64" t="str">
        <f>IF($K15="","",INDEX('Detalle individual'!$D:$D,$K15))</f>
        <v>Gerencia de Negocios</v>
      </c>
      <c r="H15" s="63" t="str">
        <f>IF($K15="","",INDEX('Detalle individual'!$F:$F,$K15))</f>
        <v>Pendiente</v>
      </c>
      <c r="I15" s="77" t="str">
        <f>IF($K15="","",IF(INDEX('Detalle individual'!$F:$F,$K15)="Completado",INDEX('Detalle individual'!$H:$H,$K15),""))</f>
        <v/>
      </c>
      <c r="J15" s="78" t="str">
        <f>IF($K15="","",IF(INDEX('Detalle individual'!$F:$F,$K15)="Completado",INDEX('Detalle individual'!$J:$J,$K15),""))</f>
        <v/>
      </c>
      <c r="K15">
        <f>IFERROR(MOD(SMALL('Cálculos'!$Z$5:$Z$297,7),1000),"")</f>
        <v>198</v>
      </c>
    </row>
    <row r="16">
      <c r="B16" s="63">
        <f>IF($K16="","",8)</f>
        <v>8</v>
      </c>
      <c r="C16" s="63" t="str">
        <f>IF($K16="","",INDEX('Detalle individual'!$A:$A,$K16))</f>
        <v>768</v>
      </c>
      <c r="D16" s="64" t="str">
        <f>IF($K16="","",TRIM(INDEX('Detalle individual'!$B:$B,$K16)))</f>
        <v>KATHERINE MICHELLE LOPEZ LOPEZ</v>
      </c>
      <c r="E16" s="64" t="str">
        <f>IF($K16="","",TRIM(INDEX('Detalle individual'!$E:$E,$K16)))</f>
        <v>AUXILIAR DE OPERACIONES Y ATENCION EN AGENCIA</v>
      </c>
      <c r="F16" s="64" t="str">
        <f>IF($K16="","",TRIM(INDEX('Detalle individual'!$C:$C,$K16)))</f>
        <v>AGENCIA CENTRAL</v>
      </c>
      <c r="G16" s="64" t="str">
        <f>IF($K16="","",INDEX('Detalle individual'!$D:$D,$K16))</f>
        <v>Gerencia de Negocios</v>
      </c>
      <c r="H16" s="63" t="str">
        <f>IF($K16="","",INDEX('Detalle individual'!$F:$F,$K16))</f>
        <v>Pendiente</v>
      </c>
      <c r="I16" s="77" t="str">
        <f>IF($K16="","",IF(INDEX('Detalle individual'!$F:$F,$K16)="Completado",INDEX('Detalle individual'!$H:$H,$K16),""))</f>
        <v/>
      </c>
      <c r="J16" s="78" t="str">
        <f>IF($K16="","",IF(INDEX('Detalle individual'!$F:$F,$K16)="Completado",INDEX('Detalle individual'!$J:$J,$K16),""))</f>
        <v/>
      </c>
      <c r="K16">
        <f>IFERROR(MOD(SMALL('Cálculos'!$Z$5:$Z$297,8),1000),"")</f>
        <v>200</v>
      </c>
    </row>
    <row r="17">
      <c r="B17" s="63">
        <f>IF($K17="","",9)</f>
        <v>9</v>
      </c>
      <c r="C17" s="63" t="str">
        <f>IF($K17="","",INDEX('Detalle individual'!$A:$A,$K17))</f>
        <v>848</v>
      </c>
      <c r="D17" s="64" t="str">
        <f>IF($K17="","",TRIM(INDEX('Detalle individual'!$B:$B,$K17)))</f>
        <v>JAZMIN ABIGAIL VASQUEZ AVELAR</v>
      </c>
      <c r="E17" s="64" t="str">
        <f>IF($K17="","",TRIM(INDEX('Detalle individual'!$E:$E,$K17)))</f>
        <v>CAJERO</v>
      </c>
      <c r="F17" s="64" t="str">
        <f>IF($K17="","",TRIM(INDEX('Detalle individual'!$C:$C,$K17)))</f>
        <v>AGENCIA CENTRAL</v>
      </c>
      <c r="G17" s="64" t="str">
        <f>IF($K17="","",INDEX('Detalle individual'!$D:$D,$K17))</f>
        <v>Gerencia de Negocios</v>
      </c>
      <c r="H17" s="63" t="str">
        <f>IF($K17="","",INDEX('Detalle individual'!$F:$F,$K17))</f>
        <v>Pendiente</v>
      </c>
      <c r="I17" s="77" t="str">
        <f>IF($K17="","",IF(INDEX('Detalle individual'!$F:$F,$K17)="Completado",INDEX('Detalle individual'!$H:$H,$K17),""))</f>
        <v/>
      </c>
      <c r="J17" s="78" t="str">
        <f>IF($K17="","",IF(INDEX('Detalle individual'!$F:$F,$K17)="Completado",INDEX('Detalle individual'!$J:$J,$K17),""))</f>
        <v/>
      </c>
      <c r="K17">
        <f>IFERROR(MOD(SMALL('Cálculos'!$Z$5:$Z$297,9),1000),"")</f>
        <v>201</v>
      </c>
    </row>
    <row r="18">
      <c r="B18" s="63">
        <f>IF($K18="","",10)</f>
        <v>10</v>
      </c>
      <c r="C18" s="63" t="str">
        <f>IF($K18="","",INDEX('Detalle individual'!$A:$A,$K18))</f>
        <v>857</v>
      </c>
      <c r="D18" s="64" t="str">
        <f>IF($K18="","",TRIM(INDEX('Detalle individual'!$B:$B,$K18)))</f>
        <v>ESTHER ABIGAIL FLORES GRANDE</v>
      </c>
      <c r="E18" s="64" t="str">
        <f>IF($K18="","",TRIM(INDEX('Detalle individual'!$E:$E,$K18)))</f>
        <v>AUXILIAR DE OPERACIONES Y ATENCION EN AGENCIA</v>
      </c>
      <c r="F18" s="64" t="str">
        <f>IF($K18="","",TRIM(INDEX('Detalle individual'!$C:$C,$K18)))</f>
        <v>AGENCIA CENTRAL</v>
      </c>
      <c r="G18" s="64" t="str">
        <f>IF($K18="","",INDEX('Detalle individual'!$D:$D,$K18))</f>
        <v>Gerencia de Negocios</v>
      </c>
      <c r="H18" s="63" t="str">
        <f>IF($K18="","",INDEX('Detalle individual'!$F:$F,$K18))</f>
        <v>Pendiente</v>
      </c>
      <c r="I18" s="77" t="str">
        <f>IF($K18="","",IF(INDEX('Detalle individual'!$F:$F,$K18)="Completado",INDEX('Detalle individual'!$H:$H,$K18),""))</f>
        <v/>
      </c>
      <c r="J18" s="78" t="str">
        <f>IF($K18="","",IF(INDEX('Detalle individual'!$F:$F,$K18)="Completado",INDEX('Detalle individual'!$J:$J,$K18),""))</f>
        <v/>
      </c>
      <c r="K18">
        <f>IFERROR(MOD(SMALL('Cálculos'!$Z$5:$Z$297,10),1000),"")</f>
        <v>202</v>
      </c>
    </row>
    <row r="19">
      <c r="B19" s="63">
        <f>IF($K19="","",11)</f>
        <v>11</v>
      </c>
      <c r="C19" s="63" t="str">
        <f>IF($K19="","",INDEX('Detalle individual'!$A:$A,$K19))</f>
        <v>974</v>
      </c>
      <c r="D19" s="64" t="str">
        <f>IF($K19="","",TRIM(INDEX('Detalle individual'!$B:$B,$K19)))</f>
        <v>LEIDY VANESSA GUZMAN SERVELLON</v>
      </c>
      <c r="E19" s="64" t="str">
        <f>IF($K19="","",TRIM(INDEX('Detalle individual'!$E:$E,$K19)))</f>
        <v>CAJERO</v>
      </c>
      <c r="F19" s="64" t="str">
        <f>IF($K19="","",TRIM(INDEX('Detalle individual'!$C:$C,$K19)))</f>
        <v>AGENCIA CENTRAL</v>
      </c>
      <c r="G19" s="64" t="str">
        <f>IF($K19="","",INDEX('Detalle individual'!$D:$D,$K19))</f>
        <v>Gerencia de Negocios</v>
      </c>
      <c r="H19" s="63" t="str">
        <f>IF($K19="","",INDEX('Detalle individual'!$F:$F,$K19))</f>
        <v>Pendiente</v>
      </c>
      <c r="I19" s="77" t="str">
        <f>IF($K19="","",IF(INDEX('Detalle individual'!$F:$F,$K19)="Completado",INDEX('Detalle individual'!$H:$H,$K19),""))</f>
        <v/>
      </c>
      <c r="J19" s="78" t="str">
        <f>IF($K19="","",IF(INDEX('Detalle individual'!$F:$F,$K19)="Completado",INDEX('Detalle individual'!$J:$J,$K19),""))</f>
        <v/>
      </c>
      <c r="K19">
        <f>IFERROR(MOD(SMALL('Cálculos'!$Z$5:$Z$297,11),1000),"")</f>
        <v>207</v>
      </c>
    </row>
    <row r="20">
      <c r="B20" s="63">
        <f>IF($K20="","",12)</f>
        <v>12</v>
      </c>
      <c r="C20" s="63" t="str">
        <f>IF($K20="","",INDEX('Detalle individual'!$A:$A,$K20))</f>
        <v>26</v>
      </c>
      <c r="D20" s="64" t="str">
        <f>IF($K20="","",TRIM(INDEX('Detalle individual'!$B:$B,$K20)))</f>
        <v>FLOR IMELDA VILLALOBOS ARDON</v>
      </c>
      <c r="E20" s="64" t="str">
        <f>IF($K20="","",TRIM(INDEX('Detalle individual'!$E:$E,$K20)))</f>
        <v>EJECUTIVO DE NEGOCIOS</v>
      </c>
      <c r="F20" s="64" t="str">
        <f>IF($K20="","",TRIM(INDEX('Detalle individual'!$C:$C,$K20)))</f>
        <v>AGENCIA COLEGIO MEDICO</v>
      </c>
      <c r="G20" s="64" t="str">
        <f>IF($K20="","",INDEX('Detalle individual'!$D:$D,$K20))</f>
        <v>Gerencia de Negocios</v>
      </c>
      <c r="H20" s="63" t="str">
        <f>IF($K20="","",INDEX('Detalle individual'!$F:$F,$K20))</f>
        <v>Pendiente</v>
      </c>
      <c r="I20" s="77" t="str">
        <f>IF($K20="","",IF(INDEX('Detalle individual'!$F:$F,$K20)="Completado",INDEX('Detalle individual'!$H:$H,$K20),""))</f>
        <v/>
      </c>
      <c r="J20" s="78" t="str">
        <f>IF($K20="","",IF(INDEX('Detalle individual'!$F:$F,$K20)="Completado",INDEX('Detalle individual'!$J:$J,$K20),""))</f>
        <v/>
      </c>
      <c r="K20">
        <f>IFERROR(MOD(SMALL('Cálculos'!$Z$5:$Z$297,12),1000),"")</f>
        <v>209</v>
      </c>
    </row>
    <row r="21">
      <c r="B21" s="63">
        <f>IF($K21="","",13)</f>
        <v>13</v>
      </c>
      <c r="C21" s="63" t="str">
        <f>IF($K21="","",INDEX('Detalle individual'!$A:$A,$K21))</f>
        <v>466</v>
      </c>
      <c r="D21" s="64" t="str">
        <f>IF($K21="","",TRIM(INDEX('Detalle individual'!$B:$B,$K21)))</f>
        <v>DORIS ELISA HERNANDEZ</v>
      </c>
      <c r="E21" s="64" t="str">
        <f>IF($K21="","",TRIM(INDEX('Detalle individual'!$E:$E,$K21)))</f>
        <v>SERVICIOS VARIOS</v>
      </c>
      <c r="F21" s="64" t="str">
        <f>IF($K21="","",TRIM(INDEX('Detalle individual'!$C:$C,$K21)))</f>
        <v>AGENCIA COLEGIO MEDICO</v>
      </c>
      <c r="G21" s="64" t="str">
        <f>IF($K21="","",INDEX('Detalle individual'!$D:$D,$K21))</f>
        <v>Gerencia de Negocios</v>
      </c>
      <c r="H21" s="63" t="str">
        <f>IF($K21="","",INDEX('Detalle individual'!$F:$F,$K21))</f>
        <v>Pendiente</v>
      </c>
      <c r="I21" s="77" t="str">
        <f>IF($K21="","",IF(INDEX('Detalle individual'!$F:$F,$K21)="Completado",INDEX('Detalle individual'!$H:$H,$K21),""))</f>
        <v/>
      </c>
      <c r="J21" s="78" t="str">
        <f>IF($K21="","",IF(INDEX('Detalle individual'!$F:$F,$K21)="Completado",INDEX('Detalle individual'!$J:$J,$K21),""))</f>
        <v/>
      </c>
      <c r="K21">
        <f>IFERROR(MOD(SMALL('Cálculos'!$Z$5:$Z$297,13),1000),"")</f>
        <v>213</v>
      </c>
    </row>
    <row r="22">
      <c r="B22" s="63">
        <f>IF($K22="","",14)</f>
        <v>14</v>
      </c>
      <c r="C22" s="63" t="str">
        <f>IF($K22="","",INDEX('Detalle individual'!$A:$A,$K22))</f>
        <v>19</v>
      </c>
      <c r="D22" s="64" t="str">
        <f>IF($K22="","",TRIM(INDEX('Detalle individual'!$B:$B,$K22)))</f>
        <v>ANA MARGARITA SERRANO RUBIO</v>
      </c>
      <c r="E22" s="64" t="str">
        <f>IF($K22="","",TRIM(INDEX('Detalle individual'!$E:$E,$K22)))</f>
        <v>CAJERO</v>
      </c>
      <c r="F22" s="64" t="str">
        <f>IF($K22="","",TRIM(INDEX('Detalle individual'!$C:$C,$K22)))</f>
        <v>AGENCIA COLONIA MEDICA</v>
      </c>
      <c r="G22" s="64" t="str">
        <f>IF($K22="","",INDEX('Detalle individual'!$D:$D,$K22))</f>
        <v>Gerencia de Negocios</v>
      </c>
      <c r="H22" s="63" t="str">
        <f>IF($K22="","",INDEX('Detalle individual'!$F:$F,$K22))</f>
        <v>Pendiente</v>
      </c>
      <c r="I22" s="77" t="str">
        <f>IF($K22="","",IF(INDEX('Detalle individual'!$F:$F,$K22)="Completado",INDEX('Detalle individual'!$H:$H,$K22),""))</f>
        <v/>
      </c>
      <c r="J22" s="78" t="str">
        <f>IF($K22="","",IF(INDEX('Detalle individual'!$F:$F,$K22)="Completado",INDEX('Detalle individual'!$J:$J,$K22),""))</f>
        <v/>
      </c>
      <c r="K22">
        <f>IFERROR(MOD(SMALL('Cálculos'!$Z$5:$Z$297,14),1000),"")</f>
        <v>257</v>
      </c>
    </row>
    <row r="23">
      <c r="B23" s="63">
        <f>IF($K23="","",15)</f>
        <v>15</v>
      </c>
      <c r="C23" s="63" t="str">
        <f>IF($K23="","",INDEX('Detalle individual'!$A:$A,$K23))</f>
        <v>624</v>
      </c>
      <c r="D23" s="64" t="str">
        <f>IF($K23="","",TRIM(INDEX('Detalle individual'!$B:$B,$K23)))</f>
        <v>JULIO ENRIQUE CAMPOS ANDRADE</v>
      </c>
      <c r="E23" s="64" t="str">
        <f>IF($K23="","",TRIM(INDEX('Detalle individual'!$E:$E,$K23)))</f>
        <v>EJECUTIVO DE NEGOCIOS</v>
      </c>
      <c r="F23" s="64" t="str">
        <f>IF($K23="","",TRIM(INDEX('Detalle individual'!$C:$C,$K23)))</f>
        <v>AGENCIA COLONIA MEDICA</v>
      </c>
      <c r="G23" s="64" t="str">
        <f>IF($K23="","",INDEX('Detalle individual'!$D:$D,$K23))</f>
        <v>Gerencia de Negocios</v>
      </c>
      <c r="H23" s="63" t="str">
        <f>IF($K23="","",INDEX('Detalle individual'!$F:$F,$K23))</f>
        <v>Pendiente</v>
      </c>
      <c r="I23" s="77" t="str">
        <f>IF($K23="","",IF(INDEX('Detalle individual'!$F:$F,$K23)="Completado",INDEX('Detalle individual'!$H:$H,$K23),""))</f>
        <v/>
      </c>
      <c r="J23" s="78" t="str">
        <f>IF($K23="","",IF(INDEX('Detalle individual'!$F:$F,$K23)="Completado",INDEX('Detalle individual'!$J:$J,$K23),""))</f>
        <v/>
      </c>
      <c r="K23">
        <f>IFERROR(MOD(SMALL('Cálculos'!$Z$5:$Z$297,15),1000),"")</f>
        <v>262</v>
      </c>
    </row>
    <row r="24">
      <c r="B24" s="63">
        <f>IF($K24="","",16)</f>
        <v>16</v>
      </c>
      <c r="C24" s="63" t="str">
        <f>IF($K24="","",INDEX('Detalle individual'!$A:$A,$K24))</f>
        <v>674</v>
      </c>
      <c r="D24" s="64" t="str">
        <f>IF($K24="","",TRIM(INDEX('Detalle individual'!$B:$B,$K24)))</f>
        <v>ALFREDO ARMANDO RAMOS ESCOBAR</v>
      </c>
      <c r="E24" s="64" t="str">
        <f>IF($K24="","",TRIM(INDEX('Detalle individual'!$E:$E,$K24)))</f>
        <v>CAJERO</v>
      </c>
      <c r="F24" s="64" t="str">
        <f>IF($K24="","",TRIM(INDEX('Detalle individual'!$C:$C,$K24)))</f>
        <v>AGENCIA COLONIA MEDICA</v>
      </c>
      <c r="G24" s="64" t="str">
        <f>IF($K24="","",INDEX('Detalle individual'!$D:$D,$K24))</f>
        <v>Gerencia de Negocios</v>
      </c>
      <c r="H24" s="63" t="str">
        <f>IF($K24="","",INDEX('Detalle individual'!$F:$F,$K24))</f>
        <v>Pendiente</v>
      </c>
      <c r="I24" s="77" t="str">
        <f>IF($K24="","",IF(INDEX('Detalle individual'!$F:$F,$K24)="Completado",INDEX('Detalle individual'!$H:$H,$K24),""))</f>
        <v/>
      </c>
      <c r="J24" s="78" t="str">
        <f>IF($K24="","",IF(INDEX('Detalle individual'!$F:$F,$K24)="Completado",INDEX('Detalle individual'!$J:$J,$K24),""))</f>
        <v/>
      </c>
      <c r="K24">
        <f>IFERROR(MOD(SMALL('Cálculos'!$Z$5:$Z$297,16),1000),"")</f>
        <v>263</v>
      </c>
    </row>
    <row r="25">
      <c r="B25" s="63">
        <f>IF($K25="","",17)</f>
        <v>17</v>
      </c>
      <c r="C25" s="63" t="str">
        <f>IF($K25="","",INDEX('Detalle individual'!$A:$A,$K25))</f>
        <v>735</v>
      </c>
      <c r="D25" s="64" t="str">
        <f>IF($K25="","",TRIM(INDEX('Detalle individual'!$B:$B,$K25)))</f>
        <v>YHANA MILET VALLE HERNANDEZ</v>
      </c>
      <c r="E25" s="64" t="str">
        <f>IF($K25="","",TRIM(INDEX('Detalle individual'!$E:$E,$K25)))</f>
        <v>CAJERO</v>
      </c>
      <c r="F25" s="64" t="str">
        <f>IF($K25="","",TRIM(INDEX('Detalle individual'!$C:$C,$K25)))</f>
        <v>AGENCIA COLONIA MEDICA</v>
      </c>
      <c r="G25" s="64" t="str">
        <f>IF($K25="","",INDEX('Detalle individual'!$D:$D,$K25))</f>
        <v>Gerencia de Negocios</v>
      </c>
      <c r="H25" s="63" t="str">
        <f>IF($K25="","",INDEX('Detalle individual'!$F:$F,$K25))</f>
        <v>Pendiente</v>
      </c>
      <c r="I25" s="77" t="str">
        <f>IF($K25="","",IF(INDEX('Detalle individual'!$F:$F,$K25)="Completado",INDEX('Detalle individual'!$H:$H,$K25),""))</f>
        <v/>
      </c>
      <c r="J25" s="78" t="str">
        <f>IF($K25="","",IF(INDEX('Detalle individual'!$F:$F,$K25)="Completado",INDEX('Detalle individual'!$J:$J,$K25),""))</f>
        <v/>
      </c>
      <c r="K25">
        <f>IFERROR(MOD(SMALL('Cálculos'!$Z$5:$Z$297,17),1000),"")</f>
        <v>266</v>
      </c>
    </row>
    <row r="26">
      <c r="B26" s="63">
        <f>IF($K26="","",18)</f>
        <v>18</v>
      </c>
      <c r="C26" s="63" t="str">
        <f>IF($K26="","",INDEX('Detalle individual'!$A:$A,$K26))</f>
        <v>855</v>
      </c>
      <c r="D26" s="64" t="str">
        <f>IF($K26="","",TRIM(INDEX('Detalle individual'!$B:$B,$K26)))</f>
        <v>STEFFANY MARIELOS MIRO HERNANDEZ</v>
      </c>
      <c r="E26" s="64" t="str">
        <f>IF($K26="","",TRIM(INDEX('Detalle individual'!$E:$E,$K26)))</f>
        <v>CAJERO</v>
      </c>
      <c r="F26" s="64" t="str">
        <f>IF($K26="","",TRIM(INDEX('Detalle individual'!$C:$C,$K26)))</f>
        <v>AGENCIA COLONIA MEDICA</v>
      </c>
      <c r="G26" s="64" t="str">
        <f>IF($K26="","",INDEX('Detalle individual'!$D:$D,$K26))</f>
        <v>Gerencia de Negocios</v>
      </c>
      <c r="H26" s="63" t="str">
        <f>IF($K26="","",INDEX('Detalle individual'!$F:$F,$K26))</f>
        <v>Pendiente</v>
      </c>
      <c r="I26" s="77" t="str">
        <f>IF($K26="","",IF(INDEX('Detalle individual'!$F:$F,$K26)="Completado",INDEX('Detalle individual'!$H:$H,$K26),""))</f>
        <v/>
      </c>
      <c r="J26" s="78" t="str">
        <f>IF($K26="","",IF(INDEX('Detalle individual'!$F:$F,$K26)="Completado",INDEX('Detalle individual'!$J:$J,$K26),""))</f>
        <v/>
      </c>
      <c r="K26">
        <f>IFERROR(MOD(SMALL('Cálculos'!$Z$5:$Z$297,18),1000),"")</f>
        <v>268</v>
      </c>
    </row>
    <row r="27">
      <c r="B27" s="63">
        <f>IF($K27="","",19)</f>
        <v>19</v>
      </c>
      <c r="C27" s="63" t="str">
        <f>IF($K27="","",INDEX('Detalle individual'!$A:$A,$K27))</f>
        <v>873</v>
      </c>
      <c r="D27" s="64" t="str">
        <f>IF($K27="","",TRIM(INDEX('Detalle individual'!$B:$B,$K27)))</f>
        <v>FLOR DE MARIA ROSALES SORTO</v>
      </c>
      <c r="E27" s="64" t="str">
        <f>IF($K27="","",TRIM(INDEX('Detalle individual'!$E:$E,$K27)))</f>
        <v>CAJERO</v>
      </c>
      <c r="F27" s="64" t="str">
        <f>IF($K27="","",TRIM(INDEX('Detalle individual'!$C:$C,$K27)))</f>
        <v>AGENCIA COLONIA MEDICA</v>
      </c>
      <c r="G27" s="64" t="str">
        <f>IF($K27="","",INDEX('Detalle individual'!$D:$D,$K27))</f>
        <v>Gerencia de Negocios</v>
      </c>
      <c r="H27" s="63" t="str">
        <f>IF($K27="","",INDEX('Detalle individual'!$F:$F,$K27))</f>
        <v>Pendiente</v>
      </c>
      <c r="I27" s="77" t="str">
        <f>IF($K27="","",IF(INDEX('Detalle individual'!$F:$F,$K27)="Completado",INDEX('Detalle individual'!$H:$H,$K27),""))</f>
        <v/>
      </c>
      <c r="J27" s="78" t="str">
        <f>IF($K27="","",IF(INDEX('Detalle individual'!$F:$F,$K27)="Completado",INDEX('Detalle individual'!$J:$J,$K27),""))</f>
        <v/>
      </c>
      <c r="K27">
        <f>IFERROR(MOD(SMALL('Cálculos'!$Z$5:$Z$297,19),1000),"")</f>
        <v>269</v>
      </c>
    </row>
    <row r="28">
      <c r="B28" s="63">
        <f>IF($K28="","",20)</f>
        <v>20</v>
      </c>
      <c r="C28" s="63" t="str">
        <f>IF($K28="","",INDEX('Detalle individual'!$A:$A,$K28))</f>
        <v>891</v>
      </c>
      <c r="D28" s="64" t="str">
        <f>IF($K28="","",TRIM(INDEX('Detalle individual'!$B:$B,$K28)))</f>
        <v>YESENIA LISSETH BARAHONA VALLE</v>
      </c>
      <c r="E28" s="64" t="str">
        <f>IF($K28="","",TRIM(INDEX('Detalle individual'!$E:$E,$K28)))</f>
        <v>AUXILIAR DE ATENCION AL ASOCIADO EN AGENCIA</v>
      </c>
      <c r="F28" s="64" t="str">
        <f>IF($K28="","",TRIM(INDEX('Detalle individual'!$C:$C,$K28)))</f>
        <v>AGENCIA COLONIA MEDICA</v>
      </c>
      <c r="G28" s="64" t="str">
        <f>IF($K28="","",INDEX('Detalle individual'!$D:$D,$K28))</f>
        <v>Gerencia de Negocios</v>
      </c>
      <c r="H28" s="63" t="str">
        <f>IF($K28="","",INDEX('Detalle individual'!$F:$F,$K28))</f>
        <v>Pendiente</v>
      </c>
      <c r="I28" s="77" t="str">
        <f>IF($K28="","",IF(INDEX('Detalle individual'!$F:$F,$K28)="Completado",INDEX('Detalle individual'!$H:$H,$K28),""))</f>
        <v/>
      </c>
      <c r="J28" s="78" t="str">
        <f>IF($K28="","",IF(INDEX('Detalle individual'!$F:$F,$K28)="Completado",INDEX('Detalle individual'!$J:$J,$K28),""))</f>
        <v/>
      </c>
      <c r="K28">
        <f>IFERROR(MOD(SMALL('Cálculos'!$Z$5:$Z$297,20),1000),"")</f>
        <v>270</v>
      </c>
    </row>
    <row r="29">
      <c r="B29" s="63">
        <f>IF($K29="","",21)</f>
        <v>21</v>
      </c>
      <c r="C29" s="63" t="str">
        <f>IF($K29="","",INDEX('Detalle individual'!$A:$A,$K29))</f>
        <v>913</v>
      </c>
      <c r="D29" s="64" t="str">
        <f>IF($K29="","",TRIM(INDEX('Detalle individual'!$B:$B,$K29)))</f>
        <v>FLOR DEL CARMEN GONZALEZ HERNANDEZ</v>
      </c>
      <c r="E29" s="64" t="str">
        <f>IF($K29="","",TRIM(INDEX('Detalle individual'!$E:$E,$K29)))</f>
        <v>SERVICIOS VARIOS</v>
      </c>
      <c r="F29" s="64" t="str">
        <f>IF($K29="","",TRIM(INDEX('Detalle individual'!$C:$C,$K29)))</f>
        <v>AGENCIA COLONIA MEDICA</v>
      </c>
      <c r="G29" s="64" t="str">
        <f>IF($K29="","",INDEX('Detalle individual'!$D:$D,$K29))</f>
        <v>Gerencia de Negocios</v>
      </c>
      <c r="H29" s="63" t="str">
        <f>IF($K29="","",INDEX('Detalle individual'!$F:$F,$K29))</f>
        <v>Pendiente</v>
      </c>
      <c r="I29" s="77" t="str">
        <f>IF($K29="","",IF(INDEX('Detalle individual'!$F:$F,$K29)="Completado",INDEX('Detalle individual'!$H:$H,$K29),""))</f>
        <v/>
      </c>
      <c r="J29" s="78" t="str">
        <f>IF($K29="","",IF(INDEX('Detalle individual'!$F:$F,$K29)="Completado",INDEX('Detalle individual'!$J:$J,$K29),""))</f>
        <v/>
      </c>
      <c r="K29">
        <f>IFERROR(MOD(SMALL('Cálculos'!$Z$5:$Z$297,21),1000),"")</f>
        <v>271</v>
      </c>
    </row>
    <row r="30">
      <c r="B30" s="63">
        <f>IF($K30="","",22)</f>
        <v>22</v>
      </c>
      <c r="C30" s="63" t="str">
        <f>IF($K30="","",INDEX('Detalle individual'!$A:$A,$K30))</f>
        <v>933</v>
      </c>
      <c r="D30" s="64" t="str">
        <f>IF($K30="","",TRIM(INDEX('Detalle individual'!$B:$B,$K30)))</f>
        <v>JACQUELINE GUADALUPE CEA ALVARADO</v>
      </c>
      <c r="E30" s="64" t="str">
        <f>IF($K30="","",TRIM(INDEX('Detalle individual'!$E:$E,$K30)))</f>
        <v>EJECUTIVO DE NEGOCIOS</v>
      </c>
      <c r="F30" s="64" t="str">
        <f>IF($K30="","",TRIM(INDEX('Detalle individual'!$C:$C,$K30)))</f>
        <v>AGENCIA COLONIA MEDICA</v>
      </c>
      <c r="G30" s="64" t="str">
        <f>IF($K30="","",INDEX('Detalle individual'!$D:$D,$K30))</f>
        <v>Gerencia de Negocios</v>
      </c>
      <c r="H30" s="63" t="str">
        <f>IF($K30="","",INDEX('Detalle individual'!$F:$F,$K30))</f>
        <v>Pendiente</v>
      </c>
      <c r="I30" s="77" t="str">
        <f>IF($K30="","",IF(INDEX('Detalle individual'!$F:$F,$K30)="Completado",INDEX('Detalle individual'!$H:$H,$K30),""))</f>
        <v/>
      </c>
      <c r="J30" s="78" t="str">
        <f>IF($K30="","",IF(INDEX('Detalle individual'!$F:$F,$K30)="Completado",INDEX('Detalle individual'!$J:$J,$K30),""))</f>
        <v/>
      </c>
      <c r="K30">
        <f>IFERROR(MOD(SMALL('Cálculos'!$Z$5:$Z$297,22),1000),"")</f>
        <v>272</v>
      </c>
    </row>
    <row r="31">
      <c r="B31" s="63">
        <f>IF($K31="","",23)</f>
        <v>23</v>
      </c>
      <c r="C31" s="63" t="str">
        <f>IF($K31="","",INDEX('Detalle individual'!$A:$A,$K31))</f>
        <v>657</v>
      </c>
      <c r="D31" s="64" t="str">
        <f>IF($K31="","",TRIM(INDEX('Detalle individual'!$B:$B,$K31)))</f>
        <v>CLELIA DESIREE CAMPOS COSS</v>
      </c>
      <c r="E31" s="64" t="str">
        <f>IF($K31="","",TRIM(INDEX('Detalle individual'!$E:$E,$K31)))</f>
        <v>SERVICIOS VARIOS</v>
      </c>
      <c r="F31" s="64" t="str">
        <f>IF($K31="","",TRIM(INDEX('Detalle individual'!$C:$C,$K31)))</f>
        <v>AGENCIA MERLIOT</v>
      </c>
      <c r="G31" s="64" t="str">
        <f>IF($K31="","",INDEX('Detalle individual'!$D:$D,$K31))</f>
        <v>Gerencia de Negocios</v>
      </c>
      <c r="H31" s="63" t="str">
        <f>IF($K31="","",INDEX('Detalle individual'!$F:$F,$K31))</f>
        <v>Pendiente</v>
      </c>
      <c r="I31" s="77" t="str">
        <f>IF($K31="","",IF(INDEX('Detalle individual'!$F:$F,$K31)="Completado",INDEX('Detalle individual'!$H:$H,$K31),""))</f>
        <v/>
      </c>
      <c r="J31" s="78" t="str">
        <f>IF($K31="","",IF(INDEX('Detalle individual'!$F:$F,$K31)="Completado",INDEX('Detalle individual'!$J:$J,$K31),""))</f>
        <v/>
      </c>
      <c r="K31">
        <f>IFERROR(MOD(SMALL('Cálculos'!$Z$5:$Z$297,23),1000),"")</f>
        <v>247</v>
      </c>
    </row>
    <row r="32">
      <c r="B32" s="63">
        <f>IF($K32="","",24)</f>
        <v>24</v>
      </c>
      <c r="C32" s="63" t="str">
        <f>IF($K32="","",INDEX('Detalle individual'!$A:$A,$K32))</f>
        <v>59</v>
      </c>
      <c r="D32" s="64" t="str">
        <f>IF($K32="","",TRIM(INDEX('Detalle individual'!$B:$B,$K32)))</f>
        <v>ZOILA AYDEE LARIOS</v>
      </c>
      <c r="E32" s="64" t="str">
        <f>IF($K32="","",TRIM(INDEX('Detalle individual'!$E:$E,$K32)))</f>
        <v>SERVICIOS VARIOS</v>
      </c>
      <c r="F32" s="64" t="str">
        <f>IF($K32="","",TRIM(INDEX('Detalle individual'!$C:$C,$K32)))</f>
        <v>AGENCIA PLAZA MUNDO</v>
      </c>
      <c r="G32" s="64" t="str">
        <f>IF($K32="","",INDEX('Detalle individual'!$D:$D,$K32))</f>
        <v>Gerencia de Negocios</v>
      </c>
      <c r="H32" s="63" t="str">
        <f>IF($K32="","",INDEX('Detalle individual'!$F:$F,$K32))</f>
        <v>Pendiente</v>
      </c>
      <c r="I32" s="77" t="str">
        <f>IF($K32="","",IF(INDEX('Detalle individual'!$F:$F,$K32)="Completado",INDEX('Detalle individual'!$H:$H,$K32),""))</f>
        <v/>
      </c>
      <c r="J32" s="78" t="str">
        <f>IF($K32="","",IF(INDEX('Detalle individual'!$F:$F,$K32)="Completado",INDEX('Detalle individual'!$J:$J,$K32),""))</f>
        <v/>
      </c>
      <c r="K32">
        <f>IFERROR(MOD(SMALL('Cálculos'!$Z$5:$Z$297,24),1000),"")</f>
        <v>273</v>
      </c>
    </row>
    <row r="33">
      <c r="B33" s="63">
        <f>IF($K33="","",25)</f>
        <v>25</v>
      </c>
      <c r="C33" s="63" t="str">
        <f>IF($K33="","",INDEX('Detalle individual'!$A:$A,$K33))</f>
        <v>861</v>
      </c>
      <c r="D33" s="64" t="str">
        <f>IF($K33="","",TRIM(INDEX('Detalle individual'!$B:$B,$K33)))</f>
        <v>SANDRA MARINA BERRIOS SANTOS</v>
      </c>
      <c r="E33" s="64" t="str">
        <f>IF($K33="","",TRIM(INDEX('Detalle individual'!$E:$E,$K33)))</f>
        <v>CAJERO</v>
      </c>
      <c r="F33" s="64" t="str">
        <f>IF($K33="","",TRIM(INDEX('Detalle individual'!$C:$C,$K33)))</f>
        <v>AGENCIA SAN MIGUEL</v>
      </c>
      <c r="G33" s="64" t="str">
        <f>IF($K33="","",INDEX('Detalle individual'!$D:$D,$K33))</f>
        <v>Gerencia de Negocios</v>
      </c>
      <c r="H33" s="63" t="str">
        <f>IF($K33="","",INDEX('Detalle individual'!$F:$F,$K33))</f>
        <v>Pendiente</v>
      </c>
      <c r="I33" s="77" t="str">
        <f>IF($K33="","",IF(INDEX('Detalle individual'!$F:$F,$K33)="Completado",INDEX('Detalle individual'!$H:$H,$K33),""))</f>
        <v/>
      </c>
      <c r="J33" s="78" t="str">
        <f>IF($K33="","",IF(INDEX('Detalle individual'!$F:$F,$K33)="Completado",INDEX('Detalle individual'!$J:$J,$K33),""))</f>
        <v/>
      </c>
      <c r="K33">
        <f>IFERROR(MOD(SMALL('Cálculos'!$Z$5:$Z$297,25),1000),"")</f>
        <v>228</v>
      </c>
    </row>
    <row r="34">
      <c r="B34" s="63">
        <f>IF($K34="","",26)</f>
        <v>26</v>
      </c>
      <c r="C34" s="63" t="str">
        <f>IF($K34="","",INDEX('Detalle individual'!$A:$A,$K34))</f>
        <v>168</v>
      </c>
      <c r="D34" s="64" t="str">
        <f>IF($K34="","",TRIM(INDEX('Detalle individual'!$B:$B,$K34)))</f>
        <v>ANA MARIA GIRON</v>
      </c>
      <c r="E34" s="64" t="str">
        <f>IF($K34="","",TRIM(INDEX('Detalle individual'!$E:$E,$K34)))</f>
        <v>EJECUTIVO DE NEGOCIOS</v>
      </c>
      <c r="F34" s="64" t="str">
        <f>IF($K34="","",TRIM(INDEX('Detalle individual'!$C:$C,$K34)))</f>
        <v>AGENCIA SANTA ANA</v>
      </c>
      <c r="G34" s="64" t="str">
        <f>IF($K34="","",INDEX('Detalle individual'!$D:$D,$K34))</f>
        <v>Gerencia de Negocios</v>
      </c>
      <c r="H34" s="63" t="str">
        <f>IF($K34="","",INDEX('Detalle individual'!$F:$F,$K34))</f>
        <v>Pendiente</v>
      </c>
      <c r="I34" s="77" t="str">
        <f>IF($K34="","",IF(INDEX('Detalle individual'!$F:$F,$K34)="Completado",INDEX('Detalle individual'!$H:$H,$K34),""))</f>
        <v/>
      </c>
      <c r="J34" s="78" t="str">
        <f>IF($K34="","",IF(INDEX('Detalle individual'!$F:$F,$K34)="Completado",INDEX('Detalle individual'!$J:$J,$K34),""))</f>
        <v/>
      </c>
      <c r="K34">
        <f>IFERROR(MOD(SMALL('Cálculos'!$Z$5:$Z$297,26),1000),"")</f>
        <v>229</v>
      </c>
    </row>
    <row r="35">
      <c r="B35" s="63">
        <f>IF($K35="","",27)</f>
        <v>27</v>
      </c>
      <c r="C35" s="63" t="str">
        <f>IF($K35="","",INDEX('Detalle individual'!$A:$A,$K35))</f>
        <v>747</v>
      </c>
      <c r="D35" s="64" t="str">
        <f>IF($K35="","",TRIM(INDEX('Detalle individual'!$B:$B,$K35)))</f>
        <v>IRVIN ADEMIR PERAZA MOLINA</v>
      </c>
      <c r="E35" s="64" t="str">
        <f>IF($K35="","",TRIM(INDEX('Detalle individual'!$E:$E,$K35)))</f>
        <v>EJECUTIVO DE SEGUROS</v>
      </c>
      <c r="F35" s="64" t="str">
        <f>IF($K35="","",TRIM(INDEX('Detalle individual'!$C:$C,$K35)))</f>
        <v>AGENCIA SANTA ANA</v>
      </c>
      <c r="G35" s="64" t="str">
        <f>IF($K35="","",INDEX('Detalle individual'!$D:$D,$K35))</f>
        <v>Gerencia de Negocios</v>
      </c>
      <c r="H35" s="63" t="str">
        <f>IF($K35="","",INDEX('Detalle individual'!$F:$F,$K35))</f>
        <v>Pendiente</v>
      </c>
      <c r="I35" s="77" t="str">
        <f>IF($K35="","",IF(INDEX('Detalle individual'!$F:$F,$K35)="Completado",INDEX('Detalle individual'!$H:$H,$K35),""))</f>
        <v/>
      </c>
      <c r="J35" s="78" t="str">
        <f>IF($K35="","",IF(INDEX('Detalle individual'!$F:$F,$K35)="Completado",INDEX('Detalle individual'!$J:$J,$K35),""))</f>
        <v/>
      </c>
      <c r="K35">
        <f>IFERROR(MOD(SMALL('Cálculos'!$Z$5:$Z$297,27),1000),"")</f>
        <v>232</v>
      </c>
    </row>
    <row r="36">
      <c r="B36" s="63">
        <f>IF($K36="","",28)</f>
        <v>28</v>
      </c>
      <c r="C36" s="63" t="str">
        <f>IF($K36="","",INDEX('Detalle individual'!$A:$A,$K36))</f>
        <v>840</v>
      </c>
      <c r="D36" s="64" t="str">
        <f>IF($K36="","",TRIM(INDEX('Detalle individual'!$B:$B,$K36)))</f>
        <v>SOFIA AZMINIA MENA ARGUETA</v>
      </c>
      <c r="E36" s="64" t="str">
        <f>IF($K36="","",TRIM(INDEX('Detalle individual'!$E:$E,$K36)))</f>
        <v>CAJERO</v>
      </c>
      <c r="F36" s="64" t="str">
        <f>IF($K36="","",TRIM(INDEX('Detalle individual'!$C:$C,$K36)))</f>
        <v>AGENCIA SANTA ANA</v>
      </c>
      <c r="G36" s="64" t="str">
        <f>IF($K36="","",INDEX('Detalle individual'!$D:$D,$K36))</f>
        <v>Gerencia de Negocios</v>
      </c>
      <c r="H36" s="63" t="str">
        <f>IF($K36="","",INDEX('Detalle individual'!$F:$F,$K36))</f>
        <v>Pendiente</v>
      </c>
      <c r="I36" s="77" t="str">
        <f>IF($K36="","",IF(INDEX('Detalle individual'!$F:$F,$K36)="Completado",INDEX('Detalle individual'!$H:$H,$K36),""))</f>
        <v/>
      </c>
      <c r="J36" s="78" t="str">
        <f>IF($K36="","",IF(INDEX('Detalle individual'!$F:$F,$K36)="Completado",INDEX('Detalle individual'!$J:$J,$K36),""))</f>
        <v/>
      </c>
      <c r="K36">
        <f>IFERROR(MOD(SMALL('Cálculos'!$Z$5:$Z$297,28),1000),"")</f>
        <v>234</v>
      </c>
    </row>
    <row r="37">
      <c r="B37" s="63">
        <f>IF($K37="","",29)</f>
        <v>29</v>
      </c>
      <c r="C37" s="63" t="str">
        <f>IF($K37="","",INDEX('Detalle individual'!$A:$A,$K37))</f>
        <v>910</v>
      </c>
      <c r="D37" s="64" t="str">
        <f>IF($K37="","",TRIM(INDEX('Detalle individual'!$B:$B,$K37)))</f>
        <v>JOSE CRISTOBAL LOPEZ ESQUIVEL</v>
      </c>
      <c r="E37" s="64" t="str">
        <f>IF($K37="","",TRIM(INDEX('Detalle individual'!$E:$E,$K37)))</f>
        <v>MENSAJERO</v>
      </c>
      <c r="F37" s="64" t="str">
        <f>IF($K37="","",TRIM(INDEX('Detalle individual'!$C:$C,$K37)))</f>
        <v>AGENCIA SANTA ANA</v>
      </c>
      <c r="G37" s="64" t="str">
        <f>IF($K37="","",INDEX('Detalle individual'!$D:$D,$K37))</f>
        <v>Gerencia de Negocios</v>
      </c>
      <c r="H37" s="63" t="str">
        <f>IF($K37="","",INDEX('Detalle individual'!$F:$F,$K37))</f>
        <v>Pendiente</v>
      </c>
      <c r="I37" s="77" t="str">
        <f>IF($K37="","",IF(INDEX('Detalle individual'!$F:$F,$K37)="Completado",INDEX('Detalle individual'!$H:$H,$K37),""))</f>
        <v/>
      </c>
      <c r="J37" s="78" t="str">
        <f>IF($K37="","",IF(INDEX('Detalle individual'!$F:$F,$K37)="Completado",INDEX('Detalle individual'!$J:$J,$K37),""))</f>
        <v/>
      </c>
      <c r="K37">
        <f>IFERROR(MOD(SMALL('Cálculos'!$Z$5:$Z$297,29),1000),"")</f>
        <v>235</v>
      </c>
    </row>
    <row r="38">
      <c r="B38" s="63">
        <f>IF($K38="","",30)</f>
        <v>30</v>
      </c>
      <c r="C38" s="63" t="str">
        <f>IF($K38="","",INDEX('Detalle individual'!$A:$A,$K38))</f>
        <v>287</v>
      </c>
      <c r="D38" s="64" t="str">
        <f>IF($K38="","",TRIM(INDEX('Detalle individual'!$B:$B,$K38)))</f>
        <v>MARIA ANGELICA ESCOBAR RENDEROS</v>
      </c>
      <c r="E38" s="64" t="str">
        <f>IF($K38="","",TRIM(INDEX('Detalle individual'!$E:$E,$K38)))</f>
        <v>JEFE DE AGENCIA</v>
      </c>
      <c r="F38" s="64" t="str">
        <f>IF($K38="","",TRIM(INDEX('Detalle individual'!$C:$C,$K38)))</f>
        <v>AGENCIA SONSONATE</v>
      </c>
      <c r="G38" s="64" t="str">
        <f>IF($K38="","",INDEX('Detalle individual'!$D:$D,$K38))</f>
        <v>Gerencia de Negocios</v>
      </c>
      <c r="H38" s="63" t="str">
        <f>IF($K38="","",INDEX('Detalle individual'!$F:$F,$K38))</f>
        <v>Pendiente</v>
      </c>
      <c r="I38" s="77" t="str">
        <f>IF($K38="","",IF(INDEX('Detalle individual'!$F:$F,$K38)="Completado",INDEX('Detalle individual'!$H:$H,$K38),""))</f>
        <v/>
      </c>
      <c r="J38" s="78" t="str">
        <f>IF($K38="","",IF(INDEX('Detalle individual'!$F:$F,$K38)="Completado",INDEX('Detalle individual'!$J:$J,$K38),""))</f>
        <v/>
      </c>
      <c r="K38">
        <f>IFERROR(MOD(SMALL('Cálculos'!$Z$5:$Z$297,30),1000),"")</f>
        <v>237</v>
      </c>
    </row>
    <row r="39">
      <c r="B39" s="63">
        <f>IF($K39="","",31)</f>
        <v>31</v>
      </c>
      <c r="C39" s="63" t="str">
        <f>IF($K39="","",INDEX('Detalle individual'!$A:$A,$K39))</f>
        <v>448</v>
      </c>
      <c r="D39" s="64" t="str">
        <f>IF($K39="","",TRIM(INDEX('Detalle individual'!$B:$B,$K39)))</f>
        <v>JOSE ALEXANDER TORRES PEREZ</v>
      </c>
      <c r="E39" s="64" t="str">
        <f>IF($K39="","",TRIM(INDEX('Detalle individual'!$E:$E,$K39)))</f>
        <v>MENSAJERO</v>
      </c>
      <c r="F39" s="64" t="str">
        <f>IF($K39="","",TRIM(INDEX('Detalle individual'!$C:$C,$K39)))</f>
        <v>AGENCIA SONSONATE</v>
      </c>
      <c r="G39" s="64" t="str">
        <f>IF($K39="","",INDEX('Detalle individual'!$D:$D,$K39))</f>
        <v>Gerencia de Negocios</v>
      </c>
      <c r="H39" s="63" t="str">
        <f>IF($K39="","",INDEX('Detalle individual'!$F:$F,$K39))</f>
        <v>Pendiente</v>
      </c>
      <c r="I39" s="77" t="str">
        <f>IF($K39="","",IF(INDEX('Detalle individual'!$F:$F,$K39)="Completado",INDEX('Detalle individual'!$H:$H,$K39),""))</f>
        <v/>
      </c>
      <c r="J39" s="78" t="str">
        <f>IF($K39="","",IF(INDEX('Detalle individual'!$F:$F,$K39)="Completado",INDEX('Detalle individual'!$J:$J,$K39),""))</f>
        <v/>
      </c>
      <c r="K39">
        <f>IFERROR(MOD(SMALL('Cálculos'!$Z$5:$Z$297,31),1000),"")</f>
        <v>238</v>
      </c>
    </row>
    <row r="40">
      <c r="B40" s="63">
        <f>IF($K40="","",32)</f>
        <v>32</v>
      </c>
      <c r="C40" s="63" t="str">
        <f>IF($K40="","",INDEX('Detalle individual'!$A:$A,$K40))</f>
        <v>526</v>
      </c>
      <c r="D40" s="64" t="str">
        <f>IF($K40="","",TRIM(INDEX('Detalle individual'!$B:$B,$K40)))</f>
        <v>XIOMARA BEATRIZ MARTINEZ SERMEÑO</v>
      </c>
      <c r="E40" s="64" t="str">
        <f>IF($K40="","",TRIM(INDEX('Detalle individual'!$E:$E,$K40)))</f>
        <v>SUBJEFE DE AGENCIA</v>
      </c>
      <c r="F40" s="64" t="str">
        <f>IF($K40="","",TRIM(INDEX('Detalle individual'!$C:$C,$K40)))</f>
        <v>AGENCIA SONSONATE</v>
      </c>
      <c r="G40" s="64" t="str">
        <f>IF($K40="","",INDEX('Detalle individual'!$D:$D,$K40))</f>
        <v>Gerencia de Negocios</v>
      </c>
      <c r="H40" s="63" t="str">
        <f>IF($K40="","",INDEX('Detalle individual'!$F:$F,$K40))</f>
        <v>Pendiente</v>
      </c>
      <c r="I40" s="77" t="str">
        <f>IF($K40="","",IF(INDEX('Detalle individual'!$F:$F,$K40)="Completado",INDEX('Detalle individual'!$H:$H,$K40),""))</f>
        <v/>
      </c>
      <c r="J40" s="78" t="str">
        <f>IF($K40="","",IF(INDEX('Detalle individual'!$F:$F,$K40)="Completado",INDEX('Detalle individual'!$J:$J,$K40),""))</f>
        <v/>
      </c>
      <c r="K40">
        <f>IFERROR(MOD(SMALL('Cálculos'!$Z$5:$Z$297,32),1000),"")</f>
        <v>239</v>
      </c>
    </row>
    <row r="41">
      <c r="B41" s="63">
        <f>IF($K41="","",33)</f>
        <v>33</v>
      </c>
      <c r="C41" s="63" t="str">
        <f>IF($K41="","",INDEX('Detalle individual'!$A:$A,$K41))</f>
        <v>559</v>
      </c>
      <c r="D41" s="64" t="str">
        <f>IF($K41="","",TRIM(INDEX('Detalle individual'!$B:$B,$K41)))</f>
        <v>JOSUE ALEXANDER PEREZ HENRIQUEZ</v>
      </c>
      <c r="E41" s="64" t="str">
        <f>IF($K41="","",TRIM(INDEX('Detalle individual'!$E:$E,$K41)))</f>
        <v>EJECUTIVO DE NEGOCIOS</v>
      </c>
      <c r="F41" s="64" t="str">
        <f>IF($K41="","",TRIM(INDEX('Detalle individual'!$C:$C,$K41)))</f>
        <v>AGENCIA SONSONATE</v>
      </c>
      <c r="G41" s="64" t="str">
        <f>IF($K41="","",INDEX('Detalle individual'!$D:$D,$K41))</f>
        <v>Gerencia de Negocios</v>
      </c>
      <c r="H41" s="63" t="str">
        <f>IF($K41="","",INDEX('Detalle individual'!$F:$F,$K41))</f>
        <v>Pendiente</v>
      </c>
      <c r="I41" s="77" t="str">
        <f>IF($K41="","",IF(INDEX('Detalle individual'!$F:$F,$K41)="Completado",INDEX('Detalle individual'!$H:$H,$K41),""))</f>
        <v/>
      </c>
      <c r="J41" s="78" t="str">
        <f>IF($K41="","",IF(INDEX('Detalle individual'!$F:$F,$K41)="Completado",INDEX('Detalle individual'!$J:$J,$K41),""))</f>
        <v/>
      </c>
      <c r="K41">
        <f>IFERROR(MOD(SMALL('Cálculos'!$Z$5:$Z$297,33),1000),"")</f>
        <v>240</v>
      </c>
    </row>
    <row r="42">
      <c r="B42" s="63">
        <f>IF($K42="","",34)</f>
        <v>34</v>
      </c>
      <c r="C42" s="63" t="str">
        <f>IF($K42="","",INDEX('Detalle individual'!$A:$A,$K42))</f>
        <v>575</v>
      </c>
      <c r="D42" s="64" t="str">
        <f>IF($K42="","",TRIM(INDEX('Detalle individual'!$B:$B,$K42)))</f>
        <v>JESSICA YAMILETH LEIVA VASQUEZ</v>
      </c>
      <c r="E42" s="64" t="str">
        <f>IF($K42="","",TRIM(INDEX('Detalle individual'!$E:$E,$K42)))</f>
        <v>EJECUTIVA DE SEGUROS</v>
      </c>
      <c r="F42" s="64" t="str">
        <f>IF($K42="","",TRIM(INDEX('Detalle individual'!$C:$C,$K42)))</f>
        <v>AGENCIA SONSONATE</v>
      </c>
      <c r="G42" s="64" t="str">
        <f>IF($K42="","",INDEX('Detalle individual'!$D:$D,$K42))</f>
        <v>Gerencia de Negocios</v>
      </c>
      <c r="H42" s="63" t="str">
        <f>IF($K42="","",INDEX('Detalle individual'!$F:$F,$K42))</f>
        <v>Pendiente</v>
      </c>
      <c r="I42" s="77" t="str">
        <f>IF($K42="","",IF(INDEX('Detalle individual'!$F:$F,$K42)="Completado",INDEX('Detalle individual'!$H:$H,$K42),""))</f>
        <v/>
      </c>
      <c r="J42" s="78" t="str">
        <f>IF($K42="","",IF(INDEX('Detalle individual'!$F:$F,$K42)="Completado",INDEX('Detalle individual'!$J:$J,$K42),""))</f>
        <v/>
      </c>
      <c r="K42">
        <f>IFERROR(MOD(SMALL('Cálculos'!$Z$5:$Z$297,34),1000),"")</f>
        <v>241</v>
      </c>
    </row>
    <row r="43">
      <c r="B43" s="63">
        <f>IF($K43="","",35)</f>
        <v>35</v>
      </c>
      <c r="C43" s="63" t="str">
        <f>IF($K43="","",INDEX('Detalle individual'!$A:$A,$K43))</f>
        <v>849</v>
      </c>
      <c r="D43" s="64" t="str">
        <f>IF($K43="","",TRIM(INDEX('Detalle individual'!$B:$B,$K43)))</f>
        <v>KARLA MARCELA ESCOBAR TRIGUEROS</v>
      </c>
      <c r="E43" s="64" t="str">
        <f>IF($K43="","",TRIM(INDEX('Detalle individual'!$E:$E,$K43)))</f>
        <v>CAJERO</v>
      </c>
      <c r="F43" s="64" t="str">
        <f>IF($K43="","",TRIM(INDEX('Detalle individual'!$C:$C,$K43)))</f>
        <v>AGENCIA SONSONATE</v>
      </c>
      <c r="G43" s="64" t="str">
        <f>IF($K43="","",INDEX('Detalle individual'!$D:$D,$K43))</f>
        <v>Gerencia de Negocios</v>
      </c>
      <c r="H43" s="63" t="str">
        <f>IF($K43="","",INDEX('Detalle individual'!$F:$F,$K43))</f>
        <v>Pendiente</v>
      </c>
      <c r="I43" s="77" t="str">
        <f>IF($K43="","",IF(INDEX('Detalle individual'!$F:$F,$K43)="Completado",INDEX('Detalle individual'!$H:$H,$K43),""))</f>
        <v/>
      </c>
      <c r="J43" s="78" t="str">
        <f>IF($K43="","",IF(INDEX('Detalle individual'!$F:$F,$K43)="Completado",INDEX('Detalle individual'!$J:$J,$K43),""))</f>
        <v/>
      </c>
      <c r="K43">
        <f>IFERROR(MOD(SMALL('Cálculos'!$Z$5:$Z$297,35),1000),"")</f>
        <v>243</v>
      </c>
    </row>
    <row r="44">
      <c r="B44" s="63">
        <f>IF($K44="","",36)</f>
        <v>36</v>
      </c>
      <c r="C44" s="63" t="str">
        <f>IF($K44="","",INDEX('Detalle individual'!$A:$A,$K44))</f>
        <v>835</v>
      </c>
      <c r="D44" s="64" t="str">
        <f>IF($K44="","",TRIM(INDEX('Detalle individual'!$B:$B,$K44)))</f>
        <v>LUIS ALBERTO MEJIA DELGADO</v>
      </c>
      <c r="E44" s="64" t="str">
        <f>IF($K44="","",TRIM(INDEX('Detalle individual'!$E:$E,$K44)))</f>
        <v>EJECUTIVO DE NEGOCIOS</v>
      </c>
      <c r="F44" s="64" t="str">
        <f>IF($K44="","",TRIM(INDEX('Detalle individual'!$C:$C,$K44)))</f>
        <v>DEPARTAMENTO COMERCIAL DE TARJETA DE CREDITO Y DEBITO</v>
      </c>
      <c r="G44" s="64" t="str">
        <f>IF($K44="","",INDEX('Detalle individual'!$D:$D,$K44))</f>
        <v>Gerencia de Negocios</v>
      </c>
      <c r="H44" s="63" t="str">
        <f>IF($K44="","",INDEX('Detalle individual'!$F:$F,$K44))</f>
        <v>Pendiente</v>
      </c>
      <c r="I44" s="77" t="str">
        <f>IF($K44="","",IF(INDEX('Detalle individual'!$F:$F,$K44)="Completado",INDEX('Detalle individual'!$H:$H,$K44),""))</f>
        <v/>
      </c>
      <c r="J44" s="78" t="str">
        <f>IF($K44="","",IF(INDEX('Detalle individual'!$F:$F,$K44)="Completado",INDEX('Detalle individual'!$J:$J,$K44),""))</f>
        <v/>
      </c>
      <c r="K44">
        <f>IFERROR(MOD(SMALL('Cálculos'!$Z$5:$Z$297,36),1000),"")</f>
        <v>182</v>
      </c>
    </row>
    <row r="45">
      <c r="B45" s="63">
        <f>IF($K45="","",37)</f>
        <v>37</v>
      </c>
      <c r="C45" s="63" t="str">
        <f>IF($K45="","",INDEX('Detalle individual'!$A:$A,$K45))</f>
        <v>899</v>
      </c>
      <c r="D45" s="64" t="str">
        <f>IF($K45="","",TRIM(INDEX('Detalle individual'!$B:$B,$K45)))</f>
        <v>ALEJANDRA VERONICA CENTENO LOPEZ</v>
      </c>
      <c r="E45" s="64" t="str">
        <f>IF($K45="","",TRIM(INDEX('Detalle individual'!$E:$E,$K45)))</f>
        <v>ANALISTA PROGRAMADOR</v>
      </c>
      <c r="F45" s="64" t="str">
        <f>IF($K45="","",TRIM(INDEX('Detalle individual'!$C:$C,$K45)))</f>
        <v>DEPARTAMENTO DE ANALISIS Y PROGRAMACIÓN</v>
      </c>
      <c r="G45" s="64" t="str">
        <f>IF($K45="","",INDEX('Detalle individual'!$D:$D,$K45))</f>
        <v>Gerencia de Sistemas</v>
      </c>
      <c r="H45" s="63" t="str">
        <f>IF($K45="","",INDEX('Detalle individual'!$F:$F,$K45))</f>
        <v>Pendiente</v>
      </c>
      <c r="I45" s="77" t="str">
        <f>IF($K45="","",IF(INDEX('Detalle individual'!$F:$F,$K45)="Completado",INDEX('Detalle individual'!$H:$H,$K45),""))</f>
        <v/>
      </c>
      <c r="J45" s="78" t="str">
        <f>IF($K45="","",IF(INDEX('Detalle individual'!$F:$F,$K45)="Completado",INDEX('Detalle individual'!$J:$J,$K45),""))</f>
        <v/>
      </c>
      <c r="K45">
        <f>IFERROR(MOD(SMALL('Cálculos'!$Z$5:$Z$297,37),1000),"")</f>
        <v>121</v>
      </c>
    </row>
    <row r="46">
      <c r="B46" s="63">
        <f>IF($K46="","",38)</f>
        <v>38</v>
      </c>
      <c r="C46" s="63" t="str">
        <f>IF($K46="","",INDEX('Detalle individual'!$A:$A,$K46))</f>
        <v>981</v>
      </c>
      <c r="D46" s="64" t="str">
        <f>IF($K46="","",TRIM(INDEX('Detalle individual'!$B:$B,$K46)))</f>
        <v>ALAN RODRIGO BENITEZ RODRIGUEZ</v>
      </c>
      <c r="E46" s="64" t="str">
        <f>IF($K46="","",TRIM(INDEX('Detalle individual'!$E:$E,$K46)))</f>
        <v>PASANTE</v>
      </c>
      <c r="F46" s="64" t="str">
        <f>IF($K46="","",TRIM(INDEX('Detalle individual'!$C:$C,$K46)))</f>
        <v>DEPARTAMENTO DE ATENCION A ASOCIADO Y CLIENTE</v>
      </c>
      <c r="G46" s="64" t="str">
        <f>IF($K46="","",INDEX('Detalle individual'!$D:$D,$K46))</f>
        <v>Gerencia de Negocios</v>
      </c>
      <c r="H46" s="63" t="str">
        <f>IF($K46="","",INDEX('Detalle individual'!$F:$F,$K46))</f>
        <v>Pendiente</v>
      </c>
      <c r="I46" s="77" t="str">
        <f>IF($K46="","",IF(INDEX('Detalle individual'!$F:$F,$K46)="Completado",INDEX('Detalle individual'!$H:$H,$K46),""))</f>
        <v/>
      </c>
      <c r="J46" s="78" t="str">
        <f>IF($K46="","",IF(INDEX('Detalle individual'!$F:$F,$K46)="Completado",INDEX('Detalle individual'!$J:$J,$K46),""))</f>
        <v/>
      </c>
      <c r="K46">
        <f>IFERROR(MOD(SMALL('Cálculos'!$Z$5:$Z$297,38),1000),"")</f>
        <v>144</v>
      </c>
    </row>
    <row r="47">
      <c r="B47" s="63">
        <f>IF($K47="","",39)</f>
        <v>39</v>
      </c>
      <c r="C47" s="63" t="str">
        <f>IF($K47="","",INDEX('Detalle individual'!$A:$A,$K47))</f>
        <v>70</v>
      </c>
      <c r="D47" s="64" t="str">
        <f>IF($K47="","",TRIM(INDEX('Detalle individual'!$B:$B,$K47)))</f>
        <v>RUBIA ESTELA LEIVA SIBRIAN</v>
      </c>
      <c r="E47" s="64" t="str">
        <f>IF($K47="","",TRIM(INDEX('Detalle individual'!$E:$E,$K47)))</f>
        <v>ASISTENTE TECNICO DE PAGOS</v>
      </c>
      <c r="F47" s="64" t="str">
        <f>IF($K47="","",TRIM(INDEX('Detalle individual'!$C:$C,$K47)))</f>
        <v>DEPARTAMENTO DE CONTABILIDAD</v>
      </c>
      <c r="G47" s="64" t="str">
        <f>IF($K47="","",INDEX('Detalle individual'!$D:$D,$K47))</f>
        <v>Gerencia de Finanzas y Planificación</v>
      </c>
      <c r="H47" s="63" t="str">
        <f>IF($K47="","",INDEX('Detalle individual'!$F:$F,$K47))</f>
        <v>Pendiente</v>
      </c>
      <c r="I47" s="77" t="str">
        <f>IF($K47="","",IF(INDEX('Detalle individual'!$F:$F,$K47)="Completado",INDEX('Detalle individual'!$H:$H,$K47),""))</f>
        <v/>
      </c>
      <c r="J47" s="78" t="str">
        <f>IF($K47="","",IF(INDEX('Detalle individual'!$F:$F,$K47)="Completado",INDEX('Detalle individual'!$J:$J,$K47),""))</f>
        <v/>
      </c>
      <c r="K47">
        <f>IFERROR(MOD(SMALL('Cálculos'!$Z$5:$Z$297,39),1000),"")</f>
        <v>85</v>
      </c>
    </row>
    <row r="48">
      <c r="B48" s="63">
        <f>IF($K48="","",40)</f>
        <v>40</v>
      </c>
      <c r="C48" s="63" t="str">
        <f>IF($K48="","",INDEX('Detalle individual'!$A:$A,$K48))</f>
        <v>235</v>
      </c>
      <c r="D48" s="64" t="str">
        <f>IF($K48="","",TRIM(INDEX('Detalle individual'!$B:$B,$K48)))</f>
        <v>CLAUDIA MARLENE CABRERA SANCHEZ</v>
      </c>
      <c r="E48" s="64" t="str">
        <f>IF($K48="","",TRIM(INDEX('Detalle individual'!$E:$E,$K48)))</f>
        <v>SUPERVISOR DE CONTABILIDAD</v>
      </c>
      <c r="F48" s="64" t="str">
        <f>IF($K48="","",TRIM(INDEX('Detalle individual'!$C:$C,$K48)))</f>
        <v>DEPARTAMENTO DE CONTABILIDAD</v>
      </c>
      <c r="G48" s="64" t="str">
        <f>IF($K48="","",INDEX('Detalle individual'!$D:$D,$K48))</f>
        <v>Gerencia de Finanzas y Planificación</v>
      </c>
      <c r="H48" s="63" t="str">
        <f>IF($K48="","",INDEX('Detalle individual'!$F:$F,$K48))</f>
        <v>Pendiente</v>
      </c>
      <c r="I48" s="77" t="str">
        <f>IF($K48="","",IF(INDEX('Detalle individual'!$F:$F,$K48)="Completado",INDEX('Detalle individual'!$H:$H,$K48),""))</f>
        <v/>
      </c>
      <c r="J48" s="78" t="str">
        <f>IF($K48="","",IF(INDEX('Detalle individual'!$F:$F,$K48)="Completado",INDEX('Detalle individual'!$J:$J,$K48),""))</f>
        <v/>
      </c>
      <c r="K48">
        <f>IFERROR(MOD(SMALL('Cálculos'!$Z$5:$Z$297,40),1000),"")</f>
        <v>86</v>
      </c>
    </row>
    <row r="49">
      <c r="B49" s="63">
        <f>IF($K49="","",41)</f>
        <v>41</v>
      </c>
      <c r="C49" s="63" t="str">
        <f>IF($K49="","",INDEX('Detalle individual'!$A:$A,$K49))</f>
        <v>571</v>
      </c>
      <c r="D49" s="64" t="str">
        <f>IF($K49="","",TRIM(INDEX('Detalle individual'!$B:$B,$K49)))</f>
        <v>MILAGRO TRINIDAD ROMERO MONTERROSA</v>
      </c>
      <c r="E49" s="64" t="str">
        <f>IF($K49="","",TRIM(INDEX('Detalle individual'!$E:$E,$K49)))</f>
        <v>ASISTENTE TECNICO DE IMPUESTOS</v>
      </c>
      <c r="F49" s="64" t="str">
        <f>IF($K49="","",TRIM(INDEX('Detalle individual'!$C:$C,$K49)))</f>
        <v>DEPARTAMENTO DE CONTABILIDAD</v>
      </c>
      <c r="G49" s="64" t="str">
        <f>IF($K49="","",INDEX('Detalle individual'!$D:$D,$K49))</f>
        <v>Gerencia de Finanzas y Planificación</v>
      </c>
      <c r="H49" s="63" t="str">
        <f>IF($K49="","",INDEX('Detalle individual'!$F:$F,$K49))</f>
        <v>Pendiente</v>
      </c>
      <c r="I49" s="77" t="str">
        <f>IF($K49="","",IF(INDEX('Detalle individual'!$F:$F,$K49)="Completado",INDEX('Detalle individual'!$H:$H,$K49),""))</f>
        <v/>
      </c>
      <c r="J49" s="78" t="str">
        <f>IF($K49="","",IF(INDEX('Detalle individual'!$F:$F,$K49)="Completado",INDEX('Detalle individual'!$J:$J,$K49),""))</f>
        <v/>
      </c>
      <c r="K49">
        <f>IFERROR(MOD(SMALL('Cálculos'!$Z$5:$Z$297,41),1000),"")</f>
        <v>89</v>
      </c>
    </row>
    <row r="50">
      <c r="B50" s="63">
        <f>IF($K50="","",42)</f>
        <v>42</v>
      </c>
      <c r="C50" s="63" t="str">
        <f>IF($K50="","",INDEX('Detalle individual'!$A:$A,$K50))</f>
        <v>847</v>
      </c>
      <c r="D50" s="64" t="str">
        <f>IF($K50="","",TRIM(INDEX('Detalle individual'!$B:$B,$K50)))</f>
        <v>ZULEYMA ALEJANDRA VASQUEZ MARIN</v>
      </c>
      <c r="E50" s="64" t="str">
        <f>IF($K50="","",TRIM(INDEX('Detalle individual'!$E:$E,$K50)))</f>
        <v>JEFE DE EDUCACION Y RESPONSABILIDAD SOCIAL</v>
      </c>
      <c r="F50" s="64" t="str">
        <f>IF($K50="","",TRIM(INDEX('Detalle individual'!$C:$C,$K50)))</f>
        <v>DEPARTAMENTO DE EDUCACION Y RESPONSABILIDAD SOCIAL</v>
      </c>
      <c r="G50" s="64" t="str">
        <f>IF($K50="","",INDEX('Detalle individual'!$D:$D,$K50))</f>
        <v>Gerencia Administrativa</v>
      </c>
      <c r="H50" s="63" t="str">
        <f>IF($K50="","",INDEX('Detalle individual'!$F:$F,$K50))</f>
        <v>Pendiente</v>
      </c>
      <c r="I50" s="77" t="str">
        <f>IF($K50="","",IF(INDEX('Detalle individual'!$F:$F,$K50)="Completado",INDEX('Detalle individual'!$H:$H,$K50),""))</f>
        <v/>
      </c>
      <c r="J50" s="78" t="str">
        <f>IF($K50="","",IF(INDEX('Detalle individual'!$F:$F,$K50)="Completado",INDEX('Detalle individual'!$J:$J,$K50),""))</f>
        <v/>
      </c>
      <c r="K50">
        <f>IFERROR(MOD(SMALL('Cálculos'!$Z$5:$Z$297,42),1000),"")</f>
        <v>56</v>
      </c>
    </row>
    <row r="51">
      <c r="B51" s="63">
        <f>IF($K51="","",43)</f>
        <v>43</v>
      </c>
      <c r="C51" s="63" t="str">
        <f>IF($K51="","",INDEX('Detalle individual'!$A:$A,$K51))</f>
        <v>919</v>
      </c>
      <c r="D51" s="64" t="str">
        <f>IF($K51="","",TRIM(INDEX('Detalle individual'!$B:$B,$K51)))</f>
        <v>CARLOS EDUARDO SERVELLON PEREZ</v>
      </c>
      <c r="E51" s="64" t="str">
        <f>IF($K51="","",TRIM(INDEX('Detalle individual'!$E:$E,$K51)))</f>
        <v>AUXILIAR DE EDUCACION Y RESPONSABILIDAD SOCIAL</v>
      </c>
      <c r="F51" s="64" t="str">
        <f>IF($K51="","",TRIM(INDEX('Detalle individual'!$C:$C,$K51)))</f>
        <v>DEPARTAMENTO DE EDUCACION Y RESPONSABILIDAD SOCIAL</v>
      </c>
      <c r="G51" s="64" t="str">
        <f>IF($K51="","",INDEX('Detalle individual'!$D:$D,$K51))</f>
        <v>Gerencia Administrativa</v>
      </c>
      <c r="H51" s="63" t="str">
        <f>IF($K51="","",INDEX('Detalle individual'!$F:$F,$K51))</f>
        <v>Pendiente</v>
      </c>
      <c r="I51" s="77" t="str">
        <f>IF($K51="","",IF(INDEX('Detalle individual'!$F:$F,$K51)="Completado",INDEX('Detalle individual'!$H:$H,$K51),""))</f>
        <v/>
      </c>
      <c r="J51" s="78" t="str">
        <f>IF($K51="","",IF(INDEX('Detalle individual'!$F:$F,$K51)="Completado",INDEX('Detalle individual'!$J:$J,$K51),""))</f>
        <v/>
      </c>
      <c r="K51">
        <f>IFERROR(MOD(SMALL('Cálculos'!$Z$5:$Z$297,43),1000),"")</f>
        <v>58</v>
      </c>
    </row>
    <row r="52">
      <c r="B52" s="63">
        <f>IF($K52="","",44)</f>
        <v>44</v>
      </c>
      <c r="C52" s="63" t="str">
        <f>IF($K52="","",INDEX('Detalle individual'!$A:$A,$K52))</f>
        <v>361</v>
      </c>
      <c r="D52" s="64" t="str">
        <f>IF($K52="","",TRIM(INDEX('Detalle individual'!$B:$B,$K52)))</f>
        <v>JOSE CARLOS IRENEO HERNANDEZ RODRIGUEZ</v>
      </c>
      <c r="E52" s="64" t="str">
        <f>IF($K52="","",TRIM(INDEX('Detalle individual'!$E:$E,$K52)))</f>
        <v>ASISTENTE TECNICO DE MERCADEO</v>
      </c>
      <c r="F52" s="64" t="str">
        <f>IF($K52="","",TRIM(INDEX('Detalle individual'!$C:$C,$K52)))</f>
        <v>DEPARTAMENTO DE MERCADEO</v>
      </c>
      <c r="G52" s="64" t="str">
        <f>IF($K52="","",INDEX('Detalle individual'!$D:$D,$K52))</f>
        <v>Gerencia de Negocios</v>
      </c>
      <c r="H52" s="63" t="str">
        <f>IF($K52="","",INDEX('Detalle individual'!$F:$F,$K52))</f>
        <v>Pendiente</v>
      </c>
      <c r="I52" s="77" t="str">
        <f>IF($K52="","",IF(INDEX('Detalle individual'!$F:$F,$K52)="Completado",INDEX('Detalle individual'!$H:$H,$K52),""))</f>
        <v/>
      </c>
      <c r="J52" s="78" t="str">
        <f>IF($K52="","",IF(INDEX('Detalle individual'!$F:$F,$K52)="Completado",INDEX('Detalle individual'!$J:$J,$K52),""))</f>
        <v/>
      </c>
      <c r="K52">
        <f>IFERROR(MOD(SMALL('Cálculos'!$Z$5:$Z$297,44),1000),"")</f>
        <v>146</v>
      </c>
    </row>
    <row r="53">
      <c r="B53" s="63">
        <f>IF($K53="","",45)</f>
        <v>45</v>
      </c>
      <c r="C53" s="63" t="str">
        <f>IF($K53="","",INDEX('Detalle individual'!$A:$A,$K53))</f>
        <v>591</v>
      </c>
      <c r="D53" s="64" t="str">
        <f>IF($K53="","",TRIM(INDEX('Detalle individual'!$B:$B,$K53)))</f>
        <v>CARMEN MARIA GUTIERREZ ESTRADA</v>
      </c>
      <c r="E53" s="64" t="str">
        <f>IF($K53="","",TRIM(INDEX('Detalle individual'!$E:$E,$K53)))</f>
        <v>JEFE DE MERCADEO</v>
      </c>
      <c r="F53" s="64" t="str">
        <f>IF($K53="","",TRIM(INDEX('Detalle individual'!$C:$C,$K53)))</f>
        <v>DEPARTAMENTO DE MERCADEO</v>
      </c>
      <c r="G53" s="64" t="str">
        <f>IF($K53="","",INDEX('Detalle individual'!$D:$D,$K53))</f>
        <v>Gerencia de Negocios</v>
      </c>
      <c r="H53" s="63" t="str">
        <f>IF($K53="","",INDEX('Detalle individual'!$F:$F,$K53))</f>
        <v>Pendiente</v>
      </c>
      <c r="I53" s="77" t="str">
        <f>IF($K53="","",IF(INDEX('Detalle individual'!$F:$F,$K53)="Completado",INDEX('Detalle individual'!$H:$H,$K53),""))</f>
        <v/>
      </c>
      <c r="J53" s="78" t="str">
        <f>IF($K53="","",IF(INDEX('Detalle individual'!$F:$F,$K53)="Completado",INDEX('Detalle individual'!$J:$J,$K53),""))</f>
        <v/>
      </c>
      <c r="K53">
        <f>IFERROR(MOD(SMALL('Cálculos'!$Z$5:$Z$297,45),1000),"")</f>
        <v>147</v>
      </c>
    </row>
    <row r="54">
      <c r="B54" s="63">
        <f>IF($K54="","",46)</f>
        <v>46</v>
      </c>
      <c r="C54" s="63" t="str">
        <f>IF($K54="","",INDEX('Detalle individual'!$A:$A,$K54))</f>
        <v>723</v>
      </c>
      <c r="D54" s="64" t="str">
        <f>IF($K54="","",TRIM(INDEX('Detalle individual'!$B:$B,$K54)))</f>
        <v>LUIS FAUSTONY VASQUEZ CIENFUEGOS</v>
      </c>
      <c r="E54" s="64" t="str">
        <f>IF($K54="","",TRIM(INDEX('Detalle individual'!$E:$E,$K54)))</f>
        <v>GESTOR DE DOCUMENTOS</v>
      </c>
      <c r="F54" s="64" t="str">
        <f>IF($K54="","",TRIM(INDEX('Detalle individual'!$C:$C,$K54)))</f>
        <v>DEPARTAMENTO DE MERCADEO</v>
      </c>
      <c r="G54" s="64" t="str">
        <f>IF($K54="","",INDEX('Detalle individual'!$D:$D,$K54))</f>
        <v>Gerencia de Negocios</v>
      </c>
      <c r="H54" s="63" t="str">
        <f>IF($K54="","",INDEX('Detalle individual'!$F:$F,$K54))</f>
        <v>Pendiente</v>
      </c>
      <c r="I54" s="77" t="str">
        <f>IF($K54="","",IF(INDEX('Detalle individual'!$F:$F,$K54)="Completado",INDEX('Detalle individual'!$H:$H,$K54),""))</f>
        <v/>
      </c>
      <c r="J54" s="78" t="str">
        <f>IF($K54="","",IF(INDEX('Detalle individual'!$F:$F,$K54)="Completado",INDEX('Detalle individual'!$J:$J,$K54),""))</f>
        <v/>
      </c>
      <c r="K54">
        <f>IFERROR(MOD(SMALL('Cálculos'!$Z$5:$Z$297,46),1000),"")</f>
        <v>148</v>
      </c>
    </row>
    <row r="55">
      <c r="B55" s="63">
        <f>IF($K55="","",47)</f>
        <v>47</v>
      </c>
      <c r="C55" s="63" t="str">
        <f>IF($K55="","",INDEX('Detalle individual'!$A:$A,$K55))</f>
        <v>895</v>
      </c>
      <c r="D55" s="64" t="str">
        <f>IF($K55="","",TRIM(INDEX('Detalle individual'!$B:$B,$K55)))</f>
        <v>MARIA ALEJANDRA BATRES ALVARADO</v>
      </c>
      <c r="E55" s="64" t="str">
        <f>IF($K55="","",TRIM(INDEX('Detalle individual'!$E:$E,$K55)))</f>
        <v>DISEÑADOR GRAFICO</v>
      </c>
      <c r="F55" s="64" t="str">
        <f>IF($K55="","",TRIM(INDEX('Detalle individual'!$C:$C,$K55)))</f>
        <v>DEPARTAMENTO DE MERCADEO</v>
      </c>
      <c r="G55" s="64" t="str">
        <f>IF($K55="","",INDEX('Detalle individual'!$D:$D,$K55))</f>
        <v>Gerencia de Negocios</v>
      </c>
      <c r="H55" s="63" t="str">
        <f>IF($K55="","",INDEX('Detalle individual'!$F:$F,$K55))</f>
        <v>Pendiente</v>
      </c>
      <c r="I55" s="77" t="str">
        <f>IF($K55="","",IF(INDEX('Detalle individual'!$F:$F,$K55)="Completado",INDEX('Detalle individual'!$H:$H,$K55),""))</f>
        <v/>
      </c>
      <c r="J55" s="78" t="str">
        <f>IF($K55="","",IF(INDEX('Detalle individual'!$F:$F,$K55)="Completado",INDEX('Detalle individual'!$J:$J,$K55),""))</f>
        <v/>
      </c>
      <c r="K55">
        <f>IFERROR(MOD(SMALL('Cálculos'!$Z$5:$Z$297,47),1000),"")</f>
        <v>149</v>
      </c>
    </row>
    <row r="56">
      <c r="B56" s="63">
        <f>IF($K56="","",48)</f>
        <v>48</v>
      </c>
      <c r="C56" s="63" t="str">
        <f>IF($K56="","",INDEX('Detalle individual'!$A:$A,$K56))</f>
        <v>897</v>
      </c>
      <c r="D56" s="64" t="str">
        <f>IF($K56="","",TRIM(INDEX('Detalle individual'!$B:$B,$K56)))</f>
        <v>GERARDO ALEXANDER MARTINEZ RIVERA</v>
      </c>
      <c r="E56" s="64" t="str">
        <f>IF($K56="","",TRIM(INDEX('Detalle individual'!$E:$E,$K56)))</f>
        <v>ANALISTA DE COMUNICACIONES</v>
      </c>
      <c r="F56" s="64" t="str">
        <f>IF($K56="","",TRIM(INDEX('Detalle individual'!$C:$C,$K56)))</f>
        <v>DEPARTAMENTO DE MERCADEO</v>
      </c>
      <c r="G56" s="64" t="str">
        <f>IF($K56="","",INDEX('Detalle individual'!$D:$D,$K56))</f>
        <v>Gerencia de Negocios</v>
      </c>
      <c r="H56" s="63" t="str">
        <f>IF($K56="","",INDEX('Detalle individual'!$F:$F,$K56))</f>
        <v>Pendiente</v>
      </c>
      <c r="I56" s="77" t="str">
        <f>IF($K56="","",IF(INDEX('Detalle individual'!$F:$F,$K56)="Completado",INDEX('Detalle individual'!$H:$H,$K56),""))</f>
        <v/>
      </c>
      <c r="J56" s="78" t="str">
        <f>IF($K56="","",IF(INDEX('Detalle individual'!$F:$F,$K56)="Completado",INDEX('Detalle individual'!$J:$J,$K56),""))</f>
        <v/>
      </c>
      <c r="K56">
        <f>IFERROR(MOD(SMALL('Cálculos'!$Z$5:$Z$297,48),1000),"")</f>
        <v>150</v>
      </c>
    </row>
    <row r="57">
      <c r="B57" s="63">
        <f>IF($K57="","",49)</f>
        <v>49</v>
      </c>
      <c r="C57" s="63" t="str">
        <f>IF($K57="","",INDEX('Detalle individual'!$A:$A,$K57))</f>
        <v>90</v>
      </c>
      <c r="D57" s="64" t="str">
        <f>IF($K57="","",TRIM(INDEX('Detalle individual'!$B:$B,$K57)))</f>
        <v>HUGO MARVIN SERRANO SARAVIA</v>
      </c>
      <c r="E57" s="64" t="str">
        <f>IF($K57="","",TRIM(INDEX('Detalle individual'!$E:$E,$K57)))</f>
        <v>OPERADOR DE SISTEMAS</v>
      </c>
      <c r="F57" s="64" t="str">
        <f>IF($K57="","",TRIM(INDEX('Detalle individual'!$C:$C,$K57)))</f>
        <v>DEPARTAMENTO DE OPERACIONES Y SOPORTE TECNICO</v>
      </c>
      <c r="G57" s="64" t="str">
        <f>IF($K57="","",INDEX('Detalle individual'!$D:$D,$K57))</f>
        <v>Gerencia de Sistemas</v>
      </c>
      <c r="H57" s="63" t="str">
        <f>IF($K57="","",INDEX('Detalle individual'!$F:$F,$K57))</f>
        <v>Pendiente</v>
      </c>
      <c r="I57" s="77" t="str">
        <f>IF($K57="","",IF(INDEX('Detalle individual'!$F:$F,$K57)="Completado",INDEX('Detalle individual'!$H:$H,$K57),""))</f>
        <v/>
      </c>
      <c r="J57" s="78" t="str">
        <f>IF($K57="","",IF(INDEX('Detalle individual'!$F:$F,$K57)="Completado",INDEX('Detalle individual'!$J:$J,$K57),""))</f>
        <v/>
      </c>
      <c r="K57">
        <f>IFERROR(MOD(SMALL('Cálculos'!$Z$5:$Z$297,49),1000),"")</f>
        <v>104</v>
      </c>
    </row>
    <row r="58">
      <c r="B58" s="63">
        <f>IF($K58="","",50)</f>
        <v>50</v>
      </c>
      <c r="C58" s="63" t="str">
        <f>IF($K58="","",INDEX('Detalle individual'!$A:$A,$K58))</f>
        <v>839</v>
      </c>
      <c r="D58" s="64" t="str">
        <f>IF($K58="","",TRIM(INDEX('Detalle individual'!$B:$B,$K58)))</f>
        <v>RAFAEL ANDRES MARAVILLA GUERRA</v>
      </c>
      <c r="E58" s="64" t="str">
        <f>IF($K58="","",TRIM(INDEX('Detalle individual'!$E:$E,$K58)))</f>
        <v>ASISTENTE DE ANALISIS Y NORMATIVAS</v>
      </c>
      <c r="F58" s="64" t="str">
        <f>IF($K58="","",TRIM(INDEX('Detalle individual'!$C:$C,$K58)))</f>
        <v>DEPARTAMENTO DE PLANIFICACIÓN Y ANALISIS</v>
      </c>
      <c r="G58" s="64" t="str">
        <f>IF($K58="","",INDEX('Detalle individual'!$D:$D,$K58))</f>
        <v>Gerencia de Finanzas y Planificación</v>
      </c>
      <c r="H58" s="63" t="str">
        <f>IF($K58="","",INDEX('Detalle individual'!$F:$F,$K58))</f>
        <v>Pendiente</v>
      </c>
      <c r="I58" s="77" t="str">
        <f>IF($K58="","",IF(INDEX('Detalle individual'!$F:$F,$K58)="Completado",INDEX('Detalle individual'!$H:$H,$K58),""))</f>
        <v/>
      </c>
      <c r="J58" s="78" t="str">
        <f>IF($K58="","",IF(INDEX('Detalle individual'!$F:$F,$K58)="Completado",INDEX('Detalle individual'!$J:$J,$K58),""))</f>
        <v/>
      </c>
      <c r="K58">
        <f>IFERROR(MOD(SMALL('Cálculos'!$Z$5:$Z$297,50),1000),"")</f>
        <v>99</v>
      </c>
    </row>
    <row r="59">
      <c r="B59" s="63">
        <f>IF($K59="","",51)</f>
        <v>51</v>
      </c>
      <c r="C59" s="63" t="str">
        <f>IF($K59="","",INDEX('Detalle individual'!$A:$A,$K59))</f>
        <v>802</v>
      </c>
      <c r="D59" s="64" t="str">
        <f>IF($K59="","",TRIM(INDEX('Detalle individual'!$B:$B,$K59)))</f>
        <v>ERIKA VANESSA ALEMAN MIJANGO</v>
      </c>
      <c r="E59" s="64" t="str">
        <f>IF($K59="","",TRIM(INDEX('Detalle individual'!$E:$E,$K59)))</f>
        <v>EJECUTIVO DE VENTA DE SEGUROS</v>
      </c>
      <c r="F59" s="64" t="str">
        <f>IF($K59="","",TRIM(INDEX('Detalle individual'!$C:$C,$K59)))</f>
        <v>DEPARTAMENTO DE SEGUROS</v>
      </c>
      <c r="G59" s="64" t="str">
        <f>IF($K59="","",INDEX('Detalle individual'!$D:$D,$K59))</f>
        <v>Gerencia de Negocios</v>
      </c>
      <c r="H59" s="63" t="str">
        <f>IF($K59="","",INDEX('Detalle individual'!$F:$F,$K59))</f>
        <v>Pendiente</v>
      </c>
      <c r="I59" s="77" t="str">
        <f>IF($K59="","",IF(INDEX('Detalle individual'!$F:$F,$K59)="Completado",INDEX('Detalle individual'!$H:$H,$K59),""))</f>
        <v/>
      </c>
      <c r="J59" s="78" t="str">
        <f>IF($K59="","",IF(INDEX('Detalle individual'!$F:$F,$K59)="Completado",INDEX('Detalle individual'!$J:$J,$K59),""))</f>
        <v/>
      </c>
      <c r="K59">
        <f>IFERROR(MOD(SMALL('Cálculos'!$Z$5:$Z$297,51),1000),"")</f>
        <v>172</v>
      </c>
    </row>
    <row r="60">
      <c r="B60" s="63">
        <f>IF($K60="","",52)</f>
        <v>52</v>
      </c>
      <c r="C60" s="63" t="str">
        <f>IF($K60="","",INDEX('Detalle individual'!$A:$A,$K60))</f>
        <v>885</v>
      </c>
      <c r="D60" s="64" t="str">
        <f>IF($K60="","",TRIM(INDEX('Detalle individual'!$B:$B,$K60)))</f>
        <v>ALBA BEATRIZ MELENDEZ PRUDENCIO</v>
      </c>
      <c r="E60" s="64" t="str">
        <f>IF($K60="","",TRIM(INDEX('Detalle individual'!$E:$E,$K60)))</f>
        <v>ASISTENTE DE RECUPERACION JUDICIAL Y CARTERA CASTIGADA</v>
      </c>
      <c r="F60" s="64" t="str">
        <f>IF($K60="","",TRIM(INDEX('Detalle individual'!$C:$C,$K60)))</f>
        <v>DEPARTAMENTO DE SOLUCIONES FINANCIERAS</v>
      </c>
      <c r="G60" s="64" t="str">
        <f>IF($K60="","",INDEX('Detalle individual'!$D:$D,$K60))</f>
        <v>Gerencia de Operaciones</v>
      </c>
      <c r="H60" s="63" t="str">
        <f>IF($K60="","",INDEX('Detalle individual'!$F:$F,$K60))</f>
        <v>Pendiente</v>
      </c>
      <c r="I60" s="77" t="str">
        <f>IF($K60="","",IF(INDEX('Detalle individual'!$F:$F,$K60)="Completado",INDEX('Detalle individual'!$H:$H,$K60),""))</f>
        <v/>
      </c>
      <c r="J60" s="78" t="str">
        <f>IF($K60="","",IF(INDEX('Detalle individual'!$F:$F,$K60)="Completado",INDEX('Detalle individual'!$J:$J,$K60),""))</f>
        <v/>
      </c>
      <c r="K60">
        <f>IFERROR(MOD(SMALL('Cálculos'!$Z$5:$Z$297,52),1000),"")</f>
        <v>68</v>
      </c>
    </row>
    <row r="61">
      <c r="B61" s="63">
        <f>IF($K61="","",53)</f>
        <v>53</v>
      </c>
      <c r="C61" s="63" t="str">
        <f>IF($K61="","",INDEX('Detalle individual'!$A:$A,$K61))</f>
        <v>65</v>
      </c>
      <c r="D61" s="64" t="str">
        <f>IF($K61="","",TRIM(INDEX('Detalle individual'!$B:$B,$K61)))</f>
        <v>DORA ALICIA CASTILLO</v>
      </c>
      <c r="E61" s="64" t="str">
        <f>IF($K61="","",TRIM(INDEX('Detalle individual'!$E:$E,$K61)))</f>
        <v>JEFE DE TALENTO HUMANO</v>
      </c>
      <c r="F61" s="64" t="str">
        <f>IF($K61="","",TRIM(INDEX('Detalle individual'!$C:$C,$K61)))</f>
        <v>DEPARTAMENTO DE TALENTO HUMANO</v>
      </c>
      <c r="G61" s="64" t="str">
        <f>IF($K61="","",INDEX('Detalle individual'!$D:$D,$K61))</f>
        <v>Gerencia Administrativa</v>
      </c>
      <c r="H61" s="63" t="str">
        <f>IF($K61="","",INDEX('Detalle individual'!$F:$F,$K61))</f>
        <v>Pendiente</v>
      </c>
      <c r="I61" s="77" t="str">
        <f>IF($K61="","",IF(INDEX('Detalle individual'!$F:$F,$K61)="Completado",INDEX('Detalle individual'!$H:$H,$K61),""))</f>
        <v/>
      </c>
      <c r="J61" s="78" t="str">
        <f>IF($K61="","",IF(INDEX('Detalle individual'!$F:$F,$K61)="Completado",INDEX('Detalle individual'!$J:$J,$K61),""))</f>
        <v/>
      </c>
      <c r="K61">
        <f>IFERROR(MOD(SMALL('Cálculos'!$Z$5:$Z$297,53),1000),"")</f>
        <v>49</v>
      </c>
    </row>
    <row r="62">
      <c r="B62" s="63">
        <f>IF($K62="","",54)</f>
        <v>54</v>
      </c>
      <c r="C62" s="63" t="str">
        <f>IF($K62="","",INDEX('Detalle individual'!$A:$A,$K62))</f>
        <v>389</v>
      </c>
      <c r="D62" s="64" t="str">
        <f>IF($K62="","",TRIM(INDEX('Detalle individual'!$B:$B,$K62)))</f>
        <v>CLAUDIA CAROLINA HERNANDEZ DE PAZ</v>
      </c>
      <c r="E62" s="64" t="str">
        <f>IF($K62="","",TRIM(INDEX('Detalle individual'!$E:$E,$K62)))</f>
        <v>ASISTENTE TECNICO DE INTERCAMBIO DE TARJETAS</v>
      </c>
      <c r="F62" s="64" t="str">
        <f>IF($K62="","",TRIM(INDEX('Detalle individual'!$C:$C,$K62)))</f>
        <v>DEPARTAMENTO DE TARJETA DE CREDITO Y DEBITO</v>
      </c>
      <c r="G62" s="64" t="str">
        <f>IF($K62="","",INDEX('Detalle individual'!$D:$D,$K62))</f>
        <v>Gerencia de Operaciones</v>
      </c>
      <c r="H62" s="63" t="str">
        <f>IF($K62="","",INDEX('Detalle individual'!$F:$F,$K62))</f>
        <v>Pendiente</v>
      </c>
      <c r="I62" s="77" t="str">
        <f>IF($K62="","",IF(INDEX('Detalle individual'!$F:$F,$K62)="Completado",INDEX('Detalle individual'!$H:$H,$K62),""))</f>
        <v/>
      </c>
      <c r="J62" s="78" t="str">
        <f>IF($K62="","",IF(INDEX('Detalle individual'!$F:$F,$K62)="Completado",INDEX('Detalle individual'!$J:$J,$K62),""))</f>
        <v/>
      </c>
      <c r="K62">
        <f>IFERROR(MOD(SMALL('Cálculos'!$Z$5:$Z$297,54),1000),"")</f>
        <v>69</v>
      </c>
    </row>
    <row r="63">
      <c r="B63" s="63">
        <f>IF($K63="","",55)</f>
        <v>55</v>
      </c>
      <c r="C63" s="63" t="str">
        <f>IF($K63="","",INDEX('Detalle individual'!$A:$A,$K63))</f>
        <v>399</v>
      </c>
      <c r="D63" s="64" t="str">
        <f>IF($K63="","",TRIM(INDEX('Detalle individual'!$B:$B,$K63)))</f>
        <v>GEOVANNI LIZAMA PORTILLO</v>
      </c>
      <c r="E63" s="64" t="str">
        <f>IF($K63="","",TRIM(INDEX('Detalle individual'!$E:$E,$K63)))</f>
        <v>JEFE DE TARJETA DE CREDITO Y DEBITO</v>
      </c>
      <c r="F63" s="64" t="str">
        <f>IF($K63="","",TRIM(INDEX('Detalle individual'!$C:$C,$K63)))</f>
        <v>DEPARTAMENTO DE TARJETA DE CREDITO Y DEBITO</v>
      </c>
      <c r="G63" s="64" t="str">
        <f>IF($K63="","",INDEX('Detalle individual'!$D:$D,$K63))</f>
        <v>Gerencia de Operaciones</v>
      </c>
      <c r="H63" s="63" t="str">
        <f>IF($K63="","",INDEX('Detalle individual'!$F:$F,$K63))</f>
        <v>Pendiente</v>
      </c>
      <c r="I63" s="77" t="str">
        <f>IF($K63="","",IF(INDEX('Detalle individual'!$F:$F,$K63)="Completado",INDEX('Detalle individual'!$H:$H,$K63),""))</f>
        <v/>
      </c>
      <c r="J63" s="78" t="str">
        <f>IF($K63="","",IF(INDEX('Detalle individual'!$F:$F,$K63)="Completado",INDEX('Detalle individual'!$J:$J,$K63),""))</f>
        <v/>
      </c>
      <c r="K63">
        <f>IFERROR(MOD(SMALL('Cálculos'!$Z$5:$Z$297,55),1000),"")</f>
        <v>70</v>
      </c>
    </row>
    <row r="64">
      <c r="B64" s="63">
        <f>IF($K64="","",56)</f>
        <v>56</v>
      </c>
      <c r="C64" s="63" t="str">
        <f>IF($K64="","",INDEX('Detalle individual'!$A:$A,$K64))</f>
        <v>741</v>
      </c>
      <c r="D64" s="64" t="str">
        <f>IF($K64="","",TRIM(INDEX('Detalle individual'!$B:$B,$K64)))</f>
        <v>JOSE HUMBERTO BARILLAS BURGOS</v>
      </c>
      <c r="E64" s="64" t="str">
        <f>IF($K64="","",TRIM(INDEX('Detalle individual'!$E:$E,$K64)))</f>
        <v>GERENTE DE NEGOCIOS</v>
      </c>
      <c r="F64" s="64" t="str">
        <f>IF($K64="","",TRIM(INDEX('Detalle individual'!$C:$C,$K64)))</f>
        <v>GERENCIA DE NEGOCIOS</v>
      </c>
      <c r="G64" s="64" t="str">
        <f>IF($K64="","",INDEX('Detalle individual'!$D:$D,$K64))</f>
        <v>Gerencia de Negocios</v>
      </c>
      <c r="H64" s="63" t="str">
        <f>IF($K64="","",INDEX('Detalle individual'!$F:$F,$K64))</f>
        <v>Pendiente</v>
      </c>
      <c r="I64" s="77" t="str">
        <f>IF($K64="","",IF(INDEX('Detalle individual'!$F:$F,$K64)="Completado",INDEX('Detalle individual'!$H:$H,$K64),""))</f>
        <v/>
      </c>
      <c r="J64" s="78" t="str">
        <f>IF($K64="","",IF(INDEX('Detalle individual'!$F:$F,$K64)="Completado",INDEX('Detalle individual'!$J:$J,$K64),""))</f>
        <v/>
      </c>
      <c r="K64">
        <f>IFERROR(MOD(SMALL('Cálculos'!$Z$5:$Z$297,56),1000),"")</f>
        <v>11</v>
      </c>
    </row>
    <row r="65">
      <c r="B65" s="63">
        <f>IF($K65="","",57)</f>
        <v>57</v>
      </c>
      <c r="C65" s="63" t="str">
        <f>IF($K65="","",INDEX('Detalle individual'!$A:$A,$K65))</f>
        <v>41</v>
      </c>
      <c r="D65" s="64" t="str">
        <f>IF($K65="","",TRIM(INDEX('Detalle individual'!$B:$B,$K65)))</f>
        <v>ROQUE RAFAEL REYES ESPINAL</v>
      </c>
      <c r="E65" s="64" t="str">
        <f>IF($K65="","",TRIM(INDEX('Detalle individual'!$E:$E,$K65)))</f>
        <v>GERENTE DE OPERACIONES</v>
      </c>
      <c r="F65" s="64" t="str">
        <f>IF($K65="","",TRIM(INDEX('Detalle individual'!$C:$C,$K65)))</f>
        <v>GERENCIA DE OPERACIONES</v>
      </c>
      <c r="G65" s="64" t="str">
        <f>IF($K65="","",INDEX('Detalle individual'!$D:$D,$K65))</f>
        <v>Gerencia de Operaciones</v>
      </c>
      <c r="H65" s="63" t="str">
        <f>IF($K65="","",INDEX('Detalle individual'!$F:$F,$K65))</f>
        <v>Pendiente</v>
      </c>
      <c r="I65" s="77" t="str">
        <f>IF($K65="","",IF(INDEX('Detalle individual'!$F:$F,$K65)="Completado",INDEX('Detalle individual'!$H:$H,$K65),""))</f>
        <v/>
      </c>
      <c r="J65" s="78" t="str">
        <f>IF($K65="","",IF(INDEX('Detalle individual'!$F:$F,$K65)="Completado",INDEX('Detalle individual'!$J:$J,$K65),""))</f>
        <v/>
      </c>
      <c r="K65">
        <f>IFERROR(MOD(SMALL('Cálculos'!$Z$5:$Z$297,57),1000),"")</f>
        <v>7</v>
      </c>
    </row>
    <row r="66">
      <c r="B66" s="63">
        <f>IF($K66="","",58)</f>
        <v>58</v>
      </c>
      <c r="C66" s="63" t="str">
        <f>IF($K66="","",INDEX('Detalle individual'!$A:$A,$K66))</f>
        <v>878</v>
      </c>
      <c r="D66" s="64" t="str">
        <f>IF($K66="","",TRIM(INDEX('Detalle individual'!$B:$B,$K66)))</f>
        <v>ALEX VIRGILIO AGUILAR ARIAS</v>
      </c>
      <c r="E66" s="64" t="str">
        <f>IF($K66="","",TRIM(INDEX('Detalle individual'!$E:$E,$K66)))</f>
        <v>GERENTE DE SISTEMAS</v>
      </c>
      <c r="F66" s="64" t="str">
        <f>IF($K66="","",TRIM(INDEX('Detalle individual'!$C:$C,$K66)))</f>
        <v>GERENCIA DE SISTEMAS</v>
      </c>
      <c r="G66" s="64" t="str">
        <f>IF($K66="","",INDEX('Detalle individual'!$D:$D,$K66))</f>
        <v>Gerencia de Sistemas</v>
      </c>
      <c r="H66" s="63" t="str">
        <f>IF($K66="","",INDEX('Detalle individual'!$F:$F,$K66))</f>
        <v>Pendiente</v>
      </c>
      <c r="I66" s="77" t="str">
        <f>IF($K66="","",IF(INDEX('Detalle individual'!$F:$F,$K66)="Completado",INDEX('Detalle individual'!$H:$H,$K66),""))</f>
        <v/>
      </c>
      <c r="J66" s="78" t="str">
        <f>IF($K66="","",IF(INDEX('Detalle individual'!$F:$F,$K66)="Completado",INDEX('Detalle individual'!$J:$J,$K66),""))</f>
        <v/>
      </c>
      <c r="K66">
        <f>IFERROR(MOD(SMALL('Cálculos'!$Z$5:$Z$297,58),1000),"")</f>
        <v>9</v>
      </c>
    </row>
    <row r="67">
      <c r="B67" s="63">
        <f>IF($K67="","",59)</f>
        <v>59</v>
      </c>
      <c r="C67" s="63" t="str">
        <f>IF($K67="","",INDEX('Detalle individual'!$A:$A,$K67))</f>
        <v>977</v>
      </c>
      <c r="D67" s="64" t="str">
        <f>IF($K67="","",TRIM(INDEX('Detalle individual'!$B:$B,$K67)))</f>
        <v>NELSON ULISES CAMPOS FLORES</v>
      </c>
      <c r="E67" s="64" t="str">
        <f>IF($K67="","",TRIM(INDEX('Detalle individual'!$E:$E,$K67)))</f>
        <v>GERENTE GENERAL</v>
      </c>
      <c r="F67" s="64" t="str">
        <f>IF($K67="","",TRIM(INDEX('Detalle individual'!$C:$C,$K67)))</f>
        <v>GERENCIA GENERAL</v>
      </c>
      <c r="G67" s="64" t="str">
        <f>IF($K67="","",INDEX('Detalle individual'!$D:$D,$K67))</f>
        <v>Gerencia General</v>
      </c>
      <c r="H67" s="63" t="str">
        <f>IF($K67="","",INDEX('Detalle individual'!$F:$F,$K67))</f>
        <v>Pendiente</v>
      </c>
      <c r="I67" s="77" t="str">
        <f>IF($K67="","",IF(INDEX('Detalle individual'!$F:$F,$K67)="Completado",INDEX('Detalle individual'!$H:$H,$K67),""))</f>
        <v/>
      </c>
      <c r="J67" s="78" t="str">
        <f>IF($K67="","",IF(INDEX('Detalle individual'!$F:$F,$K67)="Completado",INDEX('Detalle individual'!$J:$J,$K67),""))</f>
        <v/>
      </c>
      <c r="K67">
        <f>IFERROR(MOD(SMALL('Cálculos'!$Z$5:$Z$297,59),1000),"")</f>
        <v>5</v>
      </c>
    </row>
    <row r="68">
      <c r="B68" s="63">
        <f>IF($K68="","",60)</f>
        <v>60</v>
      </c>
      <c r="C68" s="63" t="str">
        <f>IF($K68="","",INDEX('Detalle individual'!$A:$A,$K68))</f>
        <v>581</v>
      </c>
      <c r="D68" s="64" t="str">
        <f>IF($K68="","",TRIM(INDEX('Detalle individual'!$B:$B,$K68)))</f>
        <v>JUAN CARLOS AGUILAR ASCENCIO</v>
      </c>
      <c r="E68" s="64" t="str">
        <f>IF($K68="","",TRIM(INDEX('Detalle individual'!$E:$E,$K68)))</f>
        <v>CAJERO MOVIL</v>
      </c>
      <c r="F68" s="64" t="str">
        <f>IF($K68="","",TRIM(INDEX('Detalle individual'!$C:$C,$K68)))</f>
        <v>SUB GERENCIA DE CANALES</v>
      </c>
      <c r="G68" s="64" t="str">
        <f>IF($K68="","",INDEX('Detalle individual'!$D:$D,$K68))</f>
        <v>Gerencia de Negocios</v>
      </c>
      <c r="H68" s="63" t="str">
        <f>IF($K68="","",INDEX('Detalle individual'!$F:$F,$K68))</f>
        <v>Pendiente</v>
      </c>
      <c r="I68" s="77" t="str">
        <f>IF($K68="","",IF(INDEX('Detalle individual'!$F:$F,$K68)="Completado",INDEX('Detalle individual'!$H:$H,$K68),""))</f>
        <v/>
      </c>
      <c r="J68" s="78" t="str">
        <f>IF($K68="","",IF(INDEX('Detalle individual'!$F:$F,$K68)="Completado",INDEX('Detalle individual'!$J:$J,$K68),""))</f>
        <v/>
      </c>
      <c r="K68">
        <f>IFERROR(MOD(SMALL('Cálculos'!$Z$5:$Z$297,60),1000),"")</f>
        <v>185</v>
      </c>
    </row>
    <row r="69">
      <c r="B69" s="63">
        <f>IF($K69="","",61)</f>
        <v>61</v>
      </c>
      <c r="C69" s="63" t="str">
        <f>IF($K69="","",INDEX('Detalle individual'!$A:$A,$K69))</f>
        <v>651</v>
      </c>
      <c r="D69" s="64" t="str">
        <f>IF($K69="","",TRIM(INDEX('Detalle individual'!$B:$B,$K69)))</f>
        <v>LUIS FERNANDO MORAN GARCIA</v>
      </c>
      <c r="E69" s="64" t="str">
        <f>IF($K69="","",TRIM(INDEX('Detalle individual'!$E:$E,$K69)))</f>
        <v>JEFE MOVIL DE AGENCIAS</v>
      </c>
      <c r="F69" s="64" t="str">
        <f>IF($K69="","",TRIM(INDEX('Detalle individual'!$C:$C,$K69)))</f>
        <v>SUB GERENCIA DE CANALES</v>
      </c>
      <c r="G69" s="64" t="str">
        <f>IF($K69="","",INDEX('Detalle individual'!$D:$D,$K69))</f>
        <v>Gerencia de Negocios</v>
      </c>
      <c r="H69" s="63" t="str">
        <f>IF($K69="","",INDEX('Detalle individual'!$F:$F,$K69))</f>
        <v>Pendiente</v>
      </c>
      <c r="I69" s="77" t="str">
        <f>IF($K69="","",IF(INDEX('Detalle individual'!$F:$F,$K69)="Completado",INDEX('Detalle individual'!$H:$H,$K69),""))</f>
        <v/>
      </c>
      <c r="J69" s="78" t="str">
        <f>IF($K69="","",IF(INDEX('Detalle individual'!$F:$F,$K69)="Completado",INDEX('Detalle individual'!$J:$J,$K69),""))</f>
        <v/>
      </c>
      <c r="K69">
        <f>IFERROR(MOD(SMALL('Cálculos'!$Z$5:$Z$297,61),1000),"")</f>
        <v>187</v>
      </c>
    </row>
    <row r="70">
      <c r="B70" s="63">
        <f>IF($K70="","",62)</f>
        <v>62</v>
      </c>
      <c r="C70" s="63" t="str">
        <f>IF($K70="","",INDEX('Detalle individual'!$A:$A,$K70))</f>
        <v>713</v>
      </c>
      <c r="D70" s="64" t="str">
        <f>IF($K70="","",TRIM(INDEX('Detalle individual'!$B:$B,$K70)))</f>
        <v>SANDRA VERONICA ACEVEDO BELTRAN</v>
      </c>
      <c r="E70" s="64" t="str">
        <f>IF($K70="","",TRIM(INDEX('Detalle individual'!$E:$E,$K70)))</f>
        <v>ASISTENTE PARA CORRESPONSALES FINANCIEROS</v>
      </c>
      <c r="F70" s="64" t="str">
        <f>IF($K70="","",TRIM(INDEX('Detalle individual'!$C:$C,$K70)))</f>
        <v>SUB GERENCIA DE CANALES</v>
      </c>
      <c r="G70" s="64" t="str">
        <f>IF($K70="","",INDEX('Detalle individual'!$D:$D,$K70))</f>
        <v>Gerencia de Negocios</v>
      </c>
      <c r="H70" s="63" t="str">
        <f>IF($K70="","",INDEX('Detalle individual'!$F:$F,$K70))</f>
        <v>Pendiente</v>
      </c>
      <c r="I70" s="77" t="str">
        <f>IF($K70="","",IF(INDEX('Detalle individual'!$F:$F,$K70)="Completado",INDEX('Detalle individual'!$H:$H,$K70),""))</f>
        <v/>
      </c>
      <c r="J70" s="78" t="str">
        <f>IF($K70="","",IF(INDEX('Detalle individual'!$F:$F,$K70)="Completado",INDEX('Detalle individual'!$J:$J,$K70),""))</f>
        <v/>
      </c>
      <c r="K70">
        <f>IFERROR(MOD(SMALL('Cálculos'!$Z$5:$Z$297,62),1000),"")</f>
        <v>188</v>
      </c>
    </row>
    <row r="71">
      <c r="B71" s="63">
        <f>IF($K71="","",63)</f>
        <v>63</v>
      </c>
      <c r="C71" s="63" t="str">
        <f>IF($K71="","",INDEX('Detalle individual'!$A:$A,$K71))</f>
        <v>854</v>
      </c>
      <c r="D71" s="64" t="str">
        <f>IF($K71="","",TRIM(INDEX('Detalle individual'!$B:$B,$K71)))</f>
        <v>REBECA ABIGAIL VEGA FLORES</v>
      </c>
      <c r="E71" s="64" t="str">
        <f>IF($K71="","",TRIM(INDEX('Detalle individual'!$E:$E,$K71)))</f>
        <v>CAJERO MOVIL</v>
      </c>
      <c r="F71" s="64" t="str">
        <f>IF($K71="","",TRIM(INDEX('Detalle individual'!$C:$C,$K71)))</f>
        <v>SUB GERENCIA DE CANALES</v>
      </c>
      <c r="G71" s="64" t="str">
        <f>IF($K71="","",INDEX('Detalle individual'!$D:$D,$K71))</f>
        <v>Gerencia de Negocios</v>
      </c>
      <c r="H71" s="63" t="str">
        <f>IF($K71="","",INDEX('Detalle individual'!$F:$F,$K71))</f>
        <v>Pendiente</v>
      </c>
      <c r="I71" s="77" t="str">
        <f>IF($K71="","",IF(INDEX('Detalle individual'!$F:$F,$K71)="Completado",INDEX('Detalle individual'!$H:$H,$K71),""))</f>
        <v/>
      </c>
      <c r="J71" s="78" t="str">
        <f>IF($K71="","",IF(INDEX('Detalle individual'!$F:$F,$K71)="Completado",INDEX('Detalle individual'!$J:$J,$K71),""))</f>
        <v/>
      </c>
      <c r="K71">
        <f>IFERROR(MOD(SMALL('Cálculos'!$Z$5:$Z$297,63),1000),"")</f>
        <v>189</v>
      </c>
    </row>
    <row r="72">
      <c r="B72" s="63">
        <f>IF($K72="","",64)</f>
        <v>64</v>
      </c>
      <c r="C72" s="63" t="str">
        <f>IF($K72="","",INDEX('Detalle individual'!$A:$A,$K72))</f>
        <v>409</v>
      </c>
      <c r="D72" s="64" t="str">
        <f>IF($K72="","",TRIM(INDEX('Detalle individual'!$B:$B,$K72)))</f>
        <v>PEDRO ERNESTO MORÁN RAMÍREZ</v>
      </c>
      <c r="E72" s="64" t="str">
        <f>IF($K72="","",TRIM(INDEX('Detalle individual'!$E:$E,$K72)))</f>
        <v>ADMINISTRADOR DE BASE DE DATOS</v>
      </c>
      <c r="F72" s="64" t="str">
        <f>IF($K72="","",TRIM(INDEX('Detalle individual'!$C:$C,$K72)))</f>
        <v>ADMINISTRACION DE BASE DE DATOS</v>
      </c>
      <c r="G72" s="64" t="str">
        <f>IF($K72="","",INDEX('Detalle individual'!$D:$D,$K72))</f>
        <v>Gerencia de Sistemas</v>
      </c>
      <c r="H72" s="63" t="str">
        <f>IF($K72="","",INDEX('Detalle individual'!$F:$F,$K72))</f>
        <v>Completado</v>
      </c>
      <c r="I72" s="77">
        <f>IF($K72="","",IF(INDEX('Detalle individual'!$F:$F,$K72)="Completado",INDEX('Detalle individual'!$H:$H,$K72),""))</f>
        <v>46300.696018518516</v>
      </c>
      <c r="J72" s="78">
        <f>IF($K72="","",IF(INDEX('Detalle individual'!$F:$F,$K72)="Completado",INDEX('Detalle individual'!$J:$J,$K72),""))</f>
        <v>95</v>
      </c>
      <c r="K72">
        <f>IFERROR(MOD(SMALL('Cálculos'!$Z$5:$Z$297,64),1000),"")</f>
        <v>122</v>
      </c>
    </row>
    <row r="73">
      <c r="B73" s="63">
        <f>IF($K73="","",65)</f>
        <v>65</v>
      </c>
      <c r="C73" s="63" t="str">
        <f>IF($K73="","",INDEX('Detalle individual'!$A:$A,$K73))</f>
        <v>16</v>
      </c>
      <c r="D73" s="64" t="str">
        <f>IF($K73="","",TRIM(INDEX('Detalle individual'!$B:$B,$K73)))</f>
        <v>YANETH MARLENY LANDAVERDE MORALES</v>
      </c>
      <c r="E73" s="64" t="str">
        <f>IF($K73="","",TRIM(INDEX('Detalle individual'!$E:$E,$K73)))</f>
        <v>JEFE DE ADMINISTRACION DE CARTERA</v>
      </c>
      <c r="F73" s="64" t="str">
        <f>IF($K73="","",TRIM(INDEX('Detalle individual'!$C:$C,$K73)))</f>
        <v>ADMINISTRACIÓN DE CARTERAS</v>
      </c>
      <c r="G73" s="64" t="str">
        <f>IF($K73="","",INDEX('Detalle individual'!$D:$D,$K73))</f>
        <v>Gerencia de Operaciones</v>
      </c>
      <c r="H73" s="63" t="str">
        <f>IF($K73="","",INDEX('Detalle individual'!$F:$F,$K73))</f>
        <v>Completado</v>
      </c>
      <c r="I73" s="77">
        <f>IF($K73="","",IF(INDEX('Detalle individual'!$F:$F,$K73)="Completado",INDEX('Detalle individual'!$H:$H,$K73),""))</f>
        <v>46307.675532407404</v>
      </c>
      <c r="J73" s="78">
        <f>IF($K73="","",IF(INDEX('Detalle individual'!$F:$F,$K73)="Completado",INDEX('Detalle individual'!$J:$J,$K73),""))</f>
        <v>100</v>
      </c>
      <c r="K73">
        <f>IFERROR(MOD(SMALL('Cálculos'!$Z$5:$Z$297,65),1000),"")</f>
        <v>79</v>
      </c>
    </row>
    <row r="74">
      <c r="B74" s="63">
        <f>IF($K74="","",66)</f>
        <v>66</v>
      </c>
      <c r="C74" s="63" t="str">
        <f>IF($K74="","",INDEX('Detalle individual'!$A:$A,$K74))</f>
        <v>477</v>
      </c>
      <c r="D74" s="64" t="str">
        <f>IF($K74="","",TRIM(INDEX('Detalle individual'!$B:$B,$K74)))</f>
        <v>GEMA YESENIA VILLALOBOS HERNANDEZ</v>
      </c>
      <c r="E74" s="64" t="str">
        <f>IF($K74="","",TRIM(INDEX('Detalle individual'!$E:$E,$K74)))</f>
        <v>ANALISTA DE CARTERAS</v>
      </c>
      <c r="F74" s="64" t="str">
        <f>IF($K74="","",TRIM(INDEX('Detalle individual'!$C:$C,$K74)))</f>
        <v>ADMINISTRACIÓN DE CARTERAS</v>
      </c>
      <c r="G74" s="64" t="str">
        <f>IF($K74="","",INDEX('Detalle individual'!$D:$D,$K74))</f>
        <v>Gerencia de Operaciones</v>
      </c>
      <c r="H74" s="63" t="str">
        <f>IF($K74="","",INDEX('Detalle individual'!$F:$F,$K74))</f>
        <v>Completado</v>
      </c>
      <c r="I74" s="77">
        <f>IF($K74="","",IF(INDEX('Detalle individual'!$F:$F,$K74)="Completado",INDEX('Detalle individual'!$H:$H,$K74),""))</f>
        <v>46307.65584490741</v>
      </c>
      <c r="J74" s="78">
        <f>IF($K74="","",IF(INDEX('Detalle individual'!$F:$F,$K74)="Completado",INDEX('Detalle individual'!$J:$J,$K74),""))</f>
        <v>100</v>
      </c>
      <c r="K74">
        <f>IFERROR(MOD(SMALL('Cálculos'!$Z$5:$Z$297,66),1000),"")</f>
        <v>80</v>
      </c>
    </row>
    <row r="75">
      <c r="B75" s="63">
        <f>IF($K75="","",67)</f>
        <v>67</v>
      </c>
      <c r="C75" s="63" t="str">
        <f>IF($K75="","",INDEX('Detalle individual'!$A:$A,$K75))</f>
        <v>572</v>
      </c>
      <c r="D75" s="64" t="str">
        <f>IF($K75="","",TRIM(INDEX('Detalle individual'!$B:$B,$K75)))</f>
        <v>PAMELA GIOVANNA AGUILAR SERBELLON</v>
      </c>
      <c r="E75" s="64" t="str">
        <f>IF($K75="","",TRIM(INDEX('Detalle individual'!$E:$E,$K75)))</f>
        <v>GESTOR DE COBROS Y PAGOS DE SEGUROS</v>
      </c>
      <c r="F75" s="64" t="str">
        <f>IF($K75="","",TRIM(INDEX('Detalle individual'!$C:$C,$K75)))</f>
        <v>ADMINISTRACIÓN DE CARTERAS</v>
      </c>
      <c r="G75" s="64" t="str">
        <f>IF($K75="","",INDEX('Detalle individual'!$D:$D,$K75))</f>
        <v>Gerencia de Operaciones</v>
      </c>
      <c r="H75" s="63" t="str">
        <f>IF($K75="","",INDEX('Detalle individual'!$F:$F,$K75))</f>
        <v>Completado</v>
      </c>
      <c r="I75" s="77">
        <f>IF($K75="","",IF(INDEX('Detalle individual'!$F:$F,$K75)="Completado",INDEX('Detalle individual'!$H:$H,$K75),""))</f>
        <v>46304.51201388889</v>
      </c>
      <c r="J75" s="78">
        <f>IF($K75="","",IF(INDEX('Detalle individual'!$F:$F,$K75)="Completado",INDEX('Detalle individual'!$J:$J,$K75),""))</f>
        <v>100</v>
      </c>
      <c r="K75">
        <f>IFERROR(MOD(SMALL('Cálculos'!$Z$5:$Z$297,67),1000),"")</f>
        <v>81</v>
      </c>
    </row>
    <row r="76">
      <c r="B76" s="63">
        <f>IF($K76="","",68)</f>
        <v>68</v>
      </c>
      <c r="C76" s="63" t="str">
        <f>IF($K76="","",INDEX('Detalle individual'!$A:$A,$K76))</f>
        <v>931</v>
      </c>
      <c r="D76" s="64" t="str">
        <f>IF($K76="","",TRIM(INDEX('Detalle individual'!$B:$B,$K76)))</f>
        <v>LOYDA ARACELY RAMOS CAÑENGUEZ</v>
      </c>
      <c r="E76" s="64" t="str">
        <f>IF($K76="","",TRIM(INDEX('Detalle individual'!$E:$E,$K76)))</f>
        <v>ANALISTA DE PRESTAMOS</v>
      </c>
      <c r="F76" s="64" t="str">
        <f>IF($K76="","",TRIM(INDEX('Detalle individual'!$C:$C,$K76)))</f>
        <v>ADMINISTRACIÓN DE CARTERAS</v>
      </c>
      <c r="G76" s="64" t="str">
        <f>IF($K76="","",INDEX('Detalle individual'!$D:$D,$K76))</f>
        <v>Gerencia de Operaciones</v>
      </c>
      <c r="H76" s="63" t="str">
        <f>IF($K76="","",INDEX('Detalle individual'!$F:$F,$K76))</f>
        <v>Completado</v>
      </c>
      <c r="I76" s="77">
        <f>IF($K76="","",IF(INDEX('Detalle individual'!$F:$F,$K76)="Completado",INDEX('Detalle individual'!$H:$H,$K76),""))</f>
        <v>46304.56716435185</v>
      </c>
      <c r="J76" s="78">
        <f>IF($K76="","",IF(INDEX('Detalle individual'!$F:$F,$K76)="Completado",INDEX('Detalle individual'!$J:$J,$K76),""))</f>
        <v>100</v>
      </c>
      <c r="K76">
        <f>IFERROR(MOD(SMALL('Cálculos'!$Z$5:$Z$297,68),1000),"")</f>
        <v>83</v>
      </c>
    </row>
    <row r="77">
      <c r="B77" s="63">
        <f>IF($K77="","",69)</f>
        <v>69</v>
      </c>
      <c r="C77" s="63" t="str">
        <f>IF($K77="","",INDEX('Detalle individual'!$A:$A,$K77))</f>
        <v>290</v>
      </c>
      <c r="D77" s="64" t="str">
        <f>IF($K77="","",TRIM(INDEX('Detalle individual'!$B:$B,$K77)))</f>
        <v>MELVIN ENRIQUE PORTILLO VALLE</v>
      </c>
      <c r="E77" s="64" t="str">
        <f>IF($K77="","",TRIM(INDEX('Detalle individual'!$E:$E,$K77)))</f>
        <v>ANALISTA DE RIESGOS FINANCIEROS</v>
      </c>
      <c r="F77" s="64" t="str">
        <f>IF($K77="","",TRIM(INDEX('Detalle individual'!$C:$C,$K77)))</f>
        <v>ADMINISTRACION DE RIESGOS</v>
      </c>
      <c r="G77" s="64" t="str">
        <f>IF($K77="","",INDEX('Detalle individual'!$D:$D,$K77))</f>
        <v>Gerencia General</v>
      </c>
      <c r="H77" s="63" t="str">
        <f>IF($K77="","",INDEX('Detalle individual'!$F:$F,$K77))</f>
        <v>Completado</v>
      </c>
      <c r="I77" s="77">
        <f>IF($K77="","",IF(INDEX('Detalle individual'!$F:$F,$K77)="Completado",INDEX('Detalle individual'!$H:$H,$K77),""))</f>
        <v>46304.40962962963</v>
      </c>
      <c r="J77" s="78">
        <f>IF($K77="","",IF(INDEX('Detalle individual'!$F:$F,$K77)="Completado",INDEX('Detalle individual'!$J:$J,$K77),""))</f>
        <v>100</v>
      </c>
      <c r="K77">
        <f>IFERROR(MOD(SMALL('Cálculos'!$Z$5:$Z$297,69),1000),"")</f>
        <v>14</v>
      </c>
    </row>
    <row r="78">
      <c r="B78" s="63">
        <f>IF($K78="","",70)</f>
        <v>70</v>
      </c>
      <c r="C78" s="63" t="str">
        <f>IF($K78="","",INDEX('Detalle individual'!$A:$A,$K78))</f>
        <v>408</v>
      </c>
      <c r="D78" s="64" t="str">
        <f>IF($K78="","",TRIM(INDEX('Detalle individual'!$B:$B,$K78)))</f>
        <v>SARA PATRICIA GONZALEZ JIMENEZ</v>
      </c>
      <c r="E78" s="64" t="str">
        <f>IF($K78="","",TRIM(INDEX('Detalle individual'!$E:$E,$K78)))</f>
        <v>ASISTENTE TECNICO DE RIESGOS</v>
      </c>
      <c r="F78" s="64" t="str">
        <f>IF($K78="","",TRIM(INDEX('Detalle individual'!$C:$C,$K78)))</f>
        <v>ADMINISTRACION DE RIESGOS</v>
      </c>
      <c r="G78" s="64" t="str">
        <f>IF($K78="","",INDEX('Detalle individual'!$D:$D,$K78))</f>
        <v>Gerencia General</v>
      </c>
      <c r="H78" s="63" t="str">
        <f>IF($K78="","",INDEX('Detalle individual'!$F:$F,$K78))</f>
        <v>Completado</v>
      </c>
      <c r="I78" s="77">
        <f>IF($K78="","",IF(INDEX('Detalle individual'!$F:$F,$K78)="Completado",INDEX('Detalle individual'!$H:$H,$K78),""))</f>
        <v>46296.438796296294</v>
      </c>
      <c r="J78" s="78">
        <f>IF($K78="","",IF(INDEX('Detalle individual'!$F:$F,$K78)="Completado",INDEX('Detalle individual'!$J:$J,$K78),""))</f>
        <v>100</v>
      </c>
      <c r="K78">
        <f>IFERROR(MOD(SMALL('Cálculos'!$Z$5:$Z$297,70),1000),"")</f>
        <v>15</v>
      </c>
    </row>
    <row r="79">
      <c r="B79" s="63">
        <f>IF($K79="","",71)</f>
        <v>71</v>
      </c>
      <c r="C79" s="63" t="str">
        <f>IF($K79="","",INDEX('Detalle individual'!$A:$A,$K79))</f>
        <v>433</v>
      </c>
      <c r="D79" s="64" t="str">
        <f>IF($K79="","",TRIM(INDEX('Detalle individual'!$B:$B,$K79)))</f>
        <v>SILVIA IVETH MARTINEZ RAMIREZ</v>
      </c>
      <c r="E79" s="64" t="str">
        <f>IF($K79="","",TRIM(INDEX('Detalle individual'!$E:$E,$K79)))</f>
        <v>ANALISTA DE RIESGO OPERACIONAL</v>
      </c>
      <c r="F79" s="64" t="str">
        <f>IF($K79="","",TRIM(INDEX('Detalle individual'!$C:$C,$K79)))</f>
        <v>ADMINISTRACION DE RIESGOS</v>
      </c>
      <c r="G79" s="64" t="str">
        <f>IF($K79="","",INDEX('Detalle individual'!$D:$D,$K79))</f>
        <v>Gerencia General</v>
      </c>
      <c r="H79" s="63" t="str">
        <f>IF($K79="","",INDEX('Detalle individual'!$F:$F,$K79))</f>
        <v>Completado</v>
      </c>
      <c r="I79" s="77">
        <f>IF($K79="","",IF(INDEX('Detalle individual'!$F:$F,$K79)="Completado",INDEX('Detalle individual'!$H:$H,$K79),""))</f>
        <v>46300.6309837963</v>
      </c>
      <c r="J79" s="78">
        <f>IF($K79="","",IF(INDEX('Detalle individual'!$F:$F,$K79)="Completado",INDEX('Detalle individual'!$J:$J,$K79),""))</f>
        <v>100</v>
      </c>
      <c r="K79">
        <f>IFERROR(MOD(SMALL('Cálculos'!$Z$5:$Z$297,71),1000),"")</f>
        <v>16</v>
      </c>
    </row>
    <row r="80">
      <c r="B80" s="63">
        <f>IF($K80="","",72)</f>
        <v>72</v>
      </c>
      <c r="C80" s="63" t="str">
        <f>IF($K80="","",INDEX('Detalle individual'!$A:$A,$K80))</f>
        <v>928</v>
      </c>
      <c r="D80" s="64" t="str">
        <f>IF($K80="","",TRIM(INDEX('Detalle individual'!$B:$B,$K80)))</f>
        <v>HENRRY DANIEL ESCAMILLA ZALDAÑA</v>
      </c>
      <c r="E80" s="64" t="str">
        <f>IF($K80="","",TRIM(INDEX('Detalle individual'!$E:$E,$K80)))</f>
        <v>JEFE DE ADMINISTRACION DE RIESGOS</v>
      </c>
      <c r="F80" s="64" t="str">
        <f>IF($K80="","",TRIM(INDEX('Detalle individual'!$C:$C,$K80)))</f>
        <v>ADMINISTRACION DE RIESGOS</v>
      </c>
      <c r="G80" s="64" t="str">
        <f>IF($K80="","",INDEX('Detalle individual'!$D:$D,$K80))</f>
        <v>Gerencia General</v>
      </c>
      <c r="H80" s="63" t="str">
        <f>IF($K80="","",INDEX('Detalle individual'!$F:$F,$K80))</f>
        <v>Completado</v>
      </c>
      <c r="I80" s="77">
        <f>IF($K80="","",IF(INDEX('Detalle individual'!$F:$F,$K80)="Completado",INDEX('Detalle individual'!$H:$H,$K80),""))</f>
        <v>46305.39865740741</v>
      </c>
      <c r="J80" s="78">
        <f>IF($K80="","",IF(INDEX('Detalle individual'!$F:$F,$K80)="Completado",INDEX('Detalle individual'!$J:$J,$K80),""))</f>
        <v>100</v>
      </c>
      <c r="K80">
        <f>IFERROR(MOD(SMALL('Cálculos'!$Z$5:$Z$297,72),1000),"")</f>
        <v>17</v>
      </c>
    </row>
    <row r="81">
      <c r="B81" s="63">
        <f>IF($K81="","",73)</f>
        <v>73</v>
      </c>
      <c r="C81" s="63" t="str">
        <f>IF($K81="","",INDEX('Detalle individual'!$A:$A,$K81))</f>
        <v>33</v>
      </c>
      <c r="D81" s="64" t="str">
        <f>IF($K81="","",TRIM(INDEX('Detalle individual'!$B:$B,$K81)))</f>
        <v>CAROLINA ELIZABETH RAMIREZ PONCE</v>
      </c>
      <c r="E81" s="64" t="str">
        <f>IF($K81="","",TRIM(INDEX('Detalle individual'!$E:$E,$K81)))</f>
        <v>SUBJEFE DE AGENCIA</v>
      </c>
      <c r="F81" s="64" t="str">
        <f>IF($K81="","",TRIM(INDEX('Detalle individual'!$C:$C,$K81)))</f>
        <v>AGENCIA CENTRAL</v>
      </c>
      <c r="G81" s="64" t="str">
        <f>IF($K81="","",INDEX('Detalle individual'!$D:$D,$K81))</f>
        <v>Gerencia de Negocios</v>
      </c>
      <c r="H81" s="63" t="str">
        <f>IF($K81="","",INDEX('Detalle individual'!$F:$F,$K81))</f>
        <v>Completado</v>
      </c>
      <c r="I81" s="77">
        <f>IF($K81="","",IF(INDEX('Detalle individual'!$F:$F,$K81)="Completado",INDEX('Detalle individual'!$H:$H,$K81),""))</f>
        <v>46308.61247685185</v>
      </c>
      <c r="J81" s="78">
        <f>IF($K81="","",IF(INDEX('Detalle individual'!$F:$F,$K81)="Completado",INDEX('Detalle individual'!$J:$J,$K81),""))</f>
        <v>100</v>
      </c>
      <c r="K81">
        <f>IFERROR(MOD(SMALL('Cálculos'!$Z$5:$Z$297,73),1000),"")</f>
        <v>191</v>
      </c>
    </row>
    <row r="82">
      <c r="B82" s="63">
        <f>IF($K82="","",74)</f>
        <v>74</v>
      </c>
      <c r="C82" s="63" t="str">
        <f>IF($K82="","",INDEX('Detalle individual'!$A:$A,$K82))</f>
        <v>542</v>
      </c>
      <c r="D82" s="64" t="str">
        <f>IF($K82="","",TRIM(INDEX('Detalle individual'!$B:$B,$K82)))</f>
        <v>ANA SILVIA ROQUE SANCHEZ</v>
      </c>
      <c r="E82" s="64" t="str">
        <f>IF($K82="","",TRIM(INDEX('Detalle individual'!$E:$E,$K82)))</f>
        <v>EJECUTIVA DE SEGUROS</v>
      </c>
      <c r="F82" s="64" t="str">
        <f>IF($K82="","",TRIM(INDEX('Detalle individual'!$C:$C,$K82)))</f>
        <v>AGENCIA CENTRAL</v>
      </c>
      <c r="G82" s="64" t="str">
        <f>IF($K82="","",INDEX('Detalle individual'!$D:$D,$K82))</f>
        <v>Gerencia de Negocios</v>
      </c>
      <c r="H82" s="63" t="str">
        <f>IF($K82="","",INDEX('Detalle individual'!$F:$F,$K82))</f>
        <v>Completado</v>
      </c>
      <c r="I82" s="77">
        <f>IF($K82="","",IF(INDEX('Detalle individual'!$F:$F,$K82)="Completado",INDEX('Detalle individual'!$H:$H,$K82),""))</f>
        <v>46302.67400462963</v>
      </c>
      <c r="J82" s="78">
        <f>IF($K82="","",IF(INDEX('Detalle individual'!$F:$F,$K82)="Completado",INDEX('Detalle individual'!$J:$J,$K82),""))</f>
        <v>95</v>
      </c>
      <c r="K82">
        <f>IFERROR(MOD(SMALL('Cálculos'!$Z$5:$Z$297,74),1000),"")</f>
        <v>197</v>
      </c>
    </row>
    <row r="83">
      <c r="B83" s="63">
        <f>IF($K83="","",75)</f>
        <v>75</v>
      </c>
      <c r="C83" s="63" t="str">
        <f>IF($K83="","",INDEX('Detalle individual'!$A:$A,$K83))</f>
        <v>757</v>
      </c>
      <c r="D83" s="64" t="str">
        <f>IF($K83="","",TRIM(INDEX('Detalle individual'!$B:$B,$K83)))</f>
        <v>MARIA DE LOS ANGELES OSORIO GIL</v>
      </c>
      <c r="E83" s="64" t="str">
        <f>IF($K83="","",TRIM(INDEX('Detalle individual'!$E:$E,$K83)))</f>
        <v>CAJERO</v>
      </c>
      <c r="F83" s="64" t="str">
        <f>IF($K83="","",TRIM(INDEX('Detalle individual'!$C:$C,$K83)))</f>
        <v>AGENCIA CENTRAL</v>
      </c>
      <c r="G83" s="64" t="str">
        <f>IF($K83="","",INDEX('Detalle individual'!$D:$D,$K83))</f>
        <v>Gerencia de Negocios</v>
      </c>
      <c r="H83" s="63" t="str">
        <f>IF($K83="","",INDEX('Detalle individual'!$F:$F,$K83))</f>
        <v>Completado</v>
      </c>
      <c r="I83" s="77">
        <f>IF($K83="","",IF(INDEX('Detalle individual'!$F:$F,$K83)="Completado",INDEX('Detalle individual'!$H:$H,$K83),""))</f>
        <v>46303.443460648145</v>
      </c>
      <c r="J83" s="78">
        <f>IF($K83="","",IF(INDEX('Detalle individual'!$F:$F,$K83)="Completado",INDEX('Detalle individual'!$J:$J,$K83),""))</f>
        <v>100</v>
      </c>
      <c r="K83">
        <f>IFERROR(MOD(SMALL('Cálculos'!$Z$5:$Z$297,75),1000),"")</f>
        <v>199</v>
      </c>
    </row>
    <row r="84">
      <c r="B84" s="63">
        <f>IF($K84="","",76)</f>
        <v>76</v>
      </c>
      <c r="C84" s="63" t="str">
        <f>IF($K84="","",INDEX('Detalle individual'!$A:$A,$K84))</f>
        <v>953</v>
      </c>
      <c r="D84" s="64" t="str">
        <f>IF($K84="","",TRIM(INDEX('Detalle individual'!$B:$B,$K84)))</f>
        <v>JESUS ADRIAN MENA AVALOS</v>
      </c>
      <c r="E84" s="64" t="str">
        <f>IF($K84="","",TRIM(INDEX('Detalle individual'!$E:$E,$K84)))</f>
        <v>CAJERO</v>
      </c>
      <c r="F84" s="64" t="str">
        <f>IF($K84="","",TRIM(INDEX('Detalle individual'!$C:$C,$K84)))</f>
        <v>AGENCIA CENTRAL</v>
      </c>
      <c r="G84" s="64" t="str">
        <f>IF($K84="","",INDEX('Detalle individual'!$D:$D,$K84))</f>
        <v>Gerencia de Negocios</v>
      </c>
      <c r="H84" s="63" t="str">
        <f>IF($K84="","",INDEX('Detalle individual'!$F:$F,$K84))</f>
        <v>Completado</v>
      </c>
      <c r="I84" s="77">
        <f>IF($K84="","",IF(INDEX('Detalle individual'!$F:$F,$K84)="Completado",INDEX('Detalle individual'!$H:$H,$K84),""))</f>
        <v>46302.62670138889</v>
      </c>
      <c r="J84" s="78">
        <f>IF($K84="","",IF(INDEX('Detalle individual'!$F:$F,$K84)="Completado",INDEX('Detalle individual'!$J:$J,$K84),""))</f>
        <v>100</v>
      </c>
      <c r="K84">
        <f>IFERROR(MOD(SMALL('Cálculos'!$Z$5:$Z$297,76),1000),"")</f>
        <v>203</v>
      </c>
    </row>
    <row r="85">
      <c r="B85" s="63">
        <f>IF($K85="","",77)</f>
        <v>77</v>
      </c>
      <c r="C85" s="63" t="str">
        <f>IF($K85="","",INDEX('Detalle individual'!$A:$A,$K85))</f>
        <v>956</v>
      </c>
      <c r="D85" s="64" t="str">
        <f>IF($K85="","",TRIM(INDEX('Detalle individual'!$B:$B,$K85)))</f>
        <v>ANGELA GABRIELA REYES MOLINA</v>
      </c>
      <c r="E85" s="64" t="str">
        <f>IF($K85="","",TRIM(INDEX('Detalle individual'!$E:$E,$K85)))</f>
        <v>CAJERO</v>
      </c>
      <c r="F85" s="64" t="str">
        <f>IF($K85="","",TRIM(INDEX('Detalle individual'!$C:$C,$K85)))</f>
        <v>AGENCIA CENTRAL</v>
      </c>
      <c r="G85" s="64" t="str">
        <f>IF($K85="","",INDEX('Detalle individual'!$D:$D,$K85))</f>
        <v>Gerencia de Negocios</v>
      </c>
      <c r="H85" s="63" t="str">
        <f>IF($K85="","",INDEX('Detalle individual'!$F:$F,$K85))</f>
        <v>Completado</v>
      </c>
      <c r="I85" s="77">
        <f>IF($K85="","",IF(INDEX('Detalle individual'!$F:$F,$K85)="Completado",INDEX('Detalle individual'!$H:$H,$K85),""))</f>
        <v>46309.366736111115</v>
      </c>
      <c r="J85" s="78">
        <f>IF($K85="","",IF(INDEX('Detalle individual'!$F:$F,$K85)="Completado",INDEX('Detalle individual'!$J:$J,$K85),""))</f>
        <v>100</v>
      </c>
      <c r="K85">
        <f>IFERROR(MOD(SMALL('Cálculos'!$Z$5:$Z$297,77),1000),"")</f>
        <v>204</v>
      </c>
    </row>
    <row r="86">
      <c r="B86" s="63">
        <f>IF($K86="","",78)</f>
        <v>78</v>
      </c>
      <c r="C86" s="63" t="str">
        <f>IF($K86="","",INDEX('Detalle individual'!$A:$A,$K86))</f>
        <v>958</v>
      </c>
      <c r="D86" s="64" t="str">
        <f>IF($K86="","",TRIM(INDEX('Detalle individual'!$B:$B,$K86)))</f>
        <v>ALEXANDRA DANIELA PINEDA JIMENEZ</v>
      </c>
      <c r="E86" s="64" t="str">
        <f>IF($K86="","",TRIM(INDEX('Detalle individual'!$E:$E,$K86)))</f>
        <v>AUXILIAR DE ATENCION A ASOCIADOS</v>
      </c>
      <c r="F86" s="64" t="str">
        <f>IF($K86="","",TRIM(INDEX('Detalle individual'!$C:$C,$K86)))</f>
        <v>AGENCIA CENTRAL</v>
      </c>
      <c r="G86" s="64" t="str">
        <f>IF($K86="","",INDEX('Detalle individual'!$D:$D,$K86))</f>
        <v>Gerencia de Negocios</v>
      </c>
      <c r="H86" s="63" t="str">
        <f>IF($K86="","",INDEX('Detalle individual'!$F:$F,$K86))</f>
        <v>Completado</v>
      </c>
      <c r="I86" s="77">
        <f>IF($K86="","",IF(INDEX('Detalle individual'!$F:$F,$K86)="Completado",INDEX('Detalle individual'!$H:$H,$K86),""))</f>
        <v>46305.39554398148</v>
      </c>
      <c r="J86" s="78">
        <f>IF($K86="","",IF(INDEX('Detalle individual'!$F:$F,$K86)="Completado",INDEX('Detalle individual'!$J:$J,$K86),""))</f>
        <v>75</v>
      </c>
      <c r="K86">
        <f>IFERROR(MOD(SMALL('Cálculos'!$Z$5:$Z$297,78),1000),"")</f>
        <v>205</v>
      </c>
    </row>
    <row r="87">
      <c r="B87" s="63">
        <f>IF($K87="","",79)</f>
        <v>79</v>
      </c>
      <c r="C87" s="63" t="str">
        <f>IF($K87="","",INDEX('Detalle individual'!$A:$A,$K87))</f>
        <v>960</v>
      </c>
      <c r="D87" s="64" t="str">
        <f>IF($K87="","",TRIM(INDEX('Detalle individual'!$B:$B,$K87)))</f>
        <v>LORENA DEL CARMEN MEJIA HERRERA</v>
      </c>
      <c r="E87" s="64" t="str">
        <f>IF($K87="","",TRIM(INDEX('Detalle individual'!$E:$E,$K87)))</f>
        <v>CAJERO</v>
      </c>
      <c r="F87" s="64" t="str">
        <f>IF($K87="","",TRIM(INDEX('Detalle individual'!$C:$C,$K87)))</f>
        <v>AGENCIA CENTRAL</v>
      </c>
      <c r="G87" s="64" t="str">
        <f>IF($K87="","",INDEX('Detalle individual'!$D:$D,$K87))</f>
        <v>Gerencia de Negocios</v>
      </c>
      <c r="H87" s="63" t="str">
        <f>IF($K87="","",INDEX('Detalle individual'!$F:$F,$K87))</f>
        <v>Completado</v>
      </c>
      <c r="I87" s="77">
        <f>IF($K87="","",IF(INDEX('Detalle individual'!$F:$F,$K87)="Completado",INDEX('Detalle individual'!$H:$H,$K87),""))</f>
        <v>46302.48327546296</v>
      </c>
      <c r="J87" s="78">
        <f>IF($K87="","",IF(INDEX('Detalle individual'!$F:$F,$K87)="Completado",INDEX('Detalle individual'!$J:$J,$K87),""))</f>
        <v>100</v>
      </c>
      <c r="K87">
        <f>IFERROR(MOD(SMALL('Cálculos'!$Z$5:$Z$297,79),1000),"")</f>
        <v>206</v>
      </c>
    </row>
    <row r="88">
      <c r="B88" s="63">
        <f>IF($K88="","",80)</f>
        <v>80</v>
      </c>
      <c r="C88" s="63" t="str">
        <f>IF($K88="","",INDEX('Detalle individual'!$A:$A,$K88))</f>
        <v>976</v>
      </c>
      <c r="D88" s="64" t="str">
        <f>IF($K88="","",TRIM(INDEX('Detalle individual'!$B:$B,$K88)))</f>
        <v>KEVIN ARTURO ANDRADE PALACIOS</v>
      </c>
      <c r="E88" s="64" t="str">
        <f>IF($K88="","",TRIM(INDEX('Detalle individual'!$E:$E,$K88)))</f>
        <v>CAJERO</v>
      </c>
      <c r="F88" s="64" t="str">
        <f>IF($K88="","",TRIM(INDEX('Detalle individual'!$C:$C,$K88)))</f>
        <v>AGENCIA CENTRAL</v>
      </c>
      <c r="G88" s="64" t="str">
        <f>IF($K88="","",INDEX('Detalle individual'!$D:$D,$K88))</f>
        <v>Gerencia de Negocios</v>
      </c>
      <c r="H88" s="63" t="str">
        <f>IF($K88="","",INDEX('Detalle individual'!$F:$F,$K88))</f>
        <v>Completado</v>
      </c>
      <c r="I88" s="77">
        <f>IF($K88="","",IF(INDEX('Detalle individual'!$F:$F,$K88)="Completado",INDEX('Detalle individual'!$H:$H,$K88),""))</f>
        <v>46302.59866898148</v>
      </c>
      <c r="J88" s="78">
        <f>IF($K88="","",IF(INDEX('Detalle individual'!$F:$F,$K88)="Completado",INDEX('Detalle individual'!$J:$J,$K88),""))</f>
        <v>100</v>
      </c>
      <c r="K88">
        <f>IFERROR(MOD(SMALL('Cálculos'!$Z$5:$Z$297,80),1000),"")</f>
        <v>208</v>
      </c>
    </row>
    <row r="89">
      <c r="B89" s="63">
        <f>IF($K89="","",81)</f>
        <v>81</v>
      </c>
      <c r="C89" s="63" t="str">
        <f>IF($K89="","",INDEX('Detalle individual'!$A:$A,$K89))</f>
        <v>29</v>
      </c>
      <c r="D89" s="64" t="str">
        <f>IF($K89="","",TRIM(INDEX('Detalle individual'!$B:$B,$K89)))</f>
        <v>YANIRA ELIZABETH ORTEGA MIRANDA</v>
      </c>
      <c r="E89" s="64" t="str">
        <f>IF($K89="","",TRIM(INDEX('Detalle individual'!$E:$E,$K89)))</f>
        <v>SUBJEFE DE AGENCIA</v>
      </c>
      <c r="F89" s="64" t="str">
        <f>IF($K89="","",TRIM(INDEX('Detalle individual'!$C:$C,$K89)))</f>
        <v>AGENCIA COLEGIO MEDICO</v>
      </c>
      <c r="G89" s="64" t="str">
        <f>IF($K89="","",INDEX('Detalle individual'!$D:$D,$K89))</f>
        <v>Gerencia de Negocios</v>
      </c>
      <c r="H89" s="63" t="str">
        <f>IF($K89="","",INDEX('Detalle individual'!$F:$F,$K89))</f>
        <v>Completado</v>
      </c>
      <c r="I89" s="77">
        <f>IF($K89="","",IF(INDEX('Detalle individual'!$F:$F,$K89)="Completado",INDEX('Detalle individual'!$H:$H,$K89),""))</f>
        <v>46305.43096064815</v>
      </c>
      <c r="J89" s="78">
        <f>IF($K89="","",IF(INDEX('Detalle individual'!$F:$F,$K89)="Completado",INDEX('Detalle individual'!$J:$J,$K89),""))</f>
        <v>100</v>
      </c>
      <c r="K89">
        <f>IFERROR(MOD(SMALL('Cálculos'!$Z$5:$Z$297,81),1000),"")</f>
        <v>210</v>
      </c>
    </row>
    <row r="90">
      <c r="B90" s="63">
        <f>IF($K90="","",82)</f>
        <v>82</v>
      </c>
      <c r="C90" s="63" t="str">
        <f>IF($K90="","",INDEX('Detalle individual'!$A:$A,$K90))</f>
        <v>190</v>
      </c>
      <c r="D90" s="64" t="str">
        <f>IF($K90="","",TRIM(INDEX('Detalle individual'!$B:$B,$K90)))</f>
        <v>MERCI ANTONIA CERON MEJIA</v>
      </c>
      <c r="E90" s="64" t="str">
        <f>IF($K90="","",TRIM(INDEX('Detalle individual'!$E:$E,$K90)))</f>
        <v>EJECUTIVO DE NEGOCIOS</v>
      </c>
      <c r="F90" s="64" t="str">
        <f>IF($K90="","",TRIM(INDEX('Detalle individual'!$C:$C,$K90)))</f>
        <v>AGENCIA COLEGIO MEDICO</v>
      </c>
      <c r="G90" s="64" t="str">
        <f>IF($K90="","",INDEX('Detalle individual'!$D:$D,$K90))</f>
        <v>Gerencia de Negocios</v>
      </c>
      <c r="H90" s="63" t="str">
        <f>IF($K90="","",INDEX('Detalle individual'!$F:$F,$K90))</f>
        <v>Completado</v>
      </c>
      <c r="I90" s="77">
        <f>IF($K90="","",IF(INDEX('Detalle individual'!$F:$F,$K90)="Completado",INDEX('Detalle individual'!$H:$H,$K90),""))</f>
        <v>46305.513344907406</v>
      </c>
      <c r="J90" s="78">
        <f>IF($K90="","",IF(INDEX('Detalle individual'!$F:$F,$K90)="Completado",INDEX('Detalle individual'!$J:$J,$K90),""))</f>
        <v>100</v>
      </c>
      <c r="K90">
        <f>IFERROR(MOD(SMALL('Cálculos'!$Z$5:$Z$297,82),1000),"")</f>
        <v>211</v>
      </c>
    </row>
    <row r="91">
      <c r="B91" s="63">
        <f>IF($K91="","",83)</f>
        <v>83</v>
      </c>
      <c r="C91" s="63" t="str">
        <f>IF($K91="","",INDEX('Detalle individual'!$A:$A,$K91))</f>
        <v>360</v>
      </c>
      <c r="D91" s="64" t="str">
        <f>IF($K91="","",TRIM(INDEX('Detalle individual'!$B:$B,$K91)))</f>
        <v>PATRICIA ESMERALDA PORTILLO CESPEDES</v>
      </c>
      <c r="E91" s="64" t="str">
        <f>IF($K91="","",TRIM(INDEX('Detalle individual'!$E:$E,$K91)))</f>
        <v>JEFE DE AGENCIA</v>
      </c>
      <c r="F91" s="64" t="str">
        <f>IF($K91="","",TRIM(INDEX('Detalle individual'!$C:$C,$K91)))</f>
        <v>AGENCIA COLEGIO MEDICO</v>
      </c>
      <c r="G91" s="64" t="str">
        <f>IF($K91="","",INDEX('Detalle individual'!$D:$D,$K91))</f>
        <v>Gerencia de Negocios</v>
      </c>
      <c r="H91" s="63" t="str">
        <f>IF($K91="","",INDEX('Detalle individual'!$F:$F,$K91))</f>
        <v>Completado</v>
      </c>
      <c r="I91" s="77">
        <f>IF($K91="","",IF(INDEX('Detalle individual'!$F:$F,$K91)="Completado",INDEX('Detalle individual'!$H:$H,$K91),""))</f>
        <v>46296.47634259259</v>
      </c>
      <c r="J91" s="78">
        <f>IF($K91="","",IF(INDEX('Detalle individual'!$F:$F,$K91)="Completado",INDEX('Detalle individual'!$J:$J,$K91),""))</f>
        <v>100</v>
      </c>
      <c r="K91">
        <f>IFERROR(MOD(SMALL('Cálculos'!$Z$5:$Z$297,83),1000),"")</f>
        <v>212</v>
      </c>
    </row>
    <row r="92">
      <c r="B92" s="63">
        <f>IF($K92="","",84)</f>
        <v>84</v>
      </c>
      <c r="C92" s="63" t="str">
        <f>IF($K92="","",INDEX('Detalle individual'!$A:$A,$K92))</f>
        <v>536</v>
      </c>
      <c r="D92" s="64" t="str">
        <f>IF($K92="","",TRIM(INDEX('Detalle individual'!$B:$B,$K92)))</f>
        <v>MARTHA ESPERANZA VALTEZ GARCIA</v>
      </c>
      <c r="E92" s="64" t="str">
        <f>IF($K92="","",TRIM(INDEX('Detalle individual'!$E:$E,$K92)))</f>
        <v>CAJERO</v>
      </c>
      <c r="F92" s="64" t="str">
        <f>IF($K92="","",TRIM(INDEX('Detalle individual'!$C:$C,$K92)))</f>
        <v>AGENCIA COLEGIO MEDICO</v>
      </c>
      <c r="G92" s="64" t="str">
        <f>IF($K92="","",INDEX('Detalle individual'!$D:$D,$K92))</f>
        <v>Gerencia de Negocios</v>
      </c>
      <c r="H92" s="63" t="str">
        <f>IF($K92="","",INDEX('Detalle individual'!$F:$F,$K92))</f>
        <v>Completado</v>
      </c>
      <c r="I92" s="77">
        <f>IF($K92="","",IF(INDEX('Detalle individual'!$F:$F,$K92)="Completado",INDEX('Detalle individual'!$H:$H,$K92),""))</f>
        <v>46305.51391203704</v>
      </c>
      <c r="J92" s="78">
        <f>IF($K92="","",IF(INDEX('Detalle individual'!$F:$F,$K92)="Completado",INDEX('Detalle individual'!$J:$J,$K92),""))</f>
        <v>100</v>
      </c>
      <c r="K92">
        <f>IFERROR(MOD(SMALL('Cálculos'!$Z$5:$Z$297,84),1000),"")</f>
        <v>214</v>
      </c>
    </row>
    <row r="93">
      <c r="B93" s="63">
        <f>IF($K93="","",85)</f>
        <v>85</v>
      </c>
      <c r="C93" s="63" t="str">
        <f>IF($K93="","",INDEX('Detalle individual'!$A:$A,$K93))</f>
        <v>543</v>
      </c>
      <c r="D93" s="64" t="str">
        <f>IF($K93="","",TRIM(INDEX('Detalle individual'!$B:$B,$K93)))</f>
        <v>CLAUDIA ELENA GUARDADO VARELA</v>
      </c>
      <c r="E93" s="64" t="str">
        <f>IF($K93="","",TRIM(INDEX('Detalle individual'!$E:$E,$K93)))</f>
        <v>EJECUTIVA DE SEGUROS</v>
      </c>
      <c r="F93" s="64" t="str">
        <f>IF($K93="","",TRIM(INDEX('Detalle individual'!$C:$C,$K93)))</f>
        <v>AGENCIA COLEGIO MEDICO</v>
      </c>
      <c r="G93" s="64" t="str">
        <f>IF($K93="","",INDEX('Detalle individual'!$D:$D,$K93))</f>
        <v>Gerencia de Negocios</v>
      </c>
      <c r="H93" s="63" t="str">
        <f>IF($K93="","",INDEX('Detalle individual'!$F:$F,$K93))</f>
        <v>Completado</v>
      </c>
      <c r="I93" s="77">
        <f>IF($K93="","",IF(INDEX('Detalle individual'!$F:$F,$K93)="Completado",INDEX('Detalle individual'!$H:$H,$K93),""))</f>
        <v>46305.407002314816</v>
      </c>
      <c r="J93" s="78">
        <f>IF($K93="","",IF(INDEX('Detalle individual'!$F:$F,$K93)="Completado",INDEX('Detalle individual'!$J:$J,$K93),""))</f>
        <v>100</v>
      </c>
      <c r="K93">
        <f>IFERROR(MOD(SMALL('Cálculos'!$Z$5:$Z$297,85),1000),"")</f>
        <v>215</v>
      </c>
    </row>
    <row r="94">
      <c r="B94" s="63">
        <f>IF($K94="","",86)</f>
        <v>86</v>
      </c>
      <c r="C94" s="63" t="str">
        <f>IF($K94="","",INDEX('Detalle individual'!$A:$A,$K94))</f>
        <v>811</v>
      </c>
      <c r="D94" s="64" t="str">
        <f>IF($K94="","",TRIM(INDEX('Detalle individual'!$B:$B,$K94)))</f>
        <v>JACQUELINE ADRIANA CHAVEZ SARAVIA</v>
      </c>
      <c r="E94" s="64" t="str">
        <f>IF($K94="","",TRIM(INDEX('Detalle individual'!$E:$E,$K94)))</f>
        <v>CAJERO</v>
      </c>
      <c r="F94" s="64" t="str">
        <f>IF($K94="","",TRIM(INDEX('Detalle individual'!$C:$C,$K94)))</f>
        <v>AGENCIA COLEGIO MEDICO</v>
      </c>
      <c r="G94" s="64" t="str">
        <f>IF($K94="","",INDEX('Detalle individual'!$D:$D,$K94))</f>
        <v>Gerencia de Negocios</v>
      </c>
      <c r="H94" s="63" t="str">
        <f>IF($K94="","",INDEX('Detalle individual'!$F:$F,$K94))</f>
        <v>Completado</v>
      </c>
      <c r="I94" s="77">
        <f>IF($K94="","",IF(INDEX('Detalle individual'!$F:$F,$K94)="Completado",INDEX('Detalle individual'!$H:$H,$K94),""))</f>
        <v>46305.465902777774</v>
      </c>
      <c r="J94" s="78">
        <f>IF($K94="","",IF(INDEX('Detalle individual'!$F:$F,$K94)="Completado",INDEX('Detalle individual'!$J:$J,$K94),""))</f>
        <v>90</v>
      </c>
      <c r="K94">
        <f>IFERROR(MOD(SMALL('Cálculos'!$Z$5:$Z$297,86),1000),"")</f>
        <v>216</v>
      </c>
    </row>
    <row r="95">
      <c r="B95" s="63">
        <f>IF($K95="","",87)</f>
        <v>87</v>
      </c>
      <c r="C95" s="63" t="str">
        <f>IF($K95="","",INDEX('Detalle individual'!$A:$A,$K95))</f>
        <v>841</v>
      </c>
      <c r="D95" s="64" t="str">
        <f>IF($K95="","",TRIM(INDEX('Detalle individual'!$B:$B,$K95)))</f>
        <v>KRISSIA ANDREA DOMINGUEZ OSORIO</v>
      </c>
      <c r="E95" s="64" t="str">
        <f>IF($K95="","",TRIM(INDEX('Detalle individual'!$E:$E,$K95)))</f>
        <v>CAJERO</v>
      </c>
      <c r="F95" s="64" t="str">
        <f>IF($K95="","",TRIM(INDEX('Detalle individual'!$C:$C,$K95)))</f>
        <v>AGENCIA COLEGIO MEDICO</v>
      </c>
      <c r="G95" s="64" t="str">
        <f>IF($K95="","",INDEX('Detalle individual'!$D:$D,$K95))</f>
        <v>Gerencia de Negocios</v>
      </c>
      <c r="H95" s="63" t="str">
        <f>IF($K95="","",INDEX('Detalle individual'!$F:$F,$K95))</f>
        <v>Completado</v>
      </c>
      <c r="I95" s="77">
        <f>IF($K95="","",IF(INDEX('Detalle individual'!$F:$F,$K95)="Completado",INDEX('Detalle individual'!$H:$H,$K95),""))</f>
        <v>46305.39891203704</v>
      </c>
      <c r="J95" s="78">
        <f>IF($K95="","",IF(INDEX('Detalle individual'!$F:$F,$K95)="Completado",INDEX('Detalle individual'!$J:$J,$K95),""))</f>
        <v>100</v>
      </c>
      <c r="K95">
        <f>IFERROR(MOD(SMALL('Cálculos'!$Z$5:$Z$297,87),1000),"")</f>
        <v>217</v>
      </c>
    </row>
    <row r="96">
      <c r="B96" s="63">
        <f>IF($K96="","",88)</f>
        <v>88</v>
      </c>
      <c r="C96" s="63" t="str">
        <f>IF($K96="","",INDEX('Detalle individual'!$A:$A,$K96))</f>
        <v>890</v>
      </c>
      <c r="D96" s="64" t="str">
        <f>IF($K96="","",TRIM(INDEX('Detalle individual'!$B:$B,$K96)))</f>
        <v>WILBER ERNESTO DIAZ GONZALEZ</v>
      </c>
      <c r="E96" s="64" t="str">
        <f>IF($K96="","",TRIM(INDEX('Detalle individual'!$E:$E,$K96)))</f>
        <v>CAJERO</v>
      </c>
      <c r="F96" s="64" t="str">
        <f>IF($K96="","",TRIM(INDEX('Detalle individual'!$C:$C,$K96)))</f>
        <v>AGENCIA COLEGIO MEDICO</v>
      </c>
      <c r="G96" s="64" t="str">
        <f>IF($K96="","",INDEX('Detalle individual'!$D:$D,$K96))</f>
        <v>Gerencia de Negocios</v>
      </c>
      <c r="H96" s="63" t="str">
        <f>IF($K96="","",INDEX('Detalle individual'!$F:$F,$K96))</f>
        <v>Completado</v>
      </c>
      <c r="I96" s="77">
        <f>IF($K96="","",IF(INDEX('Detalle individual'!$F:$F,$K96)="Completado",INDEX('Detalle individual'!$H:$H,$K96),""))</f>
        <v>46307.43005787037</v>
      </c>
      <c r="J96" s="78">
        <f>IF($K96="","",IF(INDEX('Detalle individual'!$F:$F,$K96)="Completado",INDEX('Detalle individual'!$J:$J,$K96),""))</f>
        <v>90</v>
      </c>
      <c r="K96">
        <f>IFERROR(MOD(SMALL('Cálculos'!$Z$5:$Z$297,88),1000),"")</f>
        <v>218</v>
      </c>
    </row>
    <row r="97">
      <c r="B97" s="63">
        <f>IF($K97="","",89)</f>
        <v>89</v>
      </c>
      <c r="C97" s="63" t="str">
        <f>IF($K97="","",INDEX('Detalle individual'!$A:$A,$K97))</f>
        <v>971</v>
      </c>
      <c r="D97" s="64" t="str">
        <f>IF($K97="","",TRIM(INDEX('Detalle individual'!$B:$B,$K97)))</f>
        <v>JAQUELIN JAZMIN ROMERO FLORES</v>
      </c>
      <c r="E97" s="64" t="str">
        <f>IF($K97="","",TRIM(INDEX('Detalle individual'!$E:$E,$K97)))</f>
        <v>CAJERO</v>
      </c>
      <c r="F97" s="64" t="str">
        <f>IF($K97="","",TRIM(INDEX('Detalle individual'!$C:$C,$K97)))</f>
        <v>AGENCIA COLEGIO MEDICO</v>
      </c>
      <c r="G97" s="64" t="str">
        <f>IF($K97="","",INDEX('Detalle individual'!$D:$D,$K97))</f>
        <v>Gerencia de Negocios</v>
      </c>
      <c r="H97" s="63" t="str">
        <f>IF($K97="","",INDEX('Detalle individual'!$F:$F,$K97))</f>
        <v>Completado</v>
      </c>
      <c r="I97" s="77">
        <f>IF($K97="","",IF(INDEX('Detalle individual'!$F:$F,$K97)="Completado",INDEX('Detalle individual'!$H:$H,$K97),""))</f>
        <v>46305.44142361111</v>
      </c>
      <c r="J97" s="78">
        <f>IF($K97="","",IF(INDEX('Detalle individual'!$F:$F,$K97)="Completado",INDEX('Detalle individual'!$J:$J,$K97),""))</f>
        <v>100</v>
      </c>
      <c r="K97">
        <f>IFERROR(MOD(SMALL('Cálculos'!$Z$5:$Z$297,89),1000),"")</f>
        <v>219</v>
      </c>
    </row>
    <row r="98">
      <c r="B98" s="63">
        <f>IF($K98="","",90)</f>
        <v>90</v>
      </c>
      <c r="C98" s="63" t="str">
        <f>IF($K98="","",INDEX('Detalle individual'!$A:$A,$K98))</f>
        <v>975</v>
      </c>
      <c r="D98" s="64" t="str">
        <f>IF($K98="","",TRIM(INDEX('Detalle individual'!$B:$B,$K98)))</f>
        <v>GABRIELA CONCEPCION GARCIA GUTIERREZ</v>
      </c>
      <c r="E98" s="64" t="str">
        <f>IF($K98="","",TRIM(INDEX('Detalle individual'!$E:$E,$K98)))</f>
        <v>AUXILIAR DE ATENCION AL ASOCIADO EN AGENCIA</v>
      </c>
      <c r="F98" s="64" t="str">
        <f>IF($K98="","",TRIM(INDEX('Detalle individual'!$C:$C,$K98)))</f>
        <v>AGENCIA COLEGIO MEDICO</v>
      </c>
      <c r="G98" s="64" t="str">
        <f>IF($K98="","",INDEX('Detalle individual'!$D:$D,$K98))</f>
        <v>Gerencia de Negocios</v>
      </c>
      <c r="H98" s="63" t="str">
        <f>IF($K98="","",INDEX('Detalle individual'!$F:$F,$K98))</f>
        <v>Completado</v>
      </c>
      <c r="I98" s="77">
        <f>IF($K98="","",IF(INDEX('Detalle individual'!$F:$F,$K98)="Completado",INDEX('Detalle individual'!$H:$H,$K98),""))</f>
        <v>46305.4796412037</v>
      </c>
      <c r="J98" s="78">
        <f>IF($K98="","",IF(INDEX('Detalle individual'!$F:$F,$K98)="Completado",INDEX('Detalle individual'!$J:$J,$K98),""))</f>
        <v>90</v>
      </c>
      <c r="K98">
        <f>IFERROR(MOD(SMALL('Cálculos'!$Z$5:$Z$297,90),1000),"")</f>
        <v>220</v>
      </c>
    </row>
    <row r="99">
      <c r="B99" s="63">
        <f>IF($K99="","",91)</f>
        <v>91</v>
      </c>
      <c r="C99" s="63" t="str">
        <f>IF($K99="","",INDEX('Detalle individual'!$A:$A,$K99))</f>
        <v>89</v>
      </c>
      <c r="D99" s="64" t="str">
        <f>IF($K99="","",TRIM(INDEX('Detalle individual'!$B:$B,$K99)))</f>
        <v>PATRICIA JEANNETTE FLORES MARTINEZ</v>
      </c>
      <c r="E99" s="64" t="str">
        <f>IF($K99="","",TRIM(INDEX('Detalle individual'!$E:$E,$K99)))</f>
        <v>AUXILIAR DE OPERACIONES Y ATENCION EN AGENCIA</v>
      </c>
      <c r="F99" s="64" t="str">
        <f>IF($K99="","",TRIM(INDEX('Detalle individual'!$C:$C,$K99)))</f>
        <v>AGENCIA COLONIA MEDICA</v>
      </c>
      <c r="G99" s="64" t="str">
        <f>IF($K99="","",INDEX('Detalle individual'!$D:$D,$K99))</f>
        <v>Gerencia de Negocios</v>
      </c>
      <c r="H99" s="63" t="str">
        <f>IF($K99="","",INDEX('Detalle individual'!$F:$F,$K99))</f>
        <v>Completado</v>
      </c>
      <c r="I99" s="77">
        <f>IF($K99="","",IF(INDEX('Detalle individual'!$F:$F,$K99)="Completado",INDEX('Detalle individual'!$H:$H,$K99),""))</f>
        <v>46302.64712962963</v>
      </c>
      <c r="J99" s="78">
        <f>IF($K99="","",IF(INDEX('Detalle individual'!$F:$F,$K99)="Completado",INDEX('Detalle individual'!$J:$J,$K99),""))</f>
        <v>100</v>
      </c>
      <c r="K99">
        <f>IFERROR(MOD(SMALL('Cálculos'!$Z$5:$Z$297,91),1000),"")</f>
        <v>258</v>
      </c>
    </row>
    <row r="100">
      <c r="B100" s="63">
        <f>IF($K100="","",92)</f>
        <v>92</v>
      </c>
      <c r="C100" s="63" t="str">
        <f>IF($K100="","",INDEX('Detalle individual'!$A:$A,$K100))</f>
        <v>179</v>
      </c>
      <c r="D100" s="64" t="str">
        <f>IF($K100="","",TRIM(INDEX('Detalle individual'!$B:$B,$K100)))</f>
        <v>JULIO RAFAEL FLORES HENRIQUEZ</v>
      </c>
      <c r="E100" s="64" t="str">
        <f>IF($K100="","",TRIM(INDEX('Detalle individual'!$E:$E,$K100)))</f>
        <v>JEFE DE AGENCIA</v>
      </c>
      <c r="F100" s="64" t="str">
        <f>IF($K100="","",TRIM(INDEX('Detalle individual'!$C:$C,$K100)))</f>
        <v>AGENCIA COLONIA MEDICA</v>
      </c>
      <c r="G100" s="64" t="str">
        <f>IF($K100="","",INDEX('Detalle individual'!$D:$D,$K100))</f>
        <v>Gerencia de Negocios</v>
      </c>
      <c r="H100" s="63" t="str">
        <f>IF($K100="","",INDEX('Detalle individual'!$F:$F,$K100))</f>
        <v>Completado</v>
      </c>
      <c r="I100" s="77">
        <f>IF($K100="","",IF(INDEX('Detalle individual'!$F:$F,$K100)="Completado",INDEX('Detalle individual'!$H:$H,$K100),""))</f>
        <v>46309.36565972222</v>
      </c>
      <c r="J100" s="78">
        <f>IF($K100="","",IF(INDEX('Detalle individual'!$F:$F,$K100)="Completado",INDEX('Detalle individual'!$J:$J,$K100),""))</f>
        <v>100</v>
      </c>
      <c r="K100">
        <f>IFERROR(MOD(SMALL('Cálculos'!$Z$5:$Z$297,92),1000),"")</f>
        <v>259</v>
      </c>
    </row>
    <row r="101">
      <c r="B101" s="63">
        <f>IF($K101="","",93)</f>
        <v>93</v>
      </c>
      <c r="C101" s="63" t="str">
        <f>IF($K101="","",INDEX('Detalle individual'!$A:$A,$K101))</f>
        <v>308</v>
      </c>
      <c r="D101" s="64" t="str">
        <f>IF($K101="","",TRIM(INDEX('Detalle individual'!$B:$B,$K101)))</f>
        <v>JENNIFFER IVETTE MORALES PEREZ</v>
      </c>
      <c r="E101" s="64" t="str">
        <f>IF($K101="","",TRIM(INDEX('Detalle individual'!$E:$E,$K101)))</f>
        <v>EJECUTIVO DE NEGOCIOS</v>
      </c>
      <c r="F101" s="64" t="str">
        <f>IF($K101="","",TRIM(INDEX('Detalle individual'!$C:$C,$K101)))</f>
        <v>AGENCIA COLONIA MEDICA</v>
      </c>
      <c r="G101" s="64" t="str">
        <f>IF($K101="","",INDEX('Detalle individual'!$D:$D,$K101))</f>
        <v>Gerencia de Negocios</v>
      </c>
      <c r="H101" s="63" t="str">
        <f>IF($K101="","",INDEX('Detalle individual'!$F:$F,$K101))</f>
        <v>Completado</v>
      </c>
      <c r="I101" s="77">
        <f>IF($K101="","",IF(INDEX('Detalle individual'!$F:$F,$K101)="Completado",INDEX('Detalle individual'!$H:$H,$K101),""))</f>
        <v>46297.714895833335</v>
      </c>
      <c r="J101" s="78">
        <f>IF($K101="","",IF(INDEX('Detalle individual'!$F:$F,$K101)="Completado",INDEX('Detalle individual'!$J:$J,$K101),""))</f>
        <v>95</v>
      </c>
      <c r="K101">
        <f>IFERROR(MOD(SMALL('Cálculos'!$Z$5:$Z$297,93),1000),"")</f>
        <v>260</v>
      </c>
    </row>
    <row r="102">
      <c r="B102" s="63">
        <f>IF($K102="","",94)</f>
        <v>94</v>
      </c>
      <c r="C102" s="63" t="str">
        <f>IF($K102="","",INDEX('Detalle individual'!$A:$A,$K102))</f>
        <v>412</v>
      </c>
      <c r="D102" s="64" t="str">
        <f>IF($K102="","",TRIM(INDEX('Detalle individual'!$B:$B,$K102)))</f>
        <v>CARMEN DE JESÚS GONZÁLEZ BLANCO</v>
      </c>
      <c r="E102" s="64" t="str">
        <f>IF($K102="","",TRIM(INDEX('Detalle individual'!$E:$E,$K102)))</f>
        <v>EJECUTIVA DE SEGUROS</v>
      </c>
      <c r="F102" s="64" t="str">
        <f>IF($K102="","",TRIM(INDEX('Detalle individual'!$C:$C,$K102)))</f>
        <v>AGENCIA COLONIA MEDICA</v>
      </c>
      <c r="G102" s="64" t="str">
        <f>IF($K102="","",INDEX('Detalle individual'!$D:$D,$K102))</f>
        <v>Gerencia de Negocios</v>
      </c>
      <c r="H102" s="63" t="str">
        <f>IF($K102="","",INDEX('Detalle individual'!$F:$F,$K102))</f>
        <v>Completado</v>
      </c>
      <c r="I102" s="77">
        <f>IF($K102="","",IF(INDEX('Detalle individual'!$F:$F,$K102)="Completado",INDEX('Detalle individual'!$H:$H,$K102),""))</f>
        <v>46302.63581018519</v>
      </c>
      <c r="J102" s="78">
        <f>IF($K102="","",IF(INDEX('Detalle individual'!$F:$F,$K102)="Completado",INDEX('Detalle individual'!$J:$J,$K102),""))</f>
        <v>100</v>
      </c>
      <c r="K102">
        <f>IFERROR(MOD(SMALL('Cálculos'!$Z$5:$Z$297,94),1000),"")</f>
        <v>261</v>
      </c>
    </row>
    <row r="103">
      <c r="B103" s="63">
        <f>IF($K103="","",95)</f>
        <v>95</v>
      </c>
      <c r="C103" s="63" t="str">
        <f>IF($K103="","",INDEX('Detalle individual'!$A:$A,$K103))</f>
        <v>722</v>
      </c>
      <c r="D103" s="64" t="str">
        <f>IF($K103="","",TRIM(INDEX('Detalle individual'!$B:$B,$K103)))</f>
        <v>INGRID PAOLA CORADO HERNANDEZ</v>
      </c>
      <c r="E103" s="64" t="str">
        <f>IF($K103="","",TRIM(INDEX('Detalle individual'!$E:$E,$K103)))</f>
        <v>CAJERO</v>
      </c>
      <c r="F103" s="64" t="str">
        <f>IF($K103="","",TRIM(INDEX('Detalle individual'!$C:$C,$K103)))</f>
        <v>AGENCIA COLONIA MEDICA</v>
      </c>
      <c r="G103" s="64" t="str">
        <f>IF($K103="","",INDEX('Detalle individual'!$D:$D,$K103))</f>
        <v>Gerencia de Negocios</v>
      </c>
      <c r="H103" s="63" t="str">
        <f>IF($K103="","",INDEX('Detalle individual'!$F:$F,$K103))</f>
        <v>Completado</v>
      </c>
      <c r="I103" s="77">
        <f>IF($K103="","",IF(INDEX('Detalle individual'!$F:$F,$K103)="Completado",INDEX('Detalle individual'!$H:$H,$K103),""))</f>
        <v>46308.57957175926</v>
      </c>
      <c r="J103" s="78">
        <f>IF($K103="","",IF(INDEX('Detalle individual'!$F:$F,$K103)="Completado",INDEX('Detalle individual'!$J:$J,$K103),""))</f>
        <v>90</v>
      </c>
      <c r="K103">
        <f>IFERROR(MOD(SMALL('Cálculos'!$Z$5:$Z$297,95),1000),"")</f>
        <v>264</v>
      </c>
    </row>
    <row r="104">
      <c r="B104" s="63">
        <f>IF($K104="","",96)</f>
        <v>96</v>
      </c>
      <c r="C104" s="63" t="str">
        <f>IF($K104="","",INDEX('Detalle individual'!$A:$A,$K104))</f>
        <v>728</v>
      </c>
      <c r="D104" s="64" t="str">
        <f>IF($K104="","",TRIM(INDEX('Detalle individual'!$B:$B,$K104)))</f>
        <v>DIANA MARISOL BATRES BARAHONA</v>
      </c>
      <c r="E104" s="64" t="str">
        <f>IF($K104="","",TRIM(INDEX('Detalle individual'!$E:$E,$K104)))</f>
        <v>SUBJEFE DE AGENCIA</v>
      </c>
      <c r="F104" s="64" t="str">
        <f>IF($K104="","",TRIM(INDEX('Detalle individual'!$C:$C,$K104)))</f>
        <v>AGENCIA COLONIA MEDICA</v>
      </c>
      <c r="G104" s="64" t="str">
        <f>IF($K104="","",INDEX('Detalle individual'!$D:$D,$K104))</f>
        <v>Gerencia de Negocios</v>
      </c>
      <c r="H104" s="63" t="str">
        <f>IF($K104="","",INDEX('Detalle individual'!$F:$F,$K104))</f>
        <v>Completado</v>
      </c>
      <c r="I104" s="77">
        <f>IF($K104="","",IF(INDEX('Detalle individual'!$F:$F,$K104)="Completado",INDEX('Detalle individual'!$H:$H,$K104),""))</f>
        <v>46300.68400462963</v>
      </c>
      <c r="J104" s="78">
        <f>IF($K104="","",IF(INDEX('Detalle individual'!$F:$F,$K104)="Completado",INDEX('Detalle individual'!$J:$J,$K104),""))</f>
        <v>100</v>
      </c>
      <c r="K104">
        <f>IFERROR(MOD(SMALL('Cálculos'!$Z$5:$Z$297,96),1000),"")</f>
        <v>265</v>
      </c>
    </row>
    <row r="105">
      <c r="B105" s="63">
        <f>IF($K105="","",97)</f>
        <v>97</v>
      </c>
      <c r="C105" s="63" t="str">
        <f>IF($K105="","",INDEX('Detalle individual'!$A:$A,$K105))</f>
        <v>801</v>
      </c>
      <c r="D105" s="64" t="str">
        <f>IF($K105="","",TRIM(INDEX('Detalle individual'!$B:$B,$K105)))</f>
        <v>ZULMA BEATRIZ RIVAS RIVERA</v>
      </c>
      <c r="E105" s="64" t="str">
        <f>IF($K105="","",TRIM(INDEX('Detalle individual'!$E:$E,$K105)))</f>
        <v>CAJERO</v>
      </c>
      <c r="F105" s="64" t="str">
        <f>IF($K105="","",TRIM(INDEX('Detalle individual'!$C:$C,$K105)))</f>
        <v>AGENCIA COLONIA MEDICA</v>
      </c>
      <c r="G105" s="64" t="str">
        <f>IF($K105="","",INDEX('Detalle individual'!$D:$D,$K105))</f>
        <v>Gerencia de Negocios</v>
      </c>
      <c r="H105" s="63" t="str">
        <f>IF($K105="","",INDEX('Detalle individual'!$F:$F,$K105))</f>
        <v>Completado</v>
      </c>
      <c r="I105" s="77">
        <f>IF($K105="","",IF(INDEX('Detalle individual'!$F:$F,$K105)="Completado",INDEX('Detalle individual'!$H:$H,$K105),""))</f>
        <v>46300.688368055555</v>
      </c>
      <c r="J105" s="78">
        <f>IF($K105="","",IF(INDEX('Detalle individual'!$F:$F,$K105)="Completado",INDEX('Detalle individual'!$J:$J,$K105),""))</f>
        <v>100</v>
      </c>
      <c r="K105">
        <f>IFERROR(MOD(SMALL('Cálculos'!$Z$5:$Z$297,97),1000),"")</f>
        <v>267</v>
      </c>
    </row>
    <row r="106">
      <c r="B106" s="63">
        <f>IF($K106="","",98)</f>
        <v>98</v>
      </c>
      <c r="C106" s="63" t="str">
        <f>IF($K106="","",INDEX('Detalle individual'!$A:$A,$K106))</f>
        <v>159</v>
      </c>
      <c r="D106" s="64" t="str">
        <f>IF($K106="","",TRIM(INDEX('Detalle individual'!$B:$B,$K106)))</f>
        <v>PATRICIA GUADALUPE GUARDADO OSEGUEDA</v>
      </c>
      <c r="E106" s="64" t="str">
        <f>IF($K106="","",TRIM(INDEX('Detalle individual'!$E:$E,$K106)))</f>
        <v>EJECUTIVO DE NEGOCIOS</v>
      </c>
      <c r="F106" s="64" t="str">
        <f>IF($K106="","",TRIM(INDEX('Detalle individual'!$C:$C,$K106)))</f>
        <v>AGENCIA MERLIOT</v>
      </c>
      <c r="G106" s="64" t="str">
        <f>IF($K106="","",INDEX('Detalle individual'!$D:$D,$K106))</f>
        <v>Gerencia de Negocios</v>
      </c>
      <c r="H106" s="63" t="str">
        <f>IF($K106="","",INDEX('Detalle individual'!$F:$F,$K106))</f>
        <v>Completado</v>
      </c>
      <c r="I106" s="77">
        <f>IF($K106="","",IF(INDEX('Detalle individual'!$F:$F,$K106)="Completado",INDEX('Detalle individual'!$H:$H,$K106),""))</f>
        <v>46303.39640046296</v>
      </c>
      <c r="J106" s="78">
        <f>IF($K106="","",IF(INDEX('Detalle individual'!$F:$F,$K106)="Completado",INDEX('Detalle individual'!$J:$J,$K106),""))</f>
        <v>100</v>
      </c>
      <c r="K106">
        <f>IFERROR(MOD(SMALL('Cálculos'!$Z$5:$Z$297,98),1000),"")</f>
        <v>244</v>
      </c>
    </row>
    <row r="107">
      <c r="B107" s="63">
        <f>IF($K107="","",99)</f>
        <v>99</v>
      </c>
      <c r="C107" s="63" t="str">
        <f>IF($K107="","",INDEX('Detalle individual'!$A:$A,$K107))</f>
        <v>251</v>
      </c>
      <c r="D107" s="64" t="str">
        <f>IF($K107="","",TRIM(INDEX('Detalle individual'!$B:$B,$K107)))</f>
        <v>NURIA LISSETH AGUILAR AGUILAR</v>
      </c>
      <c r="E107" s="64" t="str">
        <f>IF($K107="","",TRIM(INDEX('Detalle individual'!$E:$E,$K107)))</f>
        <v>EJECUTIVO DE NEGOCIOS</v>
      </c>
      <c r="F107" s="64" t="str">
        <f>IF($K107="","",TRIM(INDEX('Detalle individual'!$C:$C,$K107)))</f>
        <v>AGENCIA MERLIOT</v>
      </c>
      <c r="G107" s="64" t="str">
        <f>IF($K107="","",INDEX('Detalle individual'!$D:$D,$K107))</f>
        <v>Gerencia de Negocios</v>
      </c>
      <c r="H107" s="63" t="str">
        <f>IF($K107="","",INDEX('Detalle individual'!$F:$F,$K107))</f>
        <v>Completado</v>
      </c>
      <c r="I107" s="77">
        <f>IF($K107="","",IF(INDEX('Detalle individual'!$F:$F,$K107)="Completado",INDEX('Detalle individual'!$H:$H,$K107),""))</f>
        <v>46303.46199074074</v>
      </c>
      <c r="J107" s="78">
        <f>IF($K107="","",IF(INDEX('Detalle individual'!$F:$F,$K107)="Completado",INDEX('Detalle individual'!$J:$J,$K107),""))</f>
        <v>100</v>
      </c>
      <c r="K107">
        <f>IFERROR(MOD(SMALL('Cálculos'!$Z$5:$Z$297,99),1000),"")</f>
        <v>245</v>
      </c>
    </row>
    <row r="108">
      <c r="B108" s="63">
        <f>IF($K108="","",100)</f>
        <v>100</v>
      </c>
      <c r="C108" s="63" t="str">
        <f>IF($K108="","",INDEX('Detalle individual'!$A:$A,$K108))</f>
        <v>343</v>
      </c>
      <c r="D108" s="64" t="str">
        <f>IF($K108="","",TRIM(INDEX('Detalle individual'!$B:$B,$K108)))</f>
        <v>FATIMA BERENICE MEDINA ESCALANTE</v>
      </c>
      <c r="E108" s="64" t="str">
        <f>IF($K108="","",TRIM(INDEX('Detalle individual'!$E:$E,$K108)))</f>
        <v>JEFE DE AGENCIA</v>
      </c>
      <c r="F108" s="64" t="str">
        <f>IF($K108="","",TRIM(INDEX('Detalle individual'!$C:$C,$K108)))</f>
        <v>AGENCIA MERLIOT</v>
      </c>
      <c r="G108" s="64" t="str">
        <f>IF($K108="","",INDEX('Detalle individual'!$D:$D,$K108))</f>
        <v>Gerencia de Negocios</v>
      </c>
      <c r="H108" s="63" t="str">
        <f>IF($K108="","",INDEX('Detalle individual'!$F:$F,$K108))</f>
        <v>Completado</v>
      </c>
      <c r="I108" s="77">
        <f>IF($K108="","",IF(INDEX('Detalle individual'!$F:$F,$K108)="Completado",INDEX('Detalle individual'!$H:$H,$K108),""))</f>
        <v>46302.70259259259</v>
      </c>
      <c r="J108" s="78">
        <f>IF($K108="","",IF(INDEX('Detalle individual'!$F:$F,$K108)="Completado",INDEX('Detalle individual'!$J:$J,$K108),""))</f>
        <v>100</v>
      </c>
      <c r="K108">
        <f>IFERROR(MOD(SMALL('Cálculos'!$Z$5:$Z$297,100),1000),"")</f>
        <v>246</v>
      </c>
    </row>
    <row r="109">
      <c r="B109" s="63">
        <f>IF($K109="","",101)</f>
        <v>101</v>
      </c>
      <c r="C109" s="63" t="str">
        <f>IF($K109="","",INDEX('Detalle individual'!$A:$A,$K109))</f>
        <v>671</v>
      </c>
      <c r="D109" s="64" t="str">
        <f>IF($K109="","",TRIM(INDEX('Detalle individual'!$B:$B,$K109)))</f>
        <v>MILTON ALEXANDER CUELLAR GARCIA</v>
      </c>
      <c r="E109" s="64" t="str">
        <f>IF($K109="","",TRIM(INDEX('Detalle individual'!$E:$E,$K109)))</f>
        <v>CAJERO</v>
      </c>
      <c r="F109" s="64" t="str">
        <f>IF($K109="","",TRIM(INDEX('Detalle individual'!$C:$C,$K109)))</f>
        <v>AGENCIA MERLIOT</v>
      </c>
      <c r="G109" s="64" t="str">
        <f>IF($K109="","",INDEX('Detalle individual'!$D:$D,$K109))</f>
        <v>Gerencia de Negocios</v>
      </c>
      <c r="H109" s="63" t="str">
        <f>IF($K109="","",INDEX('Detalle individual'!$F:$F,$K109))</f>
        <v>Completado</v>
      </c>
      <c r="I109" s="77">
        <f>IF($K109="","",IF(INDEX('Detalle individual'!$F:$F,$K109)="Completado",INDEX('Detalle individual'!$H:$H,$K109),""))</f>
        <v>46296.55247685185</v>
      </c>
      <c r="J109" s="78">
        <f>IF($K109="","",IF(INDEX('Detalle individual'!$F:$F,$K109)="Completado",INDEX('Detalle individual'!$J:$J,$K109),""))</f>
        <v>70</v>
      </c>
      <c r="K109">
        <f>IFERROR(MOD(SMALL('Cálculos'!$Z$5:$Z$297,101),1000),"")</f>
        <v>248</v>
      </c>
    </row>
    <row r="110">
      <c r="B110" s="63">
        <f>IF($K110="","",102)</f>
        <v>102</v>
      </c>
      <c r="C110" s="63" t="str">
        <f>IF($K110="","",INDEX('Detalle individual'!$A:$A,$K110))</f>
        <v>700</v>
      </c>
      <c r="D110" s="64" t="str">
        <f>IF($K110="","",TRIM(INDEX('Detalle individual'!$B:$B,$K110)))</f>
        <v>JENNIFFER MIREYA AYALA ZEPEDA</v>
      </c>
      <c r="E110" s="64" t="str">
        <f>IF($K110="","",TRIM(INDEX('Detalle individual'!$E:$E,$K110)))</f>
        <v>SUBJEFE DE AGENCIA</v>
      </c>
      <c r="F110" s="64" t="str">
        <f>IF($K110="","",TRIM(INDEX('Detalle individual'!$C:$C,$K110)))</f>
        <v>AGENCIA MERLIOT</v>
      </c>
      <c r="G110" s="64" t="str">
        <f>IF($K110="","",INDEX('Detalle individual'!$D:$D,$K110))</f>
        <v>Gerencia de Negocios</v>
      </c>
      <c r="H110" s="63" t="str">
        <f>IF($K110="","",INDEX('Detalle individual'!$F:$F,$K110))</f>
        <v>Completado</v>
      </c>
      <c r="I110" s="77">
        <f>IF($K110="","",IF(INDEX('Detalle individual'!$F:$F,$K110)="Completado",INDEX('Detalle individual'!$H:$H,$K110),""))</f>
        <v>46302.561886574076</v>
      </c>
      <c r="J110" s="78">
        <f>IF($K110="","",IF(INDEX('Detalle individual'!$F:$F,$K110)="Completado",INDEX('Detalle individual'!$J:$J,$K110),""))</f>
        <v>100</v>
      </c>
      <c r="K110">
        <f>IFERROR(MOD(SMALL('Cálculos'!$Z$5:$Z$297,102),1000),"")</f>
        <v>249</v>
      </c>
    </row>
    <row r="111">
      <c r="B111" s="63">
        <f>IF($K111="","",103)</f>
        <v>103</v>
      </c>
      <c r="C111" s="63" t="str">
        <f>IF($K111="","",INDEX('Detalle individual'!$A:$A,$K111))</f>
        <v>827</v>
      </c>
      <c r="D111" s="64" t="str">
        <f>IF($K111="","",TRIM(INDEX('Detalle individual'!$B:$B,$K111)))</f>
        <v>KELLY IDALIA CHAVEZ ABREGO</v>
      </c>
      <c r="E111" s="64" t="str">
        <f>IF($K111="","",TRIM(INDEX('Detalle individual'!$E:$E,$K111)))</f>
        <v>CAJERO</v>
      </c>
      <c r="F111" s="64" t="str">
        <f>IF($K111="","",TRIM(INDEX('Detalle individual'!$C:$C,$K111)))</f>
        <v>AGENCIA MERLIOT</v>
      </c>
      <c r="G111" s="64" t="str">
        <f>IF($K111="","",INDEX('Detalle individual'!$D:$D,$K111))</f>
        <v>Gerencia de Negocios</v>
      </c>
      <c r="H111" s="63" t="str">
        <f>IF($K111="","",INDEX('Detalle individual'!$F:$F,$K111))</f>
        <v>Completado</v>
      </c>
      <c r="I111" s="77">
        <f>IF($K111="","",IF(INDEX('Detalle individual'!$F:$F,$K111)="Completado",INDEX('Detalle individual'!$H:$H,$K111),""))</f>
        <v>46302.58609953704</v>
      </c>
      <c r="J111" s="78">
        <f>IF($K111="","",IF(INDEX('Detalle individual'!$F:$F,$K111)="Completado",INDEX('Detalle individual'!$J:$J,$K111),""))</f>
        <v>100</v>
      </c>
      <c r="K111">
        <f>IFERROR(MOD(SMALL('Cálculos'!$Z$5:$Z$297,103),1000),"")</f>
        <v>250</v>
      </c>
    </row>
    <row r="112">
      <c r="B112" s="63">
        <f>IF($K112="","",104)</f>
        <v>104</v>
      </c>
      <c r="C112" s="63" t="str">
        <f>IF($K112="","",INDEX('Detalle individual'!$A:$A,$K112))</f>
        <v>892</v>
      </c>
      <c r="D112" s="64" t="str">
        <f>IF($K112="","",TRIM(INDEX('Detalle individual'!$B:$B,$K112)))</f>
        <v>DIANA VANESSA RODRIGUEZ SORIANO</v>
      </c>
      <c r="E112" s="64" t="str">
        <f>IF($K112="","",TRIM(INDEX('Detalle individual'!$E:$E,$K112)))</f>
        <v>EJECUTIVA DE SEGUROS</v>
      </c>
      <c r="F112" s="64" t="str">
        <f>IF($K112="","",TRIM(INDEX('Detalle individual'!$C:$C,$K112)))</f>
        <v>AGENCIA MERLIOT</v>
      </c>
      <c r="G112" s="64" t="str">
        <f>IF($K112="","",INDEX('Detalle individual'!$D:$D,$K112))</f>
        <v>Gerencia de Negocios</v>
      </c>
      <c r="H112" s="63" t="str">
        <f>IF($K112="","",INDEX('Detalle individual'!$F:$F,$K112))</f>
        <v>Completado</v>
      </c>
      <c r="I112" s="77">
        <f>IF($K112="","",IF(INDEX('Detalle individual'!$F:$F,$K112)="Completado",INDEX('Detalle individual'!$H:$H,$K112),""))</f>
        <v>46303.39013888889</v>
      </c>
      <c r="J112" s="78">
        <f>IF($K112="","",IF(INDEX('Detalle individual'!$F:$F,$K112)="Completado",INDEX('Detalle individual'!$J:$J,$K112),""))</f>
        <v>100</v>
      </c>
      <c r="K112">
        <f>IFERROR(MOD(SMALL('Cálculos'!$Z$5:$Z$297,104),1000),"")</f>
        <v>251</v>
      </c>
    </row>
    <row r="113">
      <c r="B113" s="63">
        <f>IF($K113="","",105)</f>
        <v>105</v>
      </c>
      <c r="C113" s="63" t="str">
        <f>IF($K113="","",INDEX('Detalle individual'!$A:$A,$K113))</f>
        <v>909</v>
      </c>
      <c r="D113" s="64" t="str">
        <f>IF($K113="","",TRIM(INDEX('Detalle individual'!$B:$B,$K113)))</f>
        <v>GLADYS LISETH HERNANDEZ CRUZ</v>
      </c>
      <c r="E113" s="64" t="str">
        <f>IF($K113="","",TRIM(INDEX('Detalle individual'!$E:$E,$K113)))</f>
        <v>CAJERO</v>
      </c>
      <c r="F113" s="64" t="str">
        <f>IF($K113="","",TRIM(INDEX('Detalle individual'!$C:$C,$K113)))</f>
        <v>AGENCIA MERLIOT</v>
      </c>
      <c r="G113" s="64" t="str">
        <f>IF($K113="","",INDEX('Detalle individual'!$D:$D,$K113))</f>
        <v>Gerencia de Negocios</v>
      </c>
      <c r="H113" s="63" t="str">
        <f>IF($K113="","",INDEX('Detalle individual'!$F:$F,$K113))</f>
        <v>Completado</v>
      </c>
      <c r="I113" s="77">
        <f>IF($K113="","",IF(INDEX('Detalle individual'!$F:$F,$K113)="Completado",INDEX('Detalle individual'!$H:$H,$K113),""))</f>
        <v>46302.70457175926</v>
      </c>
      <c r="J113" s="78">
        <f>IF($K113="","",IF(INDEX('Detalle individual'!$F:$F,$K113)="Completado",INDEX('Detalle individual'!$J:$J,$K113),""))</f>
        <v>100</v>
      </c>
      <c r="K113">
        <f>IFERROR(MOD(SMALL('Cálculos'!$Z$5:$Z$297,105),1000),"")</f>
        <v>252</v>
      </c>
    </row>
    <row r="114">
      <c r="B114" s="63">
        <f>IF($K114="","",106)</f>
        <v>106</v>
      </c>
      <c r="C114" s="63" t="str">
        <f>IF($K114="","",INDEX('Detalle individual'!$A:$A,$K114))</f>
        <v>922</v>
      </c>
      <c r="D114" s="64" t="str">
        <f>IF($K114="","",TRIM(INDEX('Detalle individual'!$B:$B,$K114)))</f>
        <v>MADELINE ADRIANA GOMEZ GARCIA</v>
      </c>
      <c r="E114" s="64" t="str">
        <f>IF($K114="","",TRIM(INDEX('Detalle individual'!$E:$E,$K114)))</f>
        <v>CAJERO</v>
      </c>
      <c r="F114" s="64" t="str">
        <f>IF($K114="","",TRIM(INDEX('Detalle individual'!$C:$C,$K114)))</f>
        <v>AGENCIA MERLIOT</v>
      </c>
      <c r="G114" s="64" t="str">
        <f>IF($K114="","",INDEX('Detalle individual'!$D:$D,$K114))</f>
        <v>Gerencia de Negocios</v>
      </c>
      <c r="H114" s="63" t="str">
        <f>IF($K114="","",INDEX('Detalle individual'!$F:$F,$K114))</f>
        <v>Completado</v>
      </c>
      <c r="I114" s="77">
        <f>IF($K114="","",IF(INDEX('Detalle individual'!$F:$F,$K114)="Completado",INDEX('Detalle individual'!$H:$H,$K114),""))</f>
        <v>46302.57753472222</v>
      </c>
      <c r="J114" s="78">
        <f>IF($K114="","",IF(INDEX('Detalle individual'!$F:$F,$K114)="Completado",INDEX('Detalle individual'!$J:$J,$K114),""))</f>
        <v>100</v>
      </c>
      <c r="K114">
        <f>IFERROR(MOD(SMALL('Cálculos'!$Z$5:$Z$297,106),1000),"")</f>
        <v>253</v>
      </c>
    </row>
    <row r="115">
      <c r="B115" s="63">
        <f>IF($K115="","",107)</f>
        <v>107</v>
      </c>
      <c r="C115" s="63" t="str">
        <f>IF($K115="","",INDEX('Detalle individual'!$A:$A,$K115))</f>
        <v>936</v>
      </c>
      <c r="D115" s="64" t="str">
        <f>IF($K115="","",TRIM(INDEX('Detalle individual'!$B:$B,$K115)))</f>
        <v>MARISELA GUADALUPE MEJIA CRUZ</v>
      </c>
      <c r="E115" s="64" t="str">
        <f>IF($K115="","",TRIM(INDEX('Detalle individual'!$E:$E,$K115)))</f>
        <v>CAJERO</v>
      </c>
      <c r="F115" s="64" t="str">
        <f>IF($K115="","",TRIM(INDEX('Detalle individual'!$C:$C,$K115)))</f>
        <v>AGENCIA MERLIOT</v>
      </c>
      <c r="G115" s="64" t="str">
        <f>IF($K115="","",INDEX('Detalle individual'!$D:$D,$K115))</f>
        <v>Gerencia de Negocios</v>
      </c>
      <c r="H115" s="63" t="str">
        <f>IF($K115="","",INDEX('Detalle individual'!$F:$F,$K115))</f>
        <v>Completado</v>
      </c>
      <c r="I115" s="77">
        <f>IF($K115="","",IF(INDEX('Detalle individual'!$F:$F,$K115)="Completado",INDEX('Detalle individual'!$H:$H,$K115),""))</f>
        <v>46302.637037037035</v>
      </c>
      <c r="J115" s="78">
        <f>IF($K115="","",IF(INDEX('Detalle individual'!$F:$F,$K115)="Completado",INDEX('Detalle individual'!$J:$J,$K115),""))</f>
        <v>100</v>
      </c>
      <c r="K115">
        <f>IFERROR(MOD(SMALL('Cálculos'!$Z$5:$Z$297,107),1000),"")</f>
        <v>254</v>
      </c>
    </row>
    <row r="116">
      <c r="B116" s="63">
        <f>IF($K116="","",108)</f>
        <v>108</v>
      </c>
      <c r="C116" s="63" t="str">
        <f>IF($K116="","",INDEX('Detalle individual'!$A:$A,$K116))</f>
        <v>944</v>
      </c>
      <c r="D116" s="64" t="str">
        <f>IF($K116="","",TRIM(INDEX('Detalle individual'!$B:$B,$K116)))</f>
        <v>JOSSELYN IVONNE GARCIA HERNANDEZ</v>
      </c>
      <c r="E116" s="64" t="str">
        <f>IF($K116="","",TRIM(INDEX('Detalle individual'!$E:$E,$K116)))</f>
        <v>AUXILIAR DE ATENCION A ASOCIADOS</v>
      </c>
      <c r="F116" s="64" t="str">
        <f>IF($K116="","",TRIM(INDEX('Detalle individual'!$C:$C,$K116)))</f>
        <v>AGENCIA MERLIOT</v>
      </c>
      <c r="G116" s="64" t="str">
        <f>IF($K116="","",INDEX('Detalle individual'!$D:$D,$K116))</f>
        <v>Gerencia de Negocios</v>
      </c>
      <c r="H116" s="63" t="str">
        <f>IF($K116="","",INDEX('Detalle individual'!$F:$F,$K116))</f>
        <v>Completado</v>
      </c>
      <c r="I116" s="77">
        <f>IF($K116="","",IF(INDEX('Detalle individual'!$F:$F,$K116)="Completado",INDEX('Detalle individual'!$H:$H,$K116),""))</f>
        <v>46296.67511574074</v>
      </c>
      <c r="J116" s="78">
        <f>IF($K116="","",IF(INDEX('Detalle individual'!$F:$F,$K116)="Completado",INDEX('Detalle individual'!$J:$J,$K116),""))</f>
        <v>75</v>
      </c>
      <c r="K116">
        <f>IFERROR(MOD(SMALL('Cálculos'!$Z$5:$Z$297,108),1000),"")</f>
        <v>255</v>
      </c>
    </row>
    <row r="117">
      <c r="B117" s="63">
        <f>IF($K117="","",109)</f>
        <v>109</v>
      </c>
      <c r="C117" s="63" t="str">
        <f>IF($K117="","",INDEX('Detalle individual'!$A:$A,$K117))</f>
        <v>967</v>
      </c>
      <c r="D117" s="64" t="str">
        <f>IF($K117="","",TRIM(INDEX('Detalle individual'!$B:$B,$K117)))</f>
        <v>MAVERICK JOSSIMAR GONZALEZ MUÑOZ</v>
      </c>
      <c r="E117" s="64" t="str">
        <f>IF($K117="","",TRIM(INDEX('Detalle individual'!$E:$E,$K117)))</f>
        <v>CAJERO</v>
      </c>
      <c r="F117" s="64" t="str">
        <f>IF($K117="","",TRIM(INDEX('Detalle individual'!$C:$C,$K117)))</f>
        <v>AGENCIA MERLIOT</v>
      </c>
      <c r="G117" s="64" t="str">
        <f>IF($K117="","",INDEX('Detalle individual'!$D:$D,$K117))</f>
        <v>Gerencia de Negocios</v>
      </c>
      <c r="H117" s="63" t="str">
        <f>IF($K117="","",INDEX('Detalle individual'!$F:$F,$K117))</f>
        <v>Completado</v>
      </c>
      <c r="I117" s="77">
        <f>IF($K117="","",IF(INDEX('Detalle individual'!$F:$F,$K117)="Completado",INDEX('Detalle individual'!$H:$H,$K117),""))</f>
        <v>46302.58998842593</v>
      </c>
      <c r="J117" s="78">
        <f>IF($K117="","",IF(INDEX('Detalle individual'!$F:$F,$K117)="Completado",INDEX('Detalle individual'!$J:$J,$K117),""))</f>
        <v>100</v>
      </c>
      <c r="K117">
        <f>IFERROR(MOD(SMALL('Cálculos'!$Z$5:$Z$297,109),1000),"")</f>
        <v>256</v>
      </c>
    </row>
    <row r="118">
      <c r="B118" s="63">
        <f>IF($K118="","",110)</f>
        <v>110</v>
      </c>
      <c r="C118" s="63" t="str">
        <f>IF($K118="","",INDEX('Detalle individual'!$A:$A,$K118))</f>
        <v>331</v>
      </c>
      <c r="D118" s="64" t="str">
        <f>IF($K118="","",TRIM(INDEX('Detalle individual'!$B:$B,$K118)))</f>
        <v>NORMA ARACELY GUILLEN</v>
      </c>
      <c r="E118" s="64" t="str">
        <f>IF($K118="","",TRIM(INDEX('Detalle individual'!$E:$E,$K118)))</f>
        <v>SUBJEFE DE AGENCIA</v>
      </c>
      <c r="F118" s="64" t="str">
        <f>IF($K118="","",TRIM(INDEX('Detalle individual'!$C:$C,$K118)))</f>
        <v>AGENCIA PLAZA MUNDO</v>
      </c>
      <c r="G118" s="64" t="str">
        <f>IF($K118="","",INDEX('Detalle individual'!$D:$D,$K118))</f>
        <v>Gerencia de Negocios</v>
      </c>
      <c r="H118" s="63" t="str">
        <f>IF($K118="","",INDEX('Detalle individual'!$F:$F,$K118))</f>
        <v>Completado</v>
      </c>
      <c r="I118" s="77">
        <f>IF($K118="","",IF(INDEX('Detalle individual'!$F:$F,$K118)="Completado",INDEX('Detalle individual'!$H:$H,$K118),""))</f>
        <v>46307.440046296295</v>
      </c>
      <c r="J118" s="78">
        <f>IF($K118="","",IF(INDEX('Detalle individual'!$F:$F,$K118)="Completado",INDEX('Detalle individual'!$J:$J,$K118),""))</f>
        <v>100</v>
      </c>
      <c r="K118">
        <f>IFERROR(MOD(SMALL('Cálculos'!$Z$5:$Z$297,110),1000),"")</f>
        <v>274</v>
      </c>
    </row>
    <row r="119">
      <c r="B119" s="63">
        <f>IF($K119="","",111)</f>
        <v>111</v>
      </c>
      <c r="C119" s="63" t="str">
        <f>IF($K119="","",INDEX('Detalle individual'!$A:$A,$K119))</f>
        <v>535</v>
      </c>
      <c r="D119" s="64" t="str">
        <f>IF($K119="","",TRIM(INDEX('Detalle individual'!$B:$B,$K119)))</f>
        <v>ROSARIO DEL CARMEN PEREZ LOPEZ</v>
      </c>
      <c r="E119" s="64" t="str">
        <f>IF($K119="","",TRIM(INDEX('Detalle individual'!$E:$E,$K119)))</f>
        <v>JEFE DE AGENCIA</v>
      </c>
      <c r="F119" s="64" t="str">
        <f>IF($K119="","",TRIM(INDEX('Detalle individual'!$C:$C,$K119)))</f>
        <v>AGENCIA PLAZA MUNDO</v>
      </c>
      <c r="G119" s="64" t="str">
        <f>IF($K119="","",INDEX('Detalle individual'!$D:$D,$K119))</f>
        <v>Gerencia de Negocios</v>
      </c>
      <c r="H119" s="63" t="str">
        <f>IF($K119="","",INDEX('Detalle individual'!$F:$F,$K119))</f>
        <v>Completado</v>
      </c>
      <c r="I119" s="77">
        <f>IF($K119="","",IF(INDEX('Detalle individual'!$F:$F,$K119)="Completado",INDEX('Detalle individual'!$H:$H,$K119),""))</f>
        <v>46307.40383101852</v>
      </c>
      <c r="J119" s="78">
        <f>IF($K119="","",IF(INDEX('Detalle individual'!$F:$F,$K119)="Completado",INDEX('Detalle individual'!$J:$J,$K119),""))</f>
        <v>100</v>
      </c>
      <c r="K119">
        <f>IFERROR(MOD(SMALL('Cálculos'!$Z$5:$Z$297,111),1000),"")</f>
        <v>275</v>
      </c>
    </row>
    <row r="120">
      <c r="B120" s="63">
        <f>IF($K120="","",112)</f>
        <v>112</v>
      </c>
      <c r="C120" s="63" t="str">
        <f>IF($K120="","",INDEX('Detalle individual'!$A:$A,$K120))</f>
        <v>616</v>
      </c>
      <c r="D120" s="64" t="str">
        <f>IF($K120="","",TRIM(INDEX('Detalle individual'!$B:$B,$K120)))</f>
        <v>GABRIELA JEANNETTE BOLAÑOS HERRERA</v>
      </c>
      <c r="E120" s="64" t="str">
        <f>IF($K120="","",TRIM(INDEX('Detalle individual'!$E:$E,$K120)))</f>
        <v>EJECUTIVA DE SEGUROS</v>
      </c>
      <c r="F120" s="64" t="str">
        <f>IF($K120="","",TRIM(INDEX('Detalle individual'!$C:$C,$K120)))</f>
        <v>AGENCIA PLAZA MUNDO</v>
      </c>
      <c r="G120" s="64" t="str">
        <f>IF($K120="","",INDEX('Detalle individual'!$D:$D,$K120))</f>
        <v>Gerencia de Negocios</v>
      </c>
      <c r="H120" s="63" t="str">
        <f>IF($K120="","",INDEX('Detalle individual'!$F:$F,$K120))</f>
        <v>Completado</v>
      </c>
      <c r="I120" s="77">
        <f>IF($K120="","",IF(INDEX('Detalle individual'!$F:$F,$K120)="Completado",INDEX('Detalle individual'!$H:$H,$K120),""))</f>
        <v>46308.41873842593</v>
      </c>
      <c r="J120" s="78">
        <f>IF($K120="","",IF(INDEX('Detalle individual'!$F:$F,$K120)="Completado",INDEX('Detalle individual'!$J:$J,$K120),""))</f>
        <v>100</v>
      </c>
      <c r="K120">
        <f>IFERROR(MOD(SMALL('Cálculos'!$Z$5:$Z$297,112),1000),"")</f>
        <v>276</v>
      </c>
    </row>
    <row r="121">
      <c r="B121" s="63">
        <f>IF($K121="","",113)</f>
        <v>113</v>
      </c>
      <c r="C121" s="63" t="str">
        <f>IF($K121="","",INDEX('Detalle individual'!$A:$A,$K121))</f>
        <v>675</v>
      </c>
      <c r="D121" s="64" t="str">
        <f>IF($K121="","",TRIM(INDEX('Detalle individual'!$B:$B,$K121)))</f>
        <v>NANCY CAROLINA FUENTES SORTO</v>
      </c>
      <c r="E121" s="64" t="str">
        <f>IF($K121="","",TRIM(INDEX('Detalle individual'!$E:$E,$K121)))</f>
        <v>CAJERO</v>
      </c>
      <c r="F121" s="64" t="str">
        <f>IF($K121="","",TRIM(INDEX('Detalle individual'!$C:$C,$K121)))</f>
        <v>AGENCIA PLAZA MUNDO</v>
      </c>
      <c r="G121" s="64" t="str">
        <f>IF($K121="","",INDEX('Detalle individual'!$D:$D,$K121))</f>
        <v>Gerencia de Negocios</v>
      </c>
      <c r="H121" s="63" t="str">
        <f>IF($K121="","",INDEX('Detalle individual'!$F:$F,$K121))</f>
        <v>Completado</v>
      </c>
      <c r="I121" s="77">
        <f>IF($K121="","",IF(INDEX('Detalle individual'!$F:$F,$K121)="Completado",INDEX('Detalle individual'!$H:$H,$K121),""))</f>
        <v>46309.394328703704</v>
      </c>
      <c r="J121" s="78">
        <f>IF($K121="","",IF(INDEX('Detalle individual'!$F:$F,$K121)="Completado",INDEX('Detalle individual'!$J:$J,$K121),""))</f>
        <v>90</v>
      </c>
      <c r="K121">
        <f>IFERROR(MOD(SMALL('Cálculos'!$Z$5:$Z$297,113),1000),"")</f>
        <v>277</v>
      </c>
    </row>
    <row r="122">
      <c r="B122" s="63">
        <f>IF($K122="","",114)</f>
        <v>114</v>
      </c>
      <c r="C122" s="63" t="str">
        <f>IF($K122="","",INDEX('Detalle individual'!$A:$A,$K122))</f>
        <v>748</v>
      </c>
      <c r="D122" s="64" t="str">
        <f>IF($K122="","",TRIM(INDEX('Detalle individual'!$B:$B,$K122)))</f>
        <v>WALTER ALBERTO BARAHONA DIAZ</v>
      </c>
      <c r="E122" s="64" t="str">
        <f>IF($K122="","",TRIM(INDEX('Detalle individual'!$E:$E,$K122)))</f>
        <v>CAJERO</v>
      </c>
      <c r="F122" s="64" t="str">
        <f>IF($K122="","",TRIM(INDEX('Detalle individual'!$C:$C,$K122)))</f>
        <v>AGENCIA PLAZA MUNDO</v>
      </c>
      <c r="G122" s="64" t="str">
        <f>IF($K122="","",INDEX('Detalle individual'!$D:$D,$K122))</f>
        <v>Gerencia de Negocios</v>
      </c>
      <c r="H122" s="63" t="str">
        <f>IF($K122="","",INDEX('Detalle individual'!$F:$F,$K122))</f>
        <v>Completado</v>
      </c>
      <c r="I122" s="77">
        <f>IF($K122="","",IF(INDEX('Detalle individual'!$F:$F,$K122)="Completado",INDEX('Detalle individual'!$H:$H,$K122),""))</f>
        <v>46309.40075231482</v>
      </c>
      <c r="J122" s="78">
        <f>IF($K122="","",IF(INDEX('Detalle individual'!$F:$F,$K122)="Completado",INDEX('Detalle individual'!$J:$J,$K122),""))</f>
        <v>100</v>
      </c>
      <c r="K122">
        <f>IFERROR(MOD(SMALL('Cálculos'!$Z$5:$Z$297,114),1000),"")</f>
        <v>278</v>
      </c>
    </row>
    <row r="123">
      <c r="B123" s="63">
        <f>IF($K123="","",115)</f>
        <v>115</v>
      </c>
      <c r="C123" s="63" t="str">
        <f>IF($K123="","",INDEX('Detalle individual'!$A:$A,$K123))</f>
        <v>876</v>
      </c>
      <c r="D123" s="64" t="str">
        <f>IF($K123="","",TRIM(INDEX('Detalle individual'!$B:$B,$K123)))</f>
        <v>PAOLA JEANNETTE ROMERO HERNANDEZ</v>
      </c>
      <c r="E123" s="64" t="str">
        <f>IF($K123="","",TRIM(INDEX('Detalle individual'!$E:$E,$K123)))</f>
        <v>CAJERO</v>
      </c>
      <c r="F123" s="64" t="str">
        <f>IF($K123="","",TRIM(INDEX('Detalle individual'!$C:$C,$K123)))</f>
        <v>AGENCIA PLAZA MUNDO</v>
      </c>
      <c r="G123" s="64" t="str">
        <f>IF($K123="","",INDEX('Detalle individual'!$D:$D,$K123))</f>
        <v>Gerencia de Negocios</v>
      </c>
      <c r="H123" s="63" t="str">
        <f>IF($K123="","",INDEX('Detalle individual'!$F:$F,$K123))</f>
        <v>Completado</v>
      </c>
      <c r="I123" s="77">
        <f>IF($K123="","",IF(INDEX('Detalle individual'!$F:$F,$K123)="Completado",INDEX('Detalle individual'!$H:$H,$K123),""))</f>
        <v>46309.408229166664</v>
      </c>
      <c r="J123" s="78">
        <f>IF($K123="","",IF(INDEX('Detalle individual'!$F:$F,$K123)="Completado",INDEX('Detalle individual'!$J:$J,$K123),""))</f>
        <v>100</v>
      </c>
      <c r="K123">
        <f>IFERROR(MOD(SMALL('Cálculos'!$Z$5:$Z$297,115),1000),"")</f>
        <v>279</v>
      </c>
    </row>
    <row r="124">
      <c r="B124" s="63">
        <f>IF($K124="","",116)</f>
        <v>116</v>
      </c>
      <c r="C124" s="63" t="str">
        <f>IF($K124="","",INDEX('Detalle individual'!$A:$A,$K124))</f>
        <v>955</v>
      </c>
      <c r="D124" s="64" t="str">
        <f>IF($K124="","",TRIM(INDEX('Detalle individual'!$B:$B,$K124)))</f>
        <v>ERIKA IVETH MANCIA HERNANDEZ</v>
      </c>
      <c r="E124" s="64" t="str">
        <f>IF($K124="","",TRIM(INDEX('Detalle individual'!$E:$E,$K124)))</f>
        <v>CAJERO</v>
      </c>
      <c r="F124" s="64" t="str">
        <f>IF($K124="","",TRIM(INDEX('Detalle individual'!$C:$C,$K124)))</f>
        <v>AGENCIA PLAZA MUNDO</v>
      </c>
      <c r="G124" s="64" t="str">
        <f>IF($K124="","",INDEX('Detalle individual'!$D:$D,$K124))</f>
        <v>Gerencia de Negocios</v>
      </c>
      <c r="H124" s="63" t="str">
        <f>IF($K124="","",INDEX('Detalle individual'!$F:$F,$K124))</f>
        <v>Completado</v>
      </c>
      <c r="I124" s="77">
        <f>IF($K124="","",IF(INDEX('Detalle individual'!$F:$F,$K124)="Completado",INDEX('Detalle individual'!$H:$H,$K124),""))</f>
        <v>46309.404699074075</v>
      </c>
      <c r="J124" s="78">
        <f>IF($K124="","",IF(INDEX('Detalle individual'!$F:$F,$K124)="Completado",INDEX('Detalle individual'!$J:$J,$K124),""))</f>
        <v>100</v>
      </c>
      <c r="K124">
        <f>IFERROR(MOD(SMALL('Cálculos'!$Z$5:$Z$297,116),1000),"")</f>
        <v>280</v>
      </c>
    </row>
    <row r="125">
      <c r="B125" s="63">
        <f>IF($K125="","",117)</f>
        <v>117</v>
      </c>
      <c r="C125" s="63" t="str">
        <f>IF($K125="","",INDEX('Detalle individual'!$A:$A,$K125))</f>
        <v>197</v>
      </c>
      <c r="D125" s="64" t="str">
        <f>IF($K125="","",TRIM(INDEX('Detalle individual'!$B:$B,$K125)))</f>
        <v>THELMA ESPERANZA FIGUEROA SORTO</v>
      </c>
      <c r="E125" s="64" t="str">
        <f>IF($K125="","",TRIM(INDEX('Detalle individual'!$E:$E,$K125)))</f>
        <v>EJECUTIVO DE NEGOCIOS</v>
      </c>
      <c r="F125" s="64" t="str">
        <f>IF($K125="","",TRIM(INDEX('Detalle individual'!$C:$C,$K125)))</f>
        <v>AGENCIA SAN MIGUEL</v>
      </c>
      <c r="G125" s="64" t="str">
        <f>IF($K125="","",INDEX('Detalle individual'!$D:$D,$K125))</f>
        <v>Gerencia de Negocios</v>
      </c>
      <c r="H125" s="63" t="str">
        <f>IF($K125="","",INDEX('Detalle individual'!$F:$F,$K125))</f>
        <v>Completado</v>
      </c>
      <c r="I125" s="77">
        <f>IF($K125="","",IF(INDEX('Detalle individual'!$F:$F,$K125)="Completado",INDEX('Detalle individual'!$H:$H,$K125),""))</f>
        <v>46296.44064814815</v>
      </c>
      <c r="J125" s="78">
        <f>IF($K125="","",IF(INDEX('Detalle individual'!$F:$F,$K125)="Completado",INDEX('Detalle individual'!$J:$J,$K125),""))</f>
        <v>100</v>
      </c>
      <c r="K125">
        <f>IFERROR(MOD(SMALL('Cálculos'!$Z$5:$Z$297,117),1000),"")</f>
        <v>221</v>
      </c>
    </row>
    <row r="126">
      <c r="B126" s="63">
        <f>IF($K126="","",118)</f>
        <v>118</v>
      </c>
      <c r="C126" s="63" t="str">
        <f>IF($K126="","",INDEX('Detalle individual'!$A:$A,$K126))</f>
        <v>200</v>
      </c>
      <c r="D126" s="64" t="str">
        <f>IF($K126="","",TRIM(INDEX('Detalle individual'!$B:$B,$K126)))</f>
        <v>JOSE MANUEL SERRANO ROVIRA</v>
      </c>
      <c r="E126" s="64" t="str">
        <f>IF($K126="","",TRIM(INDEX('Detalle individual'!$E:$E,$K126)))</f>
        <v>JEFE DE AGENCIA</v>
      </c>
      <c r="F126" s="64" t="str">
        <f>IF($K126="","",TRIM(INDEX('Detalle individual'!$C:$C,$K126)))</f>
        <v>AGENCIA SAN MIGUEL</v>
      </c>
      <c r="G126" s="64" t="str">
        <f>IF($K126="","",INDEX('Detalle individual'!$D:$D,$K126))</f>
        <v>Gerencia de Negocios</v>
      </c>
      <c r="H126" s="63" t="str">
        <f>IF($K126="","",INDEX('Detalle individual'!$F:$F,$K126))</f>
        <v>Completado</v>
      </c>
      <c r="I126" s="77">
        <f>IF($K126="","",IF(INDEX('Detalle individual'!$F:$F,$K126)="Completado",INDEX('Detalle individual'!$H:$H,$K126),""))</f>
        <v>46296.49199074074</v>
      </c>
      <c r="J126" s="78">
        <f>IF($K126="","",IF(INDEX('Detalle individual'!$F:$F,$K126)="Completado",INDEX('Detalle individual'!$J:$J,$K126),""))</f>
        <v>90</v>
      </c>
      <c r="K126">
        <f>IFERROR(MOD(SMALL('Cálculos'!$Z$5:$Z$297,118),1000),"")</f>
        <v>222</v>
      </c>
    </row>
    <row r="127">
      <c r="B127" s="63">
        <f>IF($K127="","",119)</f>
        <v>119</v>
      </c>
      <c r="C127" s="63" t="str">
        <f>IF($K127="","",INDEX('Detalle individual'!$A:$A,$K127))</f>
        <v>390</v>
      </c>
      <c r="D127" s="64" t="str">
        <f>IF($K127="","",TRIM(INDEX('Detalle individual'!$B:$B,$K127)))</f>
        <v>MARTHA LORENA GONZALEZ GONZALEZ</v>
      </c>
      <c r="E127" s="64" t="str">
        <f>IF($K127="","",TRIM(INDEX('Detalle individual'!$E:$E,$K127)))</f>
        <v>AUXILIAR DE OPERACIONES Y ATENCION EN AGENCIA</v>
      </c>
      <c r="F127" s="64" t="str">
        <f>IF($K127="","",TRIM(INDEX('Detalle individual'!$C:$C,$K127)))</f>
        <v>AGENCIA SAN MIGUEL</v>
      </c>
      <c r="G127" s="64" t="str">
        <f>IF($K127="","",INDEX('Detalle individual'!$D:$D,$K127))</f>
        <v>Gerencia de Negocios</v>
      </c>
      <c r="H127" s="63" t="str">
        <f>IF($K127="","",INDEX('Detalle individual'!$F:$F,$K127))</f>
        <v>Completado</v>
      </c>
      <c r="I127" s="77">
        <f>IF($K127="","",IF(INDEX('Detalle individual'!$F:$F,$K127)="Completado",INDEX('Detalle individual'!$H:$H,$K127),""))</f>
        <v>46296.44844907407</v>
      </c>
      <c r="J127" s="78">
        <f>IF($K127="","",IF(INDEX('Detalle individual'!$F:$F,$K127)="Completado",INDEX('Detalle individual'!$J:$J,$K127),""))</f>
        <v>100</v>
      </c>
      <c r="K127">
        <f>IFERROR(MOD(SMALL('Cálculos'!$Z$5:$Z$297,119),1000),"")</f>
        <v>223</v>
      </c>
    </row>
    <row r="128">
      <c r="B128" s="63">
        <f>IF($K128="","",120)</f>
        <v>120</v>
      </c>
      <c r="C128" s="63" t="str">
        <f>IF($K128="","",INDEX('Detalle individual'!$A:$A,$K128))</f>
        <v>545</v>
      </c>
      <c r="D128" s="64" t="str">
        <f>IF($K128="","",TRIM(INDEX('Detalle individual'!$B:$B,$K128)))</f>
        <v>LEIBY NATHALY ROMERO VANEGAS</v>
      </c>
      <c r="E128" s="64" t="str">
        <f>IF($K128="","",TRIM(INDEX('Detalle individual'!$E:$E,$K128)))</f>
        <v>SUBJEFE DE AGENCIA</v>
      </c>
      <c r="F128" s="64" t="str">
        <f>IF($K128="","",TRIM(INDEX('Detalle individual'!$C:$C,$K128)))</f>
        <v>AGENCIA SAN MIGUEL</v>
      </c>
      <c r="G128" s="64" t="str">
        <f>IF($K128="","",INDEX('Detalle individual'!$D:$D,$K128))</f>
        <v>Gerencia de Negocios</v>
      </c>
      <c r="H128" s="63" t="str">
        <f>IF($K128="","",INDEX('Detalle individual'!$F:$F,$K128))</f>
        <v>Completado</v>
      </c>
      <c r="I128" s="77">
        <f>IF($K128="","",IF(INDEX('Detalle individual'!$F:$F,$K128)="Completado",INDEX('Detalle individual'!$H:$H,$K128),""))</f>
        <v>46296.45449074074</v>
      </c>
      <c r="J128" s="78">
        <f>IF($K128="","",IF(INDEX('Detalle individual'!$F:$F,$K128)="Completado",INDEX('Detalle individual'!$J:$J,$K128),""))</f>
        <v>100</v>
      </c>
      <c r="K128">
        <f>IFERROR(MOD(SMALL('Cálculos'!$Z$5:$Z$297,120),1000),"")</f>
        <v>224</v>
      </c>
    </row>
    <row r="129">
      <c r="B129" s="63">
        <f>IF($K129="","",121)</f>
        <v>121</v>
      </c>
      <c r="C129" s="63" t="str">
        <f>IF($K129="","",INDEX('Detalle individual'!$A:$A,$K129))</f>
        <v>776</v>
      </c>
      <c r="D129" s="64" t="str">
        <f>IF($K129="","",TRIM(INDEX('Detalle individual'!$B:$B,$K129)))</f>
        <v>DIEGO GERARDO GUANDIQUE TORRES</v>
      </c>
      <c r="E129" s="64" t="str">
        <f>IF($K129="","",TRIM(INDEX('Detalle individual'!$E:$E,$K129)))</f>
        <v>CAJERO</v>
      </c>
      <c r="F129" s="64" t="str">
        <f>IF($K129="","",TRIM(INDEX('Detalle individual'!$C:$C,$K129)))</f>
        <v>AGENCIA SAN MIGUEL</v>
      </c>
      <c r="G129" s="64" t="str">
        <f>IF($K129="","",INDEX('Detalle individual'!$D:$D,$K129))</f>
        <v>Gerencia de Negocios</v>
      </c>
      <c r="H129" s="63" t="str">
        <f>IF($K129="","",INDEX('Detalle individual'!$F:$F,$K129))</f>
        <v>Completado</v>
      </c>
      <c r="I129" s="77">
        <f>IF($K129="","",IF(INDEX('Detalle individual'!$F:$F,$K129)="Completado",INDEX('Detalle individual'!$H:$H,$K129),""))</f>
        <v>46296.44540509259</v>
      </c>
      <c r="J129" s="78">
        <f>IF($K129="","",IF(INDEX('Detalle individual'!$F:$F,$K129)="Completado",INDEX('Detalle individual'!$J:$J,$K129),""))</f>
        <v>100</v>
      </c>
      <c r="K129">
        <f>IFERROR(MOD(SMALL('Cálculos'!$Z$5:$Z$297,121),1000),"")</f>
        <v>225</v>
      </c>
    </row>
    <row r="130">
      <c r="B130" s="63">
        <f>IF($K130="","",122)</f>
        <v>122</v>
      </c>
      <c r="C130" s="63" t="str">
        <f>IF($K130="","",INDEX('Detalle individual'!$A:$A,$K130))</f>
        <v>777</v>
      </c>
      <c r="D130" s="64" t="str">
        <f>IF($K130="","",TRIM(INDEX('Detalle individual'!$B:$B,$K130)))</f>
        <v>MARCELINA YAMILETH LOPEZ VASQUEZ</v>
      </c>
      <c r="E130" s="64" t="str">
        <f>IF($K130="","",TRIM(INDEX('Detalle individual'!$E:$E,$K130)))</f>
        <v>CAJERO</v>
      </c>
      <c r="F130" s="64" t="str">
        <f>IF($K130="","",TRIM(INDEX('Detalle individual'!$C:$C,$K130)))</f>
        <v>AGENCIA SAN MIGUEL</v>
      </c>
      <c r="G130" s="64" t="str">
        <f>IF($K130="","",INDEX('Detalle individual'!$D:$D,$K130))</f>
        <v>Gerencia de Negocios</v>
      </c>
      <c r="H130" s="63" t="str">
        <f>IF($K130="","",INDEX('Detalle individual'!$F:$F,$K130))</f>
        <v>Completado</v>
      </c>
      <c r="I130" s="77">
        <f>IF($K130="","",IF(INDEX('Detalle individual'!$F:$F,$K130)="Completado",INDEX('Detalle individual'!$H:$H,$K130),""))</f>
        <v>46296.45806712963</v>
      </c>
      <c r="J130" s="78">
        <f>IF($K130="","",IF(INDEX('Detalle individual'!$F:$F,$K130)="Completado",INDEX('Detalle individual'!$J:$J,$K130),""))</f>
        <v>100</v>
      </c>
      <c r="K130">
        <f>IFERROR(MOD(SMALL('Cálculos'!$Z$5:$Z$297,122),1000),"")</f>
        <v>226</v>
      </c>
    </row>
    <row r="131">
      <c r="B131" s="63">
        <f>IF($K131="","",123)</f>
        <v>123</v>
      </c>
      <c r="C131" s="63" t="str">
        <f>IF($K131="","",INDEX('Detalle individual'!$A:$A,$K131))</f>
        <v>807</v>
      </c>
      <c r="D131" s="64" t="str">
        <f>IF($K131="","",TRIM(INDEX('Detalle individual'!$B:$B,$K131)))</f>
        <v>MARCELA GUADALUPE CRESPO BENAVIDEZ</v>
      </c>
      <c r="E131" s="64" t="str">
        <f>IF($K131="","",TRIM(INDEX('Detalle individual'!$E:$E,$K131)))</f>
        <v>EJECUTIVA DE SEGUROS</v>
      </c>
      <c r="F131" s="64" t="str">
        <f>IF($K131="","",TRIM(INDEX('Detalle individual'!$C:$C,$K131)))</f>
        <v>AGENCIA SAN MIGUEL</v>
      </c>
      <c r="G131" s="64" t="str">
        <f>IF($K131="","",INDEX('Detalle individual'!$D:$D,$K131))</f>
        <v>Gerencia de Negocios</v>
      </c>
      <c r="H131" s="63" t="str">
        <f>IF($K131="","",INDEX('Detalle individual'!$F:$F,$K131))</f>
        <v>Completado</v>
      </c>
      <c r="I131" s="77">
        <f>IF($K131="","",IF(INDEX('Detalle individual'!$F:$F,$K131)="Completado",INDEX('Detalle individual'!$H:$H,$K131),""))</f>
        <v>46296.45224537037</v>
      </c>
      <c r="J131" s="78">
        <f>IF($K131="","",IF(INDEX('Detalle individual'!$F:$F,$K131)="Completado",INDEX('Detalle individual'!$J:$J,$K131),""))</f>
        <v>100</v>
      </c>
      <c r="K131">
        <f>IFERROR(MOD(SMALL('Cálculos'!$Z$5:$Z$297,123),1000),"")</f>
        <v>227</v>
      </c>
    </row>
    <row r="132">
      <c r="B132" s="63">
        <f>IF($K132="","",124)</f>
        <v>124</v>
      </c>
      <c r="C132" s="63" t="str">
        <f>IF($K132="","",INDEX('Detalle individual'!$A:$A,$K132))</f>
        <v>295</v>
      </c>
      <c r="D132" s="64" t="str">
        <f>IF($K132="","",TRIM(INDEX('Detalle individual'!$B:$B,$K132)))</f>
        <v>GLENDA MARAYA SALAZAR GONZALEZ</v>
      </c>
      <c r="E132" s="64" t="str">
        <f>IF($K132="","",TRIM(INDEX('Detalle individual'!$E:$E,$K132)))</f>
        <v>JEFE DE AGENCIA</v>
      </c>
      <c r="F132" s="64" t="str">
        <f>IF($K132="","",TRIM(INDEX('Detalle individual'!$C:$C,$K132)))</f>
        <v>AGENCIA SANTA ANA</v>
      </c>
      <c r="G132" s="64" t="str">
        <f>IF($K132="","",INDEX('Detalle individual'!$D:$D,$K132))</f>
        <v>Gerencia de Negocios</v>
      </c>
      <c r="H132" s="63" t="str">
        <f>IF($K132="","",INDEX('Detalle individual'!$F:$F,$K132))</f>
        <v>Completado</v>
      </c>
      <c r="I132" s="77">
        <f>IF($K132="","",IF(INDEX('Detalle individual'!$F:$F,$K132)="Completado",INDEX('Detalle individual'!$H:$H,$K132),""))</f>
        <v>46309.339270833334</v>
      </c>
      <c r="J132" s="78">
        <f>IF($K132="","",IF(INDEX('Detalle individual'!$F:$F,$K132)="Completado",INDEX('Detalle individual'!$J:$J,$K132),""))</f>
        <v>100</v>
      </c>
      <c r="K132">
        <f>IFERROR(MOD(SMALL('Cálculos'!$Z$5:$Z$297,124),1000),"")</f>
        <v>230</v>
      </c>
    </row>
    <row r="133">
      <c r="B133" s="63">
        <f>IF($K133="","",125)</f>
        <v>125</v>
      </c>
      <c r="C133" s="63" t="str">
        <f>IF($K133="","",INDEX('Detalle individual'!$A:$A,$K133))</f>
        <v>312</v>
      </c>
      <c r="D133" s="64" t="str">
        <f>IF($K133="","",TRIM(INDEX('Detalle individual'!$B:$B,$K133)))</f>
        <v>JEANNETTE ANGELINNE HERNANDEZ MEJIA</v>
      </c>
      <c r="E133" s="64" t="str">
        <f>IF($K133="","",TRIM(INDEX('Detalle individual'!$E:$E,$K133)))</f>
        <v>SUBJEFE DE AGENCIA</v>
      </c>
      <c r="F133" s="64" t="str">
        <f>IF($K133="","",TRIM(INDEX('Detalle individual'!$C:$C,$K133)))</f>
        <v>AGENCIA SANTA ANA</v>
      </c>
      <c r="G133" s="64" t="str">
        <f>IF($K133="","",INDEX('Detalle individual'!$D:$D,$K133))</f>
        <v>Gerencia de Negocios</v>
      </c>
      <c r="H133" s="63" t="str">
        <f>IF($K133="","",INDEX('Detalle individual'!$F:$F,$K133))</f>
        <v>Completado</v>
      </c>
      <c r="I133" s="77">
        <f>IF($K133="","",IF(INDEX('Detalle individual'!$F:$F,$K133)="Completado",INDEX('Detalle individual'!$H:$H,$K133),""))</f>
        <v>46309.46179398148</v>
      </c>
      <c r="J133" s="78">
        <f>IF($K133="","",IF(INDEX('Detalle individual'!$F:$F,$K133)="Completado",INDEX('Detalle individual'!$J:$J,$K133),""))</f>
        <v>100</v>
      </c>
      <c r="K133">
        <f>IFERROR(MOD(SMALL('Cálculos'!$Z$5:$Z$297,125),1000),"")</f>
        <v>231</v>
      </c>
    </row>
    <row r="134">
      <c r="B134" s="63">
        <f>IF($K134="","",126)</f>
        <v>126</v>
      </c>
      <c r="C134" s="63" t="str">
        <f>IF($K134="","",INDEX('Detalle individual'!$A:$A,$K134))</f>
        <v>818</v>
      </c>
      <c r="D134" s="64" t="str">
        <f>IF($K134="","",TRIM(INDEX('Detalle individual'!$B:$B,$K134)))</f>
        <v>ANDREA YAMILETH ESCOBAR CHICA</v>
      </c>
      <c r="E134" s="64" t="str">
        <f>IF($K134="","",TRIM(INDEX('Detalle individual'!$E:$E,$K134)))</f>
        <v>CAJERO</v>
      </c>
      <c r="F134" s="64" t="str">
        <f>IF($K134="","",TRIM(INDEX('Detalle individual'!$C:$C,$K134)))</f>
        <v>AGENCIA SANTA ANA</v>
      </c>
      <c r="G134" s="64" t="str">
        <f>IF($K134="","",INDEX('Detalle individual'!$D:$D,$K134))</f>
        <v>Gerencia de Negocios</v>
      </c>
      <c r="H134" s="63" t="str">
        <f>IF($K134="","",INDEX('Detalle individual'!$F:$F,$K134))</f>
        <v>Completado</v>
      </c>
      <c r="I134" s="77">
        <f>IF($K134="","",IF(INDEX('Detalle individual'!$F:$F,$K134)="Completado",INDEX('Detalle individual'!$H:$H,$K134),""))</f>
        <v>46309.62991898148</v>
      </c>
      <c r="J134" s="78">
        <f>IF($K134="","",IF(INDEX('Detalle individual'!$F:$F,$K134)="Completado",INDEX('Detalle individual'!$J:$J,$K134),""))</f>
        <v>90</v>
      </c>
      <c r="K134">
        <f>IFERROR(MOD(SMALL('Cálculos'!$Z$5:$Z$297,126),1000),"")</f>
        <v>233</v>
      </c>
    </row>
    <row r="135">
      <c r="B135" s="63">
        <f>IF($K135="","",127)</f>
        <v>127</v>
      </c>
      <c r="C135" s="63" t="str">
        <f>IF($K135="","",INDEX('Detalle individual'!$A:$A,$K135))</f>
        <v>954</v>
      </c>
      <c r="D135" s="64" t="str">
        <f>IF($K135="","",TRIM(INDEX('Detalle individual'!$B:$B,$K135)))</f>
        <v>LUIS GERARDO DUEÑAS VALLE</v>
      </c>
      <c r="E135" s="64" t="str">
        <f>IF($K135="","",TRIM(INDEX('Detalle individual'!$E:$E,$K135)))</f>
        <v>CAJERO</v>
      </c>
      <c r="F135" s="64" t="str">
        <f>IF($K135="","",TRIM(INDEX('Detalle individual'!$C:$C,$K135)))</f>
        <v>AGENCIA SANTA ANA</v>
      </c>
      <c r="G135" s="64" t="str">
        <f>IF($K135="","",INDEX('Detalle individual'!$D:$D,$K135))</f>
        <v>Gerencia de Negocios</v>
      </c>
      <c r="H135" s="63" t="str">
        <f>IF($K135="","",INDEX('Detalle individual'!$F:$F,$K135))</f>
        <v>Completado</v>
      </c>
      <c r="I135" s="77">
        <f>IF($K135="","",IF(INDEX('Detalle individual'!$F:$F,$K135)="Completado",INDEX('Detalle individual'!$H:$H,$K135),""))</f>
        <v>46309.63957175926</v>
      </c>
      <c r="J135" s="78">
        <f>IF($K135="","",IF(INDEX('Detalle individual'!$F:$F,$K135)="Completado",INDEX('Detalle individual'!$J:$J,$K135),""))</f>
        <v>90</v>
      </c>
      <c r="K135">
        <f>IFERROR(MOD(SMALL('Cálculos'!$Z$5:$Z$297,127),1000),"")</f>
        <v>236</v>
      </c>
    </row>
    <row r="136">
      <c r="B136" s="63">
        <f>IF($K136="","",128)</f>
        <v>128</v>
      </c>
      <c r="C136" s="63" t="str">
        <f>IF($K136="","",INDEX('Detalle individual'!$A:$A,$K136))</f>
        <v>755</v>
      </c>
      <c r="D136" s="64" t="str">
        <f>IF($K136="","",TRIM(INDEX('Detalle individual'!$B:$B,$K136)))</f>
        <v>MIGUEL ANGEL LEON MENA</v>
      </c>
      <c r="E136" s="64" t="str">
        <f>IF($K136="","",TRIM(INDEX('Detalle individual'!$E:$E,$K136)))</f>
        <v>CAJERO</v>
      </c>
      <c r="F136" s="64" t="str">
        <f>IF($K136="","",TRIM(INDEX('Detalle individual'!$C:$C,$K136)))</f>
        <v>AGENCIA SONSONATE</v>
      </c>
      <c r="G136" s="64" t="str">
        <f>IF($K136="","",INDEX('Detalle individual'!$D:$D,$K136))</f>
        <v>Gerencia de Negocios</v>
      </c>
      <c r="H136" s="63" t="str">
        <f>IF($K136="","",INDEX('Detalle individual'!$F:$F,$K136))</f>
        <v>Completado</v>
      </c>
      <c r="I136" s="77">
        <f>IF($K136="","",IF(INDEX('Detalle individual'!$F:$F,$K136)="Completado",INDEX('Detalle individual'!$H:$H,$K136),""))</f>
        <v>46308.456412037034</v>
      </c>
      <c r="J136" s="78">
        <f>IF($K136="","",IF(INDEX('Detalle individual'!$F:$F,$K136)="Completado",INDEX('Detalle individual'!$J:$J,$K136),""))</f>
        <v>80</v>
      </c>
      <c r="K136">
        <f>IFERROR(MOD(SMALL('Cálculos'!$Z$5:$Z$297,128),1000),"")</f>
        <v>242</v>
      </c>
    </row>
    <row r="137">
      <c r="B137" s="63">
        <f>IF($K137="","",129)</f>
        <v>129</v>
      </c>
      <c r="C137" s="63" t="str">
        <f>IF($K137="","",INDEX('Detalle individual'!$A:$A,$K137))</f>
        <v>456</v>
      </c>
      <c r="D137" s="64" t="str">
        <f>IF($K137="","",TRIM(INDEX('Detalle individual'!$B:$B,$K137)))</f>
        <v>LUCIANO DE JESUS SARAVIA BELTRAN</v>
      </c>
      <c r="E137" s="64" t="str">
        <f>IF($K137="","",TRIM(INDEX('Detalle individual'!$E:$E,$K137)))</f>
        <v>MENSAJERO</v>
      </c>
      <c r="F137" s="64" t="str">
        <f>IF($K137="","",TRIM(INDEX('Detalle individual'!$C:$C,$K137)))</f>
        <v>AGENCIA USULUTAN</v>
      </c>
      <c r="G137" s="64" t="str">
        <f>IF($K137="","",INDEX('Detalle individual'!$D:$D,$K137))</f>
        <v>Gerencia de Negocios</v>
      </c>
      <c r="H137" s="63" t="str">
        <f>IF($K137="","",INDEX('Detalle individual'!$F:$F,$K137))</f>
        <v>Completado</v>
      </c>
      <c r="I137" s="77">
        <f>IF($K137="","",IF(INDEX('Detalle individual'!$F:$F,$K137)="Completado",INDEX('Detalle individual'!$H:$H,$K137),""))</f>
        <v>46301.51369212963</v>
      </c>
      <c r="J137" s="78">
        <f>IF($K137="","",IF(INDEX('Detalle individual'!$F:$F,$K137)="Completado",INDEX('Detalle individual'!$J:$J,$K137),""))</f>
        <v>100</v>
      </c>
      <c r="K137">
        <f>IFERROR(MOD(SMALL('Cálculos'!$Z$5:$Z$297,129),1000),"")</f>
        <v>281</v>
      </c>
    </row>
    <row r="138">
      <c r="B138" s="63">
        <f>IF($K138="","",130)</f>
        <v>130</v>
      </c>
      <c r="C138" s="63" t="str">
        <f>IF($K138="","",INDEX('Detalle individual'!$A:$A,$K138))</f>
        <v>903</v>
      </c>
      <c r="D138" s="64" t="str">
        <f>IF($K138="","",TRIM(INDEX('Detalle individual'!$B:$B,$K138)))</f>
        <v>WENDY YAMILETH MARQUEZ VASQUEZ</v>
      </c>
      <c r="E138" s="64" t="str">
        <f>IF($K138="","",TRIM(INDEX('Detalle individual'!$E:$E,$K138)))</f>
        <v>JEFE DE AGENCIA</v>
      </c>
      <c r="F138" s="64" t="str">
        <f>IF($K138="","",TRIM(INDEX('Detalle individual'!$C:$C,$K138)))</f>
        <v>AGENCIA USULUTAN</v>
      </c>
      <c r="G138" s="64" t="str">
        <f>IF($K138="","",INDEX('Detalle individual'!$D:$D,$K138))</f>
        <v>Gerencia de Negocios</v>
      </c>
      <c r="H138" s="63" t="str">
        <f>IF($K138="","",INDEX('Detalle individual'!$F:$F,$K138))</f>
        <v>Completado</v>
      </c>
      <c r="I138" s="77">
        <f>IF($K138="","",IF(INDEX('Detalle individual'!$F:$F,$K138)="Completado",INDEX('Detalle individual'!$H:$H,$K138),""))</f>
        <v>46301.432337962964</v>
      </c>
      <c r="J138" s="78">
        <f>IF($K138="","",IF(INDEX('Detalle individual'!$F:$F,$K138)="Completado",INDEX('Detalle individual'!$J:$J,$K138),""))</f>
        <v>100</v>
      </c>
      <c r="K138">
        <f>IFERROR(MOD(SMALL('Cálculos'!$Z$5:$Z$297,130),1000),"")</f>
        <v>282</v>
      </c>
    </row>
    <row r="139">
      <c r="B139" s="63">
        <f>IF($K139="","",131)</f>
        <v>131</v>
      </c>
      <c r="C139" s="63" t="str">
        <f>IF($K139="","",INDEX('Detalle individual'!$A:$A,$K139))</f>
        <v>912</v>
      </c>
      <c r="D139" s="64" t="str">
        <f>IF($K139="","",TRIM(INDEX('Detalle individual'!$B:$B,$K139)))</f>
        <v>HECTOR MAURICIO GONZÁLEZ VÁSQUEZ</v>
      </c>
      <c r="E139" s="64" t="str">
        <f>IF($K139="","",TRIM(INDEX('Detalle individual'!$E:$E,$K139)))</f>
        <v>EJECUTIVO DE SEGUROS</v>
      </c>
      <c r="F139" s="64" t="str">
        <f>IF($K139="","",TRIM(INDEX('Detalle individual'!$C:$C,$K139)))</f>
        <v>AGENCIA USULUTAN</v>
      </c>
      <c r="G139" s="64" t="str">
        <f>IF($K139="","",INDEX('Detalle individual'!$D:$D,$K139))</f>
        <v>Gerencia de Negocios</v>
      </c>
      <c r="H139" s="63" t="str">
        <f>IF($K139="","",INDEX('Detalle individual'!$F:$F,$K139))</f>
        <v>Completado</v>
      </c>
      <c r="I139" s="77">
        <f>IF($K139="","",IF(INDEX('Detalle individual'!$F:$F,$K139)="Completado",INDEX('Detalle individual'!$H:$H,$K139),""))</f>
        <v>46303.45730324074</v>
      </c>
      <c r="J139" s="78">
        <f>IF($K139="","",IF(INDEX('Detalle individual'!$F:$F,$K139)="Completado",INDEX('Detalle individual'!$J:$J,$K139),""))</f>
        <v>100</v>
      </c>
      <c r="K139">
        <f>IFERROR(MOD(SMALL('Cálculos'!$Z$5:$Z$297,131),1000),"")</f>
        <v>283</v>
      </c>
    </row>
    <row r="140">
      <c r="B140" s="63">
        <f>IF($K140="","",132)</f>
        <v>132</v>
      </c>
      <c r="C140" s="63" t="str">
        <f>IF($K140="","",INDEX('Detalle individual'!$A:$A,$K140))</f>
        <v>917</v>
      </c>
      <c r="D140" s="64" t="str">
        <f>IF($K140="","",TRIM(INDEX('Detalle individual'!$B:$B,$K140)))</f>
        <v>LUIS MANUEL VALENCIA GUERRERO</v>
      </c>
      <c r="E140" s="64" t="str">
        <f>IF($K140="","",TRIM(INDEX('Detalle individual'!$E:$E,$K140)))</f>
        <v>SUBJEFE DE AGENCIA</v>
      </c>
      <c r="F140" s="64" t="str">
        <f>IF($K140="","",TRIM(INDEX('Detalle individual'!$C:$C,$K140)))</f>
        <v>AGENCIA USULUTAN</v>
      </c>
      <c r="G140" s="64" t="str">
        <f>IF($K140="","",INDEX('Detalle individual'!$D:$D,$K140))</f>
        <v>Gerencia de Negocios</v>
      </c>
      <c r="H140" s="63" t="str">
        <f>IF($K140="","",INDEX('Detalle individual'!$F:$F,$K140))</f>
        <v>Completado</v>
      </c>
      <c r="I140" s="77">
        <f>IF($K140="","",IF(INDEX('Detalle individual'!$F:$F,$K140)="Completado",INDEX('Detalle individual'!$H:$H,$K140),""))</f>
        <v>46309.4197337963</v>
      </c>
      <c r="J140" s="78">
        <f>IF($K140="","",IF(INDEX('Detalle individual'!$F:$F,$K140)="Completado",INDEX('Detalle individual'!$J:$J,$K140),""))</f>
        <v>100</v>
      </c>
      <c r="K140">
        <f>IFERROR(MOD(SMALL('Cálculos'!$Z$5:$Z$297,132),1000),"")</f>
        <v>284</v>
      </c>
    </row>
    <row r="141">
      <c r="B141" s="63">
        <f>IF($K141="","",133)</f>
        <v>133</v>
      </c>
      <c r="C141" s="63" t="str">
        <f>IF($K141="","",INDEX('Detalle individual'!$A:$A,$K141))</f>
        <v>951</v>
      </c>
      <c r="D141" s="64" t="str">
        <f>IF($K141="","",TRIM(INDEX('Detalle individual'!$B:$B,$K141)))</f>
        <v>MELVIN ELISEO HERNANDEZ MACHADO</v>
      </c>
      <c r="E141" s="64" t="str">
        <f>IF($K141="","",TRIM(INDEX('Detalle individual'!$E:$E,$K141)))</f>
        <v>EJECUTIVO DE NEGOCIOS</v>
      </c>
      <c r="F141" s="64" t="str">
        <f>IF($K141="","",TRIM(INDEX('Detalle individual'!$C:$C,$K141)))</f>
        <v>AGENCIA USULUTAN</v>
      </c>
      <c r="G141" s="64" t="str">
        <f>IF($K141="","",INDEX('Detalle individual'!$D:$D,$K141))</f>
        <v>Gerencia de Negocios</v>
      </c>
      <c r="H141" s="63" t="str">
        <f>IF($K141="","",INDEX('Detalle individual'!$F:$F,$K141))</f>
        <v>Completado</v>
      </c>
      <c r="I141" s="77">
        <f>IF($K141="","",IF(INDEX('Detalle individual'!$F:$F,$K141)="Completado",INDEX('Detalle individual'!$H:$H,$K141),""))</f>
        <v>46309.3825462963</v>
      </c>
      <c r="J141" s="78">
        <f>IF($K141="","",IF(INDEX('Detalle individual'!$F:$F,$K141)="Completado",INDEX('Detalle individual'!$J:$J,$K141),""))</f>
        <v>100</v>
      </c>
      <c r="K141">
        <f>IFERROR(MOD(SMALL('Cálculos'!$Z$5:$Z$297,133),1000),"")</f>
        <v>285</v>
      </c>
    </row>
    <row r="142">
      <c r="B142" s="63">
        <f>IF($K142="","",134)</f>
        <v>134</v>
      </c>
      <c r="C142" s="63" t="str">
        <f>IF($K142="","",INDEX('Detalle individual'!$A:$A,$K142))</f>
        <v>961</v>
      </c>
      <c r="D142" s="64" t="str">
        <f>IF($K142="","",TRIM(INDEX('Detalle individual'!$B:$B,$K142)))</f>
        <v>FATIMA LISSETTE HERNANDEZ MEJIA</v>
      </c>
      <c r="E142" s="64" t="str">
        <f>IF($K142="","",TRIM(INDEX('Detalle individual'!$E:$E,$K142)))</f>
        <v>CAJERO</v>
      </c>
      <c r="F142" s="64" t="str">
        <f>IF($K142="","",TRIM(INDEX('Detalle individual'!$C:$C,$K142)))</f>
        <v>AGENCIA USULUTAN</v>
      </c>
      <c r="G142" s="64" t="str">
        <f>IF($K142="","",INDEX('Detalle individual'!$D:$D,$K142))</f>
        <v>Gerencia de Negocios</v>
      </c>
      <c r="H142" s="63" t="str">
        <f>IF($K142="","",INDEX('Detalle individual'!$F:$F,$K142))</f>
        <v>Completado</v>
      </c>
      <c r="I142" s="77">
        <f>IF($K142="","",IF(INDEX('Detalle individual'!$F:$F,$K142)="Completado",INDEX('Detalle individual'!$H:$H,$K142),""))</f>
        <v>46303.544328703705</v>
      </c>
      <c r="J142" s="78">
        <f>IF($K142="","",IF(INDEX('Detalle individual'!$F:$F,$K142)="Completado",INDEX('Detalle individual'!$J:$J,$K142),""))</f>
        <v>100</v>
      </c>
      <c r="K142">
        <f>IFERROR(MOD(SMALL('Cálculos'!$Z$5:$Z$297,134),1000),"")</f>
        <v>286</v>
      </c>
    </row>
    <row r="143">
      <c r="B143" s="63">
        <f>IF($K143="","",135)</f>
        <v>135</v>
      </c>
      <c r="C143" s="63" t="str">
        <f>IF($K143="","",INDEX('Detalle individual'!$A:$A,$K143))</f>
        <v>970</v>
      </c>
      <c r="D143" s="64" t="str">
        <f>IF($K143="","",TRIM(INDEX('Detalle individual'!$B:$B,$K143)))</f>
        <v>EDUARDO JOSE GAMEZ VILLATORO</v>
      </c>
      <c r="E143" s="64" t="str">
        <f>IF($K143="","",TRIM(INDEX('Detalle individual'!$E:$E,$K143)))</f>
        <v>CAJERO</v>
      </c>
      <c r="F143" s="64" t="str">
        <f>IF($K143="","",TRIM(INDEX('Detalle individual'!$C:$C,$K143)))</f>
        <v>AGENCIA USULUTAN</v>
      </c>
      <c r="G143" s="64" t="str">
        <f>IF($K143="","",INDEX('Detalle individual'!$D:$D,$K143))</f>
        <v>Gerencia de Negocios</v>
      </c>
      <c r="H143" s="63" t="str">
        <f>IF($K143="","",INDEX('Detalle individual'!$F:$F,$K143))</f>
        <v>Completado</v>
      </c>
      <c r="I143" s="77">
        <f>IF($K143="","",IF(INDEX('Detalle individual'!$F:$F,$K143)="Completado",INDEX('Detalle individual'!$H:$H,$K143),""))</f>
        <v>46309.37625</v>
      </c>
      <c r="J143" s="78">
        <f>IF($K143="","",IF(INDEX('Detalle individual'!$F:$F,$K143)="Completado",INDEX('Detalle individual'!$J:$J,$K143),""))</f>
        <v>100</v>
      </c>
      <c r="K143">
        <f>IFERROR(MOD(SMALL('Cálculos'!$Z$5:$Z$297,135),1000),"")</f>
        <v>287</v>
      </c>
    </row>
    <row r="144">
      <c r="B144" s="63">
        <f>IF($K144="","",136)</f>
        <v>136</v>
      </c>
      <c r="C144" s="63" t="str">
        <f>IF($K144="","",INDEX('Detalle individual'!$A:$A,$K144))</f>
        <v>590</v>
      </c>
      <c r="D144" s="64" t="str">
        <f>IF($K144="","",TRIM(INDEX('Detalle individual'!$B:$B,$K144)))</f>
        <v>LORENA ELIZABETH GALDAMEZ NUÑEZ</v>
      </c>
      <c r="E144" s="64" t="str">
        <f>IF($K144="","",TRIM(INDEX('Detalle individual'!$E:$E,$K144)))</f>
        <v>MEDICO</v>
      </c>
      <c r="F144" s="64" t="str">
        <f>IF($K144="","",TRIM(INDEX('Detalle individual'!$C:$C,$K144)))</f>
        <v>CLINICA EMPRESARIAL</v>
      </c>
      <c r="G144" s="64" t="str">
        <f>IF($K144="","",INDEX('Detalle individual'!$D:$D,$K144))</f>
        <v>Gerencia Administrativa</v>
      </c>
      <c r="H144" s="63" t="str">
        <f>IF($K144="","",INDEX('Detalle individual'!$F:$F,$K144))</f>
        <v>Completado</v>
      </c>
      <c r="I144" s="77">
        <f>IF($K144="","",IF(INDEX('Detalle individual'!$F:$F,$K144)="Completado",INDEX('Detalle individual'!$H:$H,$K144),""))</f>
        <v>46305.408738425926</v>
      </c>
      <c r="J144" s="78">
        <f>IF($K144="","",IF(INDEX('Detalle individual'!$F:$F,$K144)="Completado",INDEX('Detalle individual'!$J:$J,$K144),""))</f>
        <v>100</v>
      </c>
      <c r="K144">
        <f>IFERROR(MOD(SMALL('Cálculos'!$Z$5:$Z$297,136),1000),"")</f>
        <v>54</v>
      </c>
    </row>
    <row r="145">
      <c r="B145" s="63">
        <f>IF($K145="","",137)</f>
        <v>137</v>
      </c>
      <c r="C145" s="63" t="str">
        <f>IF($K145="","",INDEX('Detalle individual'!$A:$A,$K145))</f>
        <v>609</v>
      </c>
      <c r="D145" s="64" t="str">
        <f>IF($K145="","",TRIM(INDEX('Detalle individual'!$B:$B,$K145)))</f>
        <v>GLADIS OSIRIS VALLE HERNANDEZ</v>
      </c>
      <c r="E145" s="64" t="str">
        <f>IF($K145="","",TRIM(INDEX('Detalle individual'!$E:$E,$K145)))</f>
        <v>ENFERMERA</v>
      </c>
      <c r="F145" s="64" t="str">
        <f>IF($K145="","",TRIM(INDEX('Detalle individual'!$C:$C,$K145)))</f>
        <v>CLINICA EMPRESARIAL</v>
      </c>
      <c r="G145" s="64" t="str">
        <f>IF($K145="","",INDEX('Detalle individual'!$D:$D,$K145))</f>
        <v>Gerencia Administrativa</v>
      </c>
      <c r="H145" s="63" t="str">
        <f>IF($K145="","",INDEX('Detalle individual'!$F:$F,$K145))</f>
        <v>Completado</v>
      </c>
      <c r="I145" s="77">
        <f>IF($K145="","",IF(INDEX('Detalle individual'!$F:$F,$K145)="Completado",INDEX('Detalle individual'!$H:$H,$K145),""))</f>
        <v>46305.41128472222</v>
      </c>
      <c r="J145" s="78">
        <f>IF($K145="","",IF(INDEX('Detalle individual'!$F:$F,$K145)="Completado",INDEX('Detalle individual'!$J:$J,$K145),""))</f>
        <v>100</v>
      </c>
      <c r="K145">
        <f>IFERROR(MOD(SMALL('Cálculos'!$Z$5:$Z$297,137),1000),"")</f>
        <v>55</v>
      </c>
    </row>
    <row r="146">
      <c r="B146" s="63">
        <f>IF($K146="","",138)</f>
        <v>138</v>
      </c>
      <c r="C146" s="63" t="str">
        <f>IF($K146="","",INDEX('Detalle individual'!$A:$A,$K146))</f>
        <v>53</v>
      </c>
      <c r="D146" s="64" t="str">
        <f>IF($K146="","",TRIM(INDEX('Detalle individual'!$B:$B,$K146)))</f>
        <v>CLAUDIA MARIA GIMENEZ PEREZ</v>
      </c>
      <c r="E146" s="64" t="str">
        <f>IF($K146="","",TRIM(INDEX('Detalle individual'!$E:$E,$K146)))</f>
        <v>ASISTENTE DEL CONSEJO DE ADMINISTRACION</v>
      </c>
      <c r="F146" s="64" t="str">
        <f>IF($K146="","",TRIM(INDEX('Detalle individual'!$C:$C,$K146)))</f>
        <v>CONSEJO DE ADMINISTRACION</v>
      </c>
      <c r="G146" s="64" t="str">
        <f>IF($K146="","",INDEX('Detalle individual'!$D:$D,$K146))</f>
        <v>Consejo de Administración</v>
      </c>
      <c r="H146" s="63" t="str">
        <f>IF($K146="","",INDEX('Detalle individual'!$F:$F,$K146))</f>
        <v>Completado</v>
      </c>
      <c r="I146" s="77">
        <f>IF($K146="","",IF(INDEX('Detalle individual'!$F:$F,$K146)="Completado",INDEX('Detalle individual'!$H:$H,$K146),""))</f>
        <v>46300.658009259256</v>
      </c>
      <c r="J146" s="78">
        <f>IF($K146="","",IF(INDEX('Detalle individual'!$F:$F,$K146)="Completado",INDEX('Detalle individual'!$J:$J,$K146),""))</f>
        <v>90</v>
      </c>
      <c r="K146">
        <f>IFERROR(MOD(SMALL('Cálculos'!$Z$5:$Z$297,138),1000),"")</f>
        <v>296</v>
      </c>
    </row>
    <row r="147">
      <c r="B147" s="63">
        <f>IF($K147="","",139)</f>
        <v>139</v>
      </c>
      <c r="C147" s="63" t="str">
        <f>IF($K147="","",INDEX('Detalle individual'!$A:$A,$K147))</f>
        <v>422</v>
      </c>
      <c r="D147" s="64" t="str">
        <f>IF($K147="","",TRIM(INDEX('Detalle individual'!$B:$B,$K147)))</f>
        <v>CLAUDIA VERONICA LARA RODAS</v>
      </c>
      <c r="E147" s="64" t="str">
        <f>IF($K147="","",TRIM(INDEX('Detalle individual'!$E:$E,$K147)))</f>
        <v>ASISTENTE COMERCIAL DE TARJETA DE CREDITO</v>
      </c>
      <c r="F147" s="64" t="str">
        <f>IF($K147="","",TRIM(INDEX('Detalle individual'!$C:$C,$K147)))</f>
        <v>DEPARTAMENTO COMERCIAL DE TARJETA DE CREDITO Y DEBITO</v>
      </c>
      <c r="G147" s="64" t="str">
        <f>IF($K147="","",INDEX('Detalle individual'!$D:$D,$K147))</f>
        <v>Gerencia de Negocios</v>
      </c>
      <c r="H147" s="63" t="str">
        <f>IF($K147="","",INDEX('Detalle individual'!$F:$F,$K147))</f>
        <v>Completado</v>
      </c>
      <c r="I147" s="77">
        <f>IF($K147="","",IF(INDEX('Detalle individual'!$F:$F,$K147)="Completado",INDEX('Detalle individual'!$H:$H,$K147),""))</f>
        <v>46304.41396990741</v>
      </c>
      <c r="J147" s="78">
        <f>IF($K147="","",IF(INDEX('Detalle individual'!$F:$F,$K147)="Completado",INDEX('Detalle individual'!$J:$J,$K147),""))</f>
        <v>100</v>
      </c>
      <c r="K147">
        <f>IFERROR(MOD(SMALL('Cálculos'!$Z$5:$Z$297,139),1000),"")</f>
        <v>176</v>
      </c>
    </row>
    <row r="148">
      <c r="B148" s="63">
        <f>IF($K148="","",140)</f>
        <v>140</v>
      </c>
      <c r="C148" s="63" t="str">
        <f>IF($K148="","",INDEX('Detalle individual'!$A:$A,$K148))</f>
        <v>533</v>
      </c>
      <c r="D148" s="64" t="str">
        <f>IF($K148="","",TRIM(INDEX('Detalle individual'!$B:$B,$K148)))</f>
        <v>LIDIA PATRICIA MORALES AVALOS</v>
      </c>
      <c r="E148" s="64" t="str">
        <f>IF($K148="","",TRIM(INDEX('Detalle individual'!$E:$E,$K148)))</f>
        <v>JEFE COMERCIAL DE TARJETA DE CREDITO</v>
      </c>
      <c r="F148" s="64" t="str">
        <f>IF($K148="","",TRIM(INDEX('Detalle individual'!$C:$C,$K148)))</f>
        <v>DEPARTAMENTO COMERCIAL DE TARJETA DE CREDITO Y DEBITO</v>
      </c>
      <c r="G148" s="64" t="str">
        <f>IF($K148="","",INDEX('Detalle individual'!$D:$D,$K148))</f>
        <v>Gerencia de Negocios</v>
      </c>
      <c r="H148" s="63" t="str">
        <f>IF($K148="","",INDEX('Detalle individual'!$F:$F,$K148))</f>
        <v>Completado</v>
      </c>
      <c r="I148" s="77">
        <f>IF($K148="","",IF(INDEX('Detalle individual'!$F:$F,$K148)="Completado",INDEX('Detalle individual'!$H:$H,$K148),""))</f>
        <v>46304.7809837963</v>
      </c>
      <c r="J148" s="78">
        <f>IF($K148="","",IF(INDEX('Detalle individual'!$F:$F,$K148)="Completado",INDEX('Detalle individual'!$J:$J,$K148),""))</f>
        <v>90</v>
      </c>
      <c r="K148">
        <f>IFERROR(MOD(SMALL('Cálculos'!$Z$5:$Z$297,140),1000),"")</f>
        <v>177</v>
      </c>
    </row>
    <row r="149">
      <c r="B149" s="63">
        <f>IF($K149="","",141)</f>
        <v>141</v>
      </c>
      <c r="C149" s="63" t="str">
        <f>IF($K149="","",INDEX('Detalle individual'!$A:$A,$K149))</f>
        <v>654</v>
      </c>
      <c r="D149" s="64" t="str">
        <f>IF($K149="","",TRIM(INDEX('Detalle individual'!$B:$B,$K149)))</f>
        <v>GABRIELA ALEJANDRA RODRIGUEZ ARIAS</v>
      </c>
      <c r="E149" s="64" t="str">
        <f>IF($K149="","",TRIM(INDEX('Detalle individual'!$E:$E,$K149)))</f>
        <v>AUXILIAR DE ATENCION AL CLIENTE</v>
      </c>
      <c r="F149" s="64" t="str">
        <f>IF($K149="","",TRIM(INDEX('Detalle individual'!$C:$C,$K149)))</f>
        <v>DEPARTAMENTO COMERCIAL DE TARJETA DE CREDITO Y DEBITO</v>
      </c>
      <c r="G149" s="64" t="str">
        <f>IF($K149="","",INDEX('Detalle individual'!$D:$D,$K149))</f>
        <v>Gerencia de Negocios</v>
      </c>
      <c r="H149" s="63" t="str">
        <f>IF($K149="","",INDEX('Detalle individual'!$F:$F,$K149))</f>
        <v>Completado</v>
      </c>
      <c r="I149" s="77">
        <f>IF($K149="","",IF(INDEX('Detalle individual'!$F:$F,$K149)="Completado",INDEX('Detalle individual'!$H:$H,$K149),""))</f>
        <v>46304.678506944445</v>
      </c>
      <c r="J149" s="78">
        <f>IF($K149="","",IF(INDEX('Detalle individual'!$F:$F,$K149)="Completado",INDEX('Detalle individual'!$J:$J,$K149),""))</f>
        <v>80</v>
      </c>
      <c r="K149">
        <f>IFERROR(MOD(SMALL('Cálculos'!$Z$5:$Z$297,141),1000),"")</f>
        <v>178</v>
      </c>
    </row>
    <row r="150">
      <c r="B150" s="63">
        <f>IF($K150="","",142)</f>
        <v>142</v>
      </c>
      <c r="C150" s="63" t="str">
        <f>IF($K150="","",INDEX('Detalle individual'!$A:$A,$K150))</f>
        <v>655</v>
      </c>
      <c r="D150" s="64" t="str">
        <f>IF($K150="","",TRIM(INDEX('Detalle individual'!$B:$B,$K150)))</f>
        <v>JOSE ALEXANDER ABREGO</v>
      </c>
      <c r="E150" s="64" t="str">
        <f>IF($K150="","",TRIM(INDEX('Detalle individual'!$E:$E,$K150)))</f>
        <v>EJECUTIVO DE NEGOCIOS</v>
      </c>
      <c r="F150" s="64" t="str">
        <f>IF($K150="","",TRIM(INDEX('Detalle individual'!$C:$C,$K150)))</f>
        <v>DEPARTAMENTO COMERCIAL DE TARJETA DE CREDITO Y DEBITO</v>
      </c>
      <c r="G150" s="64" t="str">
        <f>IF($K150="","",INDEX('Detalle individual'!$D:$D,$K150))</f>
        <v>Gerencia de Negocios</v>
      </c>
      <c r="H150" s="63" t="str">
        <f>IF($K150="","",INDEX('Detalle individual'!$F:$F,$K150))</f>
        <v>Completado</v>
      </c>
      <c r="I150" s="77">
        <f>IF($K150="","",IF(INDEX('Detalle individual'!$F:$F,$K150)="Completado",INDEX('Detalle individual'!$H:$H,$K150),""))</f>
        <v>46305.51431712963</v>
      </c>
      <c r="J150" s="78">
        <f>IF($K150="","",IF(INDEX('Detalle individual'!$F:$F,$K150)="Completado",INDEX('Detalle individual'!$J:$J,$K150),""))</f>
        <v>65</v>
      </c>
      <c r="K150">
        <f>IFERROR(MOD(SMALL('Cálculos'!$Z$5:$Z$297,142),1000),"")</f>
        <v>179</v>
      </c>
    </row>
    <row r="151">
      <c r="B151" s="63">
        <f>IF($K151="","",143)</f>
        <v>143</v>
      </c>
      <c r="C151" s="63" t="str">
        <f>IF($K151="","",INDEX('Detalle individual'!$A:$A,$K151))</f>
        <v>669</v>
      </c>
      <c r="D151" s="64" t="str">
        <f>IF($K151="","",TRIM(INDEX('Detalle individual'!$B:$B,$K151)))</f>
        <v>ANTONIO ALEXANDER ALFARO ARGUETA</v>
      </c>
      <c r="E151" s="64" t="str">
        <f>IF($K151="","",TRIM(INDEX('Detalle individual'!$E:$E,$K151)))</f>
        <v>EJECUTIVO DE NEGOCIOS</v>
      </c>
      <c r="F151" s="64" t="str">
        <f>IF($K151="","",TRIM(INDEX('Detalle individual'!$C:$C,$K151)))</f>
        <v>DEPARTAMENTO COMERCIAL DE TARJETA DE CREDITO Y DEBITO</v>
      </c>
      <c r="G151" s="64" t="str">
        <f>IF($K151="","",INDEX('Detalle individual'!$D:$D,$K151))</f>
        <v>Gerencia de Negocios</v>
      </c>
      <c r="H151" s="63" t="str">
        <f>IF($K151="","",INDEX('Detalle individual'!$F:$F,$K151))</f>
        <v>Completado</v>
      </c>
      <c r="I151" s="77">
        <f>IF($K151="","",IF(INDEX('Detalle individual'!$F:$F,$K151)="Completado",INDEX('Detalle individual'!$H:$H,$K151),""))</f>
        <v>46305.48725694444</v>
      </c>
      <c r="J151" s="78">
        <f>IF($K151="","",IF(INDEX('Detalle individual'!$F:$F,$K151)="Completado",INDEX('Detalle individual'!$J:$J,$K151),""))</f>
        <v>90</v>
      </c>
      <c r="K151">
        <f>IFERROR(MOD(SMALL('Cálculos'!$Z$5:$Z$297,143),1000),"")</f>
        <v>180</v>
      </c>
    </row>
    <row r="152">
      <c r="B152" s="63">
        <f>IF($K152="","",144)</f>
        <v>144</v>
      </c>
      <c r="C152" s="63" t="str">
        <f>IF($K152="","",INDEX('Detalle individual'!$A:$A,$K152))</f>
        <v>715</v>
      </c>
      <c r="D152" s="64" t="str">
        <f>IF($K152="","",TRIM(INDEX('Detalle individual'!$B:$B,$K152)))</f>
        <v>KAREN MARCELA BARILLAS MOLINA</v>
      </c>
      <c r="E152" s="64" t="str">
        <f>IF($K152="","",TRIM(INDEX('Detalle individual'!$E:$E,$K152)))</f>
        <v>AUXILIAR DE ATENCION AL TARJETAHABIENTE</v>
      </c>
      <c r="F152" s="64" t="str">
        <f>IF($K152="","",TRIM(INDEX('Detalle individual'!$C:$C,$K152)))</f>
        <v>DEPARTAMENTO COMERCIAL DE TARJETA DE CREDITO Y DEBITO</v>
      </c>
      <c r="G152" s="64" t="str">
        <f>IF($K152="","",INDEX('Detalle individual'!$D:$D,$K152))</f>
        <v>Gerencia de Negocios</v>
      </c>
      <c r="H152" s="63" t="str">
        <f>IF($K152="","",INDEX('Detalle individual'!$F:$F,$K152))</f>
        <v>Completado</v>
      </c>
      <c r="I152" s="77">
        <f>IF($K152="","",IF(INDEX('Detalle individual'!$F:$F,$K152)="Completado",INDEX('Detalle individual'!$H:$H,$K152),""))</f>
        <v>46297.71334490741</v>
      </c>
      <c r="J152" s="78">
        <f>IF($K152="","",IF(INDEX('Detalle individual'!$F:$F,$K152)="Completado",INDEX('Detalle individual'!$J:$J,$K152),""))</f>
        <v>85</v>
      </c>
      <c r="K152">
        <f>IFERROR(MOD(SMALL('Cálculos'!$Z$5:$Z$297,144),1000),"")</f>
        <v>181</v>
      </c>
    </row>
    <row r="153">
      <c r="B153" s="63">
        <f>IF($K153="","",145)</f>
        <v>145</v>
      </c>
      <c r="C153" s="63" t="str">
        <f>IF($K153="","",INDEX('Detalle individual'!$A:$A,$K153))</f>
        <v>858</v>
      </c>
      <c r="D153" s="64" t="str">
        <f>IF($K153="","",TRIM(INDEX('Detalle individual'!$B:$B,$K153)))</f>
        <v>GABRIEL FRANCISCO MOLINA DIAZ</v>
      </c>
      <c r="E153" s="64" t="str">
        <f>IF($K153="","",TRIM(INDEX('Detalle individual'!$E:$E,$K153)))</f>
        <v>EJECUTIVO DE NEGOCIOS</v>
      </c>
      <c r="F153" s="64" t="str">
        <f>IF($K153="","",TRIM(INDEX('Detalle individual'!$C:$C,$K153)))</f>
        <v>DEPARTAMENTO COMERCIAL DE TARJETA DE CREDITO Y DEBITO</v>
      </c>
      <c r="G153" s="64" t="str">
        <f>IF($K153="","",INDEX('Detalle individual'!$D:$D,$K153))</f>
        <v>Gerencia de Negocios</v>
      </c>
      <c r="H153" s="63" t="str">
        <f>IF($K153="","",INDEX('Detalle individual'!$F:$F,$K153))</f>
        <v>Completado</v>
      </c>
      <c r="I153" s="77">
        <f>IF($K153="","",IF(INDEX('Detalle individual'!$F:$F,$K153)="Completado",INDEX('Detalle individual'!$H:$H,$K153),""))</f>
        <v>46305.49159722222</v>
      </c>
      <c r="J153" s="78">
        <f>IF($K153="","",IF(INDEX('Detalle individual'!$F:$F,$K153)="Completado",INDEX('Detalle individual'!$J:$J,$K153),""))</f>
        <v>95</v>
      </c>
      <c r="K153">
        <f>IFERROR(MOD(SMALL('Cálculos'!$Z$5:$Z$297,145),1000),"")</f>
        <v>183</v>
      </c>
    </row>
    <row r="154">
      <c r="B154" s="63">
        <f>IF($K154="","",146)</f>
        <v>146</v>
      </c>
      <c r="C154" s="63" t="str">
        <f>IF($K154="","",INDEX('Detalle individual'!$A:$A,$K154))</f>
        <v>239</v>
      </c>
      <c r="D154" s="64" t="str">
        <f>IF($K154="","",TRIM(INDEX('Detalle individual'!$B:$B,$K154)))</f>
        <v>CELINA MARGARITA GUTIERREZ RODRIGUEZ</v>
      </c>
      <c r="E154" s="64" t="str">
        <f>IF($K154="","",TRIM(INDEX('Detalle individual'!$E:$E,$K154)))</f>
        <v>ANALISTA PROGRAMADOR SENIOR</v>
      </c>
      <c r="F154" s="64" t="str">
        <f>IF($K154="","",TRIM(INDEX('Detalle individual'!$C:$C,$K154)))</f>
        <v>DEPARTAMENTO DE ANALISIS Y PROGRAMACIÓN</v>
      </c>
      <c r="G154" s="64" t="str">
        <f>IF($K154="","",INDEX('Detalle individual'!$D:$D,$K154))</f>
        <v>Gerencia de Sistemas</v>
      </c>
      <c r="H154" s="63" t="str">
        <f>IF($K154="","",INDEX('Detalle individual'!$F:$F,$K154))</f>
        <v>Completado</v>
      </c>
      <c r="I154" s="77">
        <f>IF($K154="","",IF(INDEX('Detalle individual'!$F:$F,$K154)="Completado",INDEX('Detalle individual'!$H:$H,$K154),""))</f>
        <v>46296.65938657407</v>
      </c>
      <c r="J154" s="78">
        <f>IF($K154="","",IF(INDEX('Detalle individual'!$F:$F,$K154)="Completado",INDEX('Detalle individual'!$J:$J,$K154),""))</f>
        <v>100</v>
      </c>
      <c r="K154">
        <f>IFERROR(MOD(SMALL('Cálculos'!$Z$5:$Z$297,146),1000),"")</f>
        <v>111</v>
      </c>
    </row>
    <row r="155">
      <c r="B155" s="63">
        <f>IF($K155="","",147)</f>
        <v>147</v>
      </c>
      <c r="C155" s="63" t="str">
        <f>IF($K155="","",INDEX('Detalle individual'!$A:$A,$K155))</f>
        <v>320</v>
      </c>
      <c r="D155" s="64" t="str">
        <f>IF($K155="","",TRIM(INDEX('Detalle individual'!$B:$B,$K155)))</f>
        <v>HILDA MARGARITA ABREGO BRAN</v>
      </c>
      <c r="E155" s="64" t="str">
        <f>IF($K155="","",TRIM(INDEX('Detalle individual'!$E:$E,$K155)))</f>
        <v>ANALISTA QA</v>
      </c>
      <c r="F155" s="64" t="str">
        <f>IF($K155="","",TRIM(INDEX('Detalle individual'!$C:$C,$K155)))</f>
        <v>DEPARTAMENTO DE ANALISIS Y PROGRAMACIÓN</v>
      </c>
      <c r="G155" s="64" t="str">
        <f>IF($K155="","",INDEX('Detalle individual'!$D:$D,$K155))</f>
        <v>Gerencia de Sistemas</v>
      </c>
      <c r="H155" s="63" t="str">
        <f>IF($K155="","",INDEX('Detalle individual'!$F:$F,$K155))</f>
        <v>Completado</v>
      </c>
      <c r="I155" s="77">
        <f>IF($K155="","",IF(INDEX('Detalle individual'!$F:$F,$K155)="Completado",INDEX('Detalle individual'!$H:$H,$K155),""))</f>
        <v>46296.59023148148</v>
      </c>
      <c r="J155" s="78">
        <f>IF($K155="","",IF(INDEX('Detalle individual'!$F:$F,$K155)="Completado",INDEX('Detalle individual'!$J:$J,$K155),""))</f>
        <v>100</v>
      </c>
      <c r="K155">
        <f>IFERROR(MOD(SMALL('Cálculos'!$Z$5:$Z$297,147),1000),"")</f>
        <v>112</v>
      </c>
    </row>
    <row r="156">
      <c r="B156" s="63">
        <f>IF($K156="","",148)</f>
        <v>148</v>
      </c>
      <c r="C156" s="63" t="str">
        <f>IF($K156="","",INDEX('Detalle individual'!$A:$A,$K156))</f>
        <v>410</v>
      </c>
      <c r="D156" s="64" t="str">
        <f>IF($K156="","",TRIM(INDEX('Detalle individual'!$B:$B,$K156)))</f>
        <v>CLAUDIA MARGARITA CAMPOS GONZÁLEZ</v>
      </c>
      <c r="E156" s="64" t="str">
        <f>IF($K156="","",TRIM(INDEX('Detalle individual'!$E:$E,$K156)))</f>
        <v>JEFE DE ANALISIS Y PROGRAMACION</v>
      </c>
      <c r="F156" s="64" t="str">
        <f>IF($K156="","",TRIM(INDEX('Detalle individual'!$C:$C,$K156)))</f>
        <v>DEPARTAMENTO DE ANALISIS Y PROGRAMACIÓN</v>
      </c>
      <c r="G156" s="64" t="str">
        <f>IF($K156="","",INDEX('Detalle individual'!$D:$D,$K156))</f>
        <v>Gerencia de Sistemas</v>
      </c>
      <c r="H156" s="63" t="str">
        <f>IF($K156="","",INDEX('Detalle individual'!$F:$F,$K156))</f>
        <v>Completado</v>
      </c>
      <c r="I156" s="77">
        <f>IF($K156="","",IF(INDEX('Detalle individual'!$F:$F,$K156)="Completado",INDEX('Detalle individual'!$H:$H,$K156),""))</f>
        <v>46307.69321759259</v>
      </c>
      <c r="J156" s="78">
        <f>IF($K156="","",IF(INDEX('Detalle individual'!$F:$F,$K156)="Completado",INDEX('Detalle individual'!$J:$J,$K156),""))</f>
        <v>100</v>
      </c>
      <c r="K156">
        <f>IFERROR(MOD(SMALL('Cálculos'!$Z$5:$Z$297,148),1000),"")</f>
        <v>113</v>
      </c>
    </row>
    <row r="157">
      <c r="B157" s="63">
        <f>IF($K157="","",149)</f>
        <v>149</v>
      </c>
      <c r="C157" s="63" t="str">
        <f>IF($K157="","",INDEX('Detalle individual'!$A:$A,$K157))</f>
        <v>474</v>
      </c>
      <c r="D157" s="64" t="str">
        <f>IF($K157="","",TRIM(INDEX('Detalle individual'!$B:$B,$K157)))</f>
        <v>GLADIS EVELIN CASTILLO TORRES</v>
      </c>
      <c r="E157" s="64" t="str">
        <f>IF($K157="","",TRIM(INDEX('Detalle individual'!$E:$E,$K157)))</f>
        <v>ANALISTA PROGRAMADOR SENIOR</v>
      </c>
      <c r="F157" s="64" t="str">
        <f>IF($K157="","",TRIM(INDEX('Detalle individual'!$C:$C,$K157)))</f>
        <v>DEPARTAMENTO DE ANALISIS Y PROGRAMACIÓN</v>
      </c>
      <c r="G157" s="64" t="str">
        <f>IF($K157="","",INDEX('Detalle individual'!$D:$D,$K157))</f>
        <v>Gerencia de Sistemas</v>
      </c>
      <c r="H157" s="63" t="str">
        <f>IF($K157="","",INDEX('Detalle individual'!$F:$F,$K157))</f>
        <v>Completado</v>
      </c>
      <c r="I157" s="77">
        <f>IF($K157="","",IF(INDEX('Detalle individual'!$F:$F,$K157)="Completado",INDEX('Detalle individual'!$H:$H,$K157),""))</f>
        <v>46297.48825231481</v>
      </c>
      <c r="J157" s="78">
        <f>IF($K157="","",IF(INDEX('Detalle individual'!$F:$F,$K157)="Completado",INDEX('Detalle individual'!$J:$J,$K157),""))</f>
        <v>100</v>
      </c>
      <c r="K157">
        <f>IFERROR(MOD(SMALL('Cálculos'!$Z$5:$Z$297,149),1000),"")</f>
        <v>114</v>
      </c>
    </row>
    <row r="158">
      <c r="B158" s="63">
        <f>IF($K158="","",150)</f>
        <v>150</v>
      </c>
      <c r="C158" s="63" t="str">
        <f>IF($K158="","",INDEX('Detalle individual'!$A:$A,$K158))</f>
        <v>680</v>
      </c>
      <c r="D158" s="64" t="str">
        <f>IF($K158="","",TRIM(INDEX('Detalle individual'!$B:$B,$K158)))</f>
        <v>CARLOS FRANCISCO HERNANDEZ MUÑOZ</v>
      </c>
      <c r="E158" s="64" t="str">
        <f>IF($K158="","",TRIM(INDEX('Detalle individual'!$E:$E,$K158)))</f>
        <v>ANALISTA QA</v>
      </c>
      <c r="F158" s="64" t="str">
        <f>IF($K158="","",TRIM(INDEX('Detalle individual'!$C:$C,$K158)))</f>
        <v>DEPARTAMENTO DE ANALISIS Y PROGRAMACIÓN</v>
      </c>
      <c r="G158" s="64" t="str">
        <f>IF($K158="","",INDEX('Detalle individual'!$D:$D,$K158))</f>
        <v>Gerencia de Sistemas</v>
      </c>
      <c r="H158" s="63" t="str">
        <f>IF($K158="","",INDEX('Detalle individual'!$F:$F,$K158))</f>
        <v>Completado</v>
      </c>
      <c r="I158" s="77">
        <f>IF($K158="","",IF(INDEX('Detalle individual'!$F:$F,$K158)="Completado",INDEX('Detalle individual'!$H:$H,$K158),""))</f>
        <v>46300.39171296296</v>
      </c>
      <c r="J158" s="78">
        <f>IF($K158="","",IF(INDEX('Detalle individual'!$F:$F,$K158)="Completado",INDEX('Detalle individual'!$J:$J,$K158),""))</f>
        <v>100</v>
      </c>
      <c r="K158">
        <f>IFERROR(MOD(SMALL('Cálculos'!$Z$5:$Z$297,150),1000),"")</f>
        <v>115</v>
      </c>
    </row>
    <row r="159">
      <c r="B159" s="63">
        <f>IF($K159="","",151)</f>
        <v>151</v>
      </c>
      <c r="C159" s="63" t="str">
        <f>IF($K159="","",INDEX('Detalle individual'!$A:$A,$K159))</f>
        <v>752</v>
      </c>
      <c r="D159" s="64" t="str">
        <f>IF($K159="","",TRIM(INDEX('Detalle individual'!$B:$B,$K159)))</f>
        <v>JEAN HARRY MIRANDA ARAUJO</v>
      </c>
      <c r="E159" s="64" t="str">
        <f>IF($K159="","",TRIM(INDEX('Detalle individual'!$E:$E,$K159)))</f>
        <v>ANALISTA PROGRAMADOR</v>
      </c>
      <c r="F159" s="64" t="str">
        <f>IF($K159="","",TRIM(INDEX('Detalle individual'!$C:$C,$K159)))</f>
        <v>DEPARTAMENTO DE ANALISIS Y PROGRAMACIÓN</v>
      </c>
      <c r="G159" s="64" t="str">
        <f>IF($K159="","",INDEX('Detalle individual'!$D:$D,$K159))</f>
        <v>Gerencia de Sistemas</v>
      </c>
      <c r="H159" s="63" t="str">
        <f>IF($K159="","",INDEX('Detalle individual'!$F:$F,$K159))</f>
        <v>Completado</v>
      </c>
      <c r="I159" s="77">
        <f>IF($K159="","",IF(INDEX('Detalle individual'!$F:$F,$K159)="Completado",INDEX('Detalle individual'!$H:$H,$K159),""))</f>
        <v>46307.43311342593</v>
      </c>
      <c r="J159" s="78">
        <f>IF($K159="","",IF(INDEX('Detalle individual'!$F:$F,$K159)="Completado",INDEX('Detalle individual'!$J:$J,$K159),""))</f>
        <v>100</v>
      </c>
      <c r="K159">
        <f>IFERROR(MOD(SMALL('Cálculos'!$Z$5:$Z$297,151),1000),"")</f>
        <v>116</v>
      </c>
    </row>
    <row r="160">
      <c r="B160" s="63">
        <f>IF($K160="","",152)</f>
        <v>152</v>
      </c>
      <c r="C160" s="63" t="str">
        <f>IF($K160="","",INDEX('Detalle individual'!$A:$A,$K160))</f>
        <v>783</v>
      </c>
      <c r="D160" s="64" t="str">
        <f>IF($K160="","",TRIM(INDEX('Detalle individual'!$B:$B,$K160)))</f>
        <v>JONATHAN ALEXIS BERRIOS MENJIVAR</v>
      </c>
      <c r="E160" s="64" t="str">
        <f>IF($K160="","",TRIM(INDEX('Detalle individual'!$E:$E,$K160)))</f>
        <v>ANALISTA PROGRAMADOR</v>
      </c>
      <c r="F160" s="64" t="str">
        <f>IF($K160="","",TRIM(INDEX('Detalle individual'!$C:$C,$K160)))</f>
        <v>DEPARTAMENTO DE ANALISIS Y PROGRAMACIÓN</v>
      </c>
      <c r="G160" s="64" t="str">
        <f>IF($K160="","",INDEX('Detalle individual'!$D:$D,$K160))</f>
        <v>Gerencia de Sistemas</v>
      </c>
      <c r="H160" s="63" t="str">
        <f>IF($K160="","",INDEX('Detalle individual'!$F:$F,$K160))</f>
        <v>Completado</v>
      </c>
      <c r="I160" s="77">
        <f>IF($K160="","",IF(INDEX('Detalle individual'!$F:$F,$K160)="Completado",INDEX('Detalle individual'!$H:$H,$K160),""))</f>
        <v>46304.40027777778</v>
      </c>
      <c r="J160" s="78">
        <f>IF($K160="","",IF(INDEX('Detalle individual'!$F:$F,$K160)="Completado",INDEX('Detalle individual'!$J:$J,$K160),""))</f>
        <v>100</v>
      </c>
      <c r="K160">
        <f>IFERROR(MOD(SMALL('Cálculos'!$Z$5:$Z$297,152),1000),"")</f>
        <v>117</v>
      </c>
    </row>
    <row r="161">
      <c r="B161" s="63">
        <f>IF($K161="","",153)</f>
        <v>153</v>
      </c>
      <c r="C161" s="63" t="str">
        <f>IF($K161="","",INDEX('Detalle individual'!$A:$A,$K161))</f>
        <v>806</v>
      </c>
      <c r="D161" s="64" t="str">
        <f>IF($K161="","",TRIM(INDEX('Detalle individual'!$B:$B,$K161)))</f>
        <v>BYRON WILFREDO MENJIVAR MELENDEZ</v>
      </c>
      <c r="E161" s="64" t="str">
        <f>IF($K161="","",TRIM(INDEX('Detalle individual'!$E:$E,$K161)))</f>
        <v>ANALISTA PROGRAMADOR</v>
      </c>
      <c r="F161" s="64" t="str">
        <f>IF($K161="","",TRIM(INDEX('Detalle individual'!$C:$C,$K161)))</f>
        <v>DEPARTAMENTO DE ANALISIS Y PROGRAMACIÓN</v>
      </c>
      <c r="G161" s="64" t="str">
        <f>IF($K161="","",INDEX('Detalle individual'!$D:$D,$K161))</f>
        <v>Gerencia de Sistemas</v>
      </c>
      <c r="H161" s="63" t="str">
        <f>IF($K161="","",INDEX('Detalle individual'!$F:$F,$K161))</f>
        <v>Completado</v>
      </c>
      <c r="I161" s="77">
        <f>IF($K161="","",IF(INDEX('Detalle individual'!$F:$F,$K161)="Completado",INDEX('Detalle individual'!$H:$H,$K161),""))</f>
        <v>46304.384618055556</v>
      </c>
      <c r="J161" s="78">
        <f>IF($K161="","",IF(INDEX('Detalle individual'!$F:$F,$K161)="Completado",INDEX('Detalle individual'!$J:$J,$K161),""))</f>
        <v>100</v>
      </c>
      <c r="K161">
        <f>IFERROR(MOD(SMALL('Cálculos'!$Z$5:$Z$297,153),1000),"")</f>
        <v>118</v>
      </c>
    </row>
    <row r="162">
      <c r="B162" s="63">
        <f>IF($K162="","",154)</f>
        <v>154</v>
      </c>
      <c r="C162" s="63" t="str">
        <f>IF($K162="","",INDEX('Detalle individual'!$A:$A,$K162))</f>
        <v>824</v>
      </c>
      <c r="D162" s="64" t="str">
        <f>IF($K162="","",TRIM(INDEX('Detalle individual'!$B:$B,$K162)))</f>
        <v>RODRIGO FERNANDO FIGUEROA RIVAS</v>
      </c>
      <c r="E162" s="64" t="str">
        <f>IF($K162="","",TRIM(INDEX('Detalle individual'!$E:$E,$K162)))</f>
        <v>ANALISTA PROGRAMADOR JUNIOR</v>
      </c>
      <c r="F162" s="64" t="str">
        <f>IF($K162="","",TRIM(INDEX('Detalle individual'!$C:$C,$K162)))</f>
        <v>DEPARTAMENTO DE ANALISIS Y PROGRAMACIÓN</v>
      </c>
      <c r="G162" s="64" t="str">
        <f>IF($K162="","",INDEX('Detalle individual'!$D:$D,$K162))</f>
        <v>Gerencia de Sistemas</v>
      </c>
      <c r="H162" s="63" t="str">
        <f>IF($K162="","",INDEX('Detalle individual'!$F:$F,$K162))</f>
        <v>Completado</v>
      </c>
      <c r="I162" s="77">
        <f>IF($K162="","",IF(INDEX('Detalle individual'!$F:$F,$K162)="Completado",INDEX('Detalle individual'!$H:$H,$K162),""))</f>
        <v>46304.38784722222</v>
      </c>
      <c r="J162" s="78">
        <f>IF($K162="","",IF(INDEX('Detalle individual'!$F:$F,$K162)="Completado",INDEX('Detalle individual'!$J:$J,$K162),""))</f>
        <v>100</v>
      </c>
      <c r="K162">
        <f>IFERROR(MOD(SMALL('Cálculos'!$Z$5:$Z$297,154),1000),"")</f>
        <v>119</v>
      </c>
    </row>
    <row r="163">
      <c r="B163" s="63">
        <f>IF($K163="","",155)</f>
        <v>155</v>
      </c>
      <c r="C163" s="63" t="str">
        <f>IF($K163="","",INDEX('Detalle individual'!$A:$A,$K163))</f>
        <v>879</v>
      </c>
      <c r="D163" s="64" t="str">
        <f>IF($K163="","",TRIM(INDEX('Detalle individual'!$B:$B,$K163)))</f>
        <v>MILAGRO NATIVIDAD ESCOBAR MELENDEZ</v>
      </c>
      <c r="E163" s="64" t="str">
        <f>IF($K163="","",TRIM(INDEX('Detalle individual'!$E:$E,$K163)))</f>
        <v>ANALISTA PROGRAMADOR</v>
      </c>
      <c r="F163" s="64" t="str">
        <f>IF($K163="","",TRIM(INDEX('Detalle individual'!$C:$C,$K163)))</f>
        <v>DEPARTAMENTO DE ANALISIS Y PROGRAMACIÓN</v>
      </c>
      <c r="G163" s="64" t="str">
        <f>IF($K163="","",INDEX('Detalle individual'!$D:$D,$K163))</f>
        <v>Gerencia de Sistemas</v>
      </c>
      <c r="H163" s="63" t="str">
        <f>IF($K163="","",INDEX('Detalle individual'!$F:$F,$K163))</f>
        <v>Completado</v>
      </c>
      <c r="I163" s="77">
        <f>IF($K163="","",IF(INDEX('Detalle individual'!$F:$F,$K163)="Completado",INDEX('Detalle individual'!$H:$H,$K163),""))</f>
        <v>46304.394837962966</v>
      </c>
      <c r="J163" s="78">
        <f>IF($K163="","",IF(INDEX('Detalle individual'!$F:$F,$K163)="Completado",INDEX('Detalle individual'!$J:$J,$K163),""))</f>
        <v>100</v>
      </c>
      <c r="K163">
        <f>IFERROR(MOD(SMALL('Cálculos'!$Z$5:$Z$297,155),1000),"")</f>
        <v>120</v>
      </c>
    </row>
    <row r="164">
      <c r="B164" s="63">
        <f>IF($K164="","",156)</f>
        <v>156</v>
      </c>
      <c r="C164" s="63" t="str">
        <f>IF($K164="","",INDEX('Detalle individual'!$A:$A,$K164))</f>
        <v>166</v>
      </c>
      <c r="D164" s="64" t="str">
        <f>IF($K164="","",TRIM(INDEX('Detalle individual'!$B:$B,$K164)))</f>
        <v>MARIA FRANCISCA DE LA LUZ HERNANDEZ HERNANDEZ</v>
      </c>
      <c r="E164" s="64" t="str">
        <f>IF($K164="","",TRIM(INDEX('Detalle individual'!$E:$E,$K164)))</f>
        <v>JEFE DE ATENCION A ASOCIADOS Y CLIENTES</v>
      </c>
      <c r="F164" s="64" t="str">
        <f>IF($K164="","",TRIM(INDEX('Detalle individual'!$C:$C,$K164)))</f>
        <v>DEPARTAMENTO DE ATENCION A ASOCIADO Y CLIENTE</v>
      </c>
      <c r="G164" s="64" t="str">
        <f>IF($K164="","",INDEX('Detalle individual'!$D:$D,$K164))</f>
        <v>Gerencia de Negocios</v>
      </c>
      <c r="H164" s="63" t="str">
        <f>IF($K164="","",INDEX('Detalle individual'!$F:$F,$K164))</f>
        <v>Completado</v>
      </c>
      <c r="I164" s="77">
        <f>IF($K164="","",IF(INDEX('Detalle individual'!$F:$F,$K164)="Completado",INDEX('Detalle individual'!$H:$H,$K164),""))</f>
        <v>46301.489282407405</v>
      </c>
      <c r="J164" s="78">
        <f>IF($K164="","",IF(INDEX('Detalle individual'!$F:$F,$K164)="Completado",INDEX('Detalle individual'!$J:$J,$K164),""))</f>
        <v>100</v>
      </c>
      <c r="K164">
        <f>IFERROR(MOD(SMALL('Cálculos'!$Z$5:$Z$297,156),1000),"")</f>
        <v>139</v>
      </c>
    </row>
    <row r="165">
      <c r="B165" s="63">
        <f>IF($K165="","",157)</f>
        <v>157</v>
      </c>
      <c r="C165" s="63" t="str">
        <f>IF($K165="","",INDEX('Detalle individual'!$A:$A,$K165))</f>
        <v>712</v>
      </c>
      <c r="D165" s="64" t="str">
        <f>IF($K165="","",TRIM(INDEX('Detalle individual'!$B:$B,$K165)))</f>
        <v>EDGARDO ISAIAS PEÑATE RIVAS</v>
      </c>
      <c r="E165" s="64" t="str">
        <f>IF($K165="","",TRIM(INDEX('Detalle individual'!$E:$E,$K165)))</f>
        <v>ASISTENTE TECNICO DEL FONDO DE SOLIDARIDAD</v>
      </c>
      <c r="F165" s="64" t="str">
        <f>IF($K165="","",TRIM(INDEX('Detalle individual'!$C:$C,$K165)))</f>
        <v>DEPARTAMENTO DE ATENCION A ASOCIADO Y CLIENTE</v>
      </c>
      <c r="G165" s="64" t="str">
        <f>IF($K165="","",INDEX('Detalle individual'!$D:$D,$K165))</f>
        <v>Gerencia de Negocios</v>
      </c>
      <c r="H165" s="63" t="str">
        <f>IF($K165="","",INDEX('Detalle individual'!$F:$F,$K165))</f>
        <v>Completado</v>
      </c>
      <c r="I165" s="77">
        <f>IF($K165="","",IF(INDEX('Detalle individual'!$F:$F,$K165)="Completado",INDEX('Detalle individual'!$H:$H,$K165),""))</f>
        <v>46304.37650462963</v>
      </c>
      <c r="J165" s="78">
        <f>IF($K165="","",IF(INDEX('Detalle individual'!$F:$F,$K165)="Completado",INDEX('Detalle individual'!$J:$J,$K165),""))</f>
        <v>100</v>
      </c>
      <c r="K165">
        <f>IFERROR(MOD(SMALL('Cálculos'!$Z$5:$Z$297,157),1000),"")</f>
        <v>140</v>
      </c>
    </row>
    <row r="166">
      <c r="B166" s="63">
        <f>IF($K166="","",158)</f>
        <v>158</v>
      </c>
      <c r="C166" s="63" t="str">
        <f>IF($K166="","",INDEX('Detalle individual'!$A:$A,$K166))</f>
        <v>744</v>
      </c>
      <c r="D166" s="64" t="str">
        <f>IF($K166="","",TRIM(INDEX('Detalle individual'!$B:$B,$K166)))</f>
        <v>KARLA PATRICIA ROBLES CORTEZ</v>
      </c>
      <c r="E166" s="64" t="str">
        <f>IF($K166="","",TRIM(INDEX('Detalle individual'!$E:$E,$K166)))</f>
        <v>ASISTENTE TECNICO DE AFILIACION</v>
      </c>
      <c r="F166" s="64" t="str">
        <f>IF($K166="","",TRIM(INDEX('Detalle individual'!$C:$C,$K166)))</f>
        <v>DEPARTAMENTO DE ATENCION A ASOCIADO Y CLIENTE</v>
      </c>
      <c r="G166" s="64" t="str">
        <f>IF($K166="","",INDEX('Detalle individual'!$D:$D,$K166))</f>
        <v>Gerencia de Negocios</v>
      </c>
      <c r="H166" s="63" t="str">
        <f>IF($K166="","",INDEX('Detalle individual'!$F:$F,$K166))</f>
        <v>Completado</v>
      </c>
      <c r="I166" s="77">
        <f>IF($K166="","",IF(INDEX('Detalle individual'!$F:$F,$K166)="Completado",INDEX('Detalle individual'!$H:$H,$K166),""))</f>
        <v>46308.622615740744</v>
      </c>
      <c r="J166" s="78">
        <f>IF($K166="","",IF(INDEX('Detalle individual'!$F:$F,$K166)="Completado",INDEX('Detalle individual'!$J:$J,$K166),""))</f>
        <v>90</v>
      </c>
      <c r="K166">
        <f>IFERROR(MOD(SMALL('Cálculos'!$Z$5:$Z$297,158),1000),"")</f>
        <v>141</v>
      </c>
    </row>
    <row r="167">
      <c r="B167" s="63">
        <f>IF($K167="","",159)</f>
        <v>159</v>
      </c>
      <c r="C167" s="63" t="str">
        <f>IF($K167="","",INDEX('Detalle individual'!$A:$A,$K167))</f>
        <v>887</v>
      </c>
      <c r="D167" s="64" t="str">
        <f>IF($K167="","",TRIM(INDEX('Detalle individual'!$B:$B,$K167)))</f>
        <v>EMERSON ULISES BELTRAN CORTEZ</v>
      </c>
      <c r="E167" s="64" t="str">
        <f>IF($K167="","",TRIM(INDEX('Detalle individual'!$E:$E,$K167)))</f>
        <v>AUXILIAR DE ATENCION A ASOCIADOS</v>
      </c>
      <c r="F167" s="64" t="str">
        <f>IF($K167="","",TRIM(INDEX('Detalle individual'!$C:$C,$K167)))</f>
        <v>DEPARTAMENTO DE ATENCION A ASOCIADO Y CLIENTE</v>
      </c>
      <c r="G167" s="64" t="str">
        <f>IF($K167="","",INDEX('Detalle individual'!$D:$D,$K167))</f>
        <v>Gerencia de Negocios</v>
      </c>
      <c r="H167" s="63" t="str">
        <f>IF($K167="","",INDEX('Detalle individual'!$F:$F,$K167))</f>
        <v>Completado</v>
      </c>
      <c r="I167" s="77">
        <f>IF($K167="","",IF(INDEX('Detalle individual'!$F:$F,$K167)="Completado",INDEX('Detalle individual'!$H:$H,$K167),""))</f>
        <v>46308.64163194445</v>
      </c>
      <c r="J167" s="78">
        <f>IF($K167="","",IF(INDEX('Detalle individual'!$F:$F,$K167)="Completado",INDEX('Detalle individual'!$J:$J,$K167),""))</f>
        <v>100</v>
      </c>
      <c r="K167">
        <f>IFERROR(MOD(SMALL('Cálculos'!$Z$5:$Z$297,159),1000),"")</f>
        <v>142</v>
      </c>
    </row>
    <row r="168">
      <c r="B168" s="63">
        <f>IF($K168="","",160)</f>
        <v>160</v>
      </c>
      <c r="C168" s="63" t="str">
        <f>IF($K168="","",INDEX('Detalle individual'!$A:$A,$K168))</f>
        <v>945</v>
      </c>
      <c r="D168" s="64" t="str">
        <f>IF($K168="","",TRIM(INDEX('Detalle individual'!$B:$B,$K168)))</f>
        <v>FABIOLA ELIZABETH TICAS GOMEZ</v>
      </c>
      <c r="E168" s="64" t="str">
        <f>IF($K168="","",TRIM(INDEX('Detalle individual'!$E:$E,$K168)))</f>
        <v>RECEPCIONISTA</v>
      </c>
      <c r="F168" s="64" t="str">
        <f>IF($K168="","",TRIM(INDEX('Detalle individual'!$C:$C,$K168)))</f>
        <v>DEPARTAMENTO DE ATENCION A ASOCIADO Y CLIENTE</v>
      </c>
      <c r="G168" s="64" t="str">
        <f>IF($K168="","",INDEX('Detalle individual'!$D:$D,$K168))</f>
        <v>Gerencia de Negocios</v>
      </c>
      <c r="H168" s="63" t="str">
        <f>IF($K168="","",INDEX('Detalle individual'!$F:$F,$K168))</f>
        <v>Completado</v>
      </c>
      <c r="I168" s="77">
        <f>IF($K168="","",IF(INDEX('Detalle individual'!$F:$F,$K168)="Completado",INDEX('Detalle individual'!$H:$H,$K168),""))</f>
        <v>46309.409166666665</v>
      </c>
      <c r="J168" s="78">
        <f>IF($K168="","",IF(INDEX('Detalle individual'!$F:$F,$K168)="Completado",INDEX('Detalle individual'!$J:$J,$K168),""))</f>
        <v>100</v>
      </c>
      <c r="K168">
        <f>IFERROR(MOD(SMALL('Cálculos'!$Z$5:$Z$297,160),1000),"")</f>
        <v>143</v>
      </c>
    </row>
    <row r="169">
      <c r="B169" s="63">
        <f>IF($K169="","",161)</f>
        <v>161</v>
      </c>
      <c r="C169" s="63" t="str">
        <f>IF($K169="","",INDEX('Detalle individual'!$A:$A,$K169))</f>
        <v>986</v>
      </c>
      <c r="D169" s="64" t="str">
        <f>IF($K169="","",TRIM(INDEX('Detalle individual'!$B:$B,$K169)))</f>
        <v>JENNIFER ROXANA AYALA AYALA</v>
      </c>
      <c r="E169" s="64" t="str">
        <f>IF($K169="","",TRIM(INDEX('Detalle individual'!$E:$E,$K169)))</f>
        <v>(CARGO POR CONFIRMAR)</v>
      </c>
      <c r="F169" s="64" t="str">
        <f>IF($K169="","",TRIM(INDEX('Detalle individual'!$C:$C,$K169)))</f>
        <v>DEPARTAMENTO DE ATENCION A ASOCIADO Y CLIENTE</v>
      </c>
      <c r="G169" s="64" t="str">
        <f>IF($K169="","",INDEX('Detalle individual'!$D:$D,$K169))</f>
        <v>Gerencia de Negocios</v>
      </c>
      <c r="H169" s="63" t="str">
        <f>IF($K169="","",INDEX('Detalle individual'!$F:$F,$K169))</f>
        <v>Completado</v>
      </c>
      <c r="I169" s="77">
        <f>IF($K169="","",IF(INDEX('Detalle individual'!$F:$F,$K169)="Completado",INDEX('Detalle individual'!$H:$H,$K169),""))</f>
        <v>46308.713692129626</v>
      </c>
      <c r="J169" s="78">
        <f>IF($K169="","",IF(INDEX('Detalle individual'!$F:$F,$K169)="Completado",INDEX('Detalle individual'!$J:$J,$K169),""))</f>
        <v>80</v>
      </c>
      <c r="K169">
        <f>IFERROR(MOD(SMALL('Cálculos'!$Z$5:$Z$297,161),1000),"")</f>
        <v>297</v>
      </c>
    </row>
    <row r="170">
      <c r="B170" s="63">
        <f>IF($K170="","",162)</f>
        <v>162</v>
      </c>
      <c r="C170" s="63" t="str">
        <f>IF($K170="","",INDEX('Detalle individual'!$A:$A,$K170))</f>
        <v>330</v>
      </c>
      <c r="D170" s="64" t="str">
        <f>IF($K170="","",TRIM(INDEX('Detalle individual'!$B:$B,$K170)))</f>
        <v>MERALYS CHAVEZ RODRIGUEZ</v>
      </c>
      <c r="E170" s="64" t="str">
        <f>IF($K170="","",TRIM(INDEX('Detalle individual'!$E:$E,$K170)))</f>
        <v>AUDITOR INTERNO</v>
      </c>
      <c r="F170" s="64" t="str">
        <f>IF($K170="","",TRIM(INDEX('Detalle individual'!$C:$C,$K170)))</f>
        <v>DEPARTAMENTO DE AUDITORIA INTERNA</v>
      </c>
      <c r="G170" s="64" t="str">
        <f>IF($K170="","",INDEX('Detalle individual'!$D:$D,$K170))</f>
        <v>Auditoría Interna</v>
      </c>
      <c r="H170" s="63" t="str">
        <f>IF($K170="","",INDEX('Detalle individual'!$F:$F,$K170))</f>
        <v>Completado</v>
      </c>
      <c r="I170" s="77">
        <f>IF($K170="","",IF(INDEX('Detalle individual'!$F:$F,$K170)="Completado",INDEX('Detalle individual'!$H:$H,$K170),""))</f>
        <v>46307.652766203704</v>
      </c>
      <c r="J170" s="78">
        <f>IF($K170="","",IF(INDEX('Detalle individual'!$F:$F,$K170)="Completado",INDEX('Detalle individual'!$J:$J,$K170),""))</f>
        <v>100</v>
      </c>
      <c r="K170">
        <f>IFERROR(MOD(SMALL('Cálculos'!$Z$5:$Z$297,162),1000),"")</f>
        <v>123</v>
      </c>
    </row>
    <row r="171">
      <c r="B171" s="63">
        <f>IF($K171="","",163)</f>
        <v>163</v>
      </c>
      <c r="C171" s="63" t="str">
        <f>IF($K171="","",INDEX('Detalle individual'!$A:$A,$K171))</f>
        <v>424</v>
      </c>
      <c r="D171" s="64" t="str">
        <f>IF($K171="","",TRIM(INDEX('Detalle individual'!$B:$B,$K171)))</f>
        <v>MAYRA LISSETTE LOPEZ SANCHEZ</v>
      </c>
      <c r="E171" s="64" t="str">
        <f>IF($K171="","",TRIM(INDEX('Detalle individual'!$E:$E,$K171)))</f>
        <v>SUPERVISOR DE AUDITORIA INTERNA</v>
      </c>
      <c r="F171" s="64" t="str">
        <f>IF($K171="","",TRIM(INDEX('Detalle individual'!$C:$C,$K171)))</f>
        <v>DEPARTAMENTO DE AUDITORIA INTERNA</v>
      </c>
      <c r="G171" s="64" t="str">
        <f>IF($K171="","",INDEX('Detalle individual'!$D:$D,$K171))</f>
        <v>Auditoría Interna</v>
      </c>
      <c r="H171" s="63" t="str">
        <f>IF($K171="","",INDEX('Detalle individual'!$F:$F,$K171))</f>
        <v>Completado</v>
      </c>
      <c r="I171" s="77">
        <f>IF($K171="","",IF(INDEX('Detalle individual'!$F:$F,$K171)="Completado",INDEX('Detalle individual'!$H:$H,$K171),""))</f>
        <v>46304.404328703706</v>
      </c>
      <c r="J171" s="78">
        <f>IF($K171="","",IF(INDEX('Detalle individual'!$F:$F,$K171)="Completado",INDEX('Detalle individual'!$J:$J,$K171),""))</f>
        <v>90</v>
      </c>
      <c r="K171">
        <f>IFERROR(MOD(SMALL('Cálculos'!$Z$5:$Z$297,163),1000),"")</f>
        <v>124</v>
      </c>
    </row>
    <row r="172">
      <c r="B172" s="63">
        <f>IF($K172="","",164)</f>
        <v>164</v>
      </c>
      <c r="C172" s="63" t="str">
        <f>IF($K172="","",INDEX('Detalle individual'!$A:$A,$K172))</f>
        <v>534</v>
      </c>
      <c r="D172" s="64" t="str">
        <f>IF($K172="","",TRIM(INDEX('Detalle individual'!$B:$B,$K172)))</f>
        <v>NELSON DANILO BENITEZ MENDEZ</v>
      </c>
      <c r="E172" s="64" t="str">
        <f>IF($K172="","",TRIM(INDEX('Detalle individual'!$E:$E,$K172)))</f>
        <v>AUDITOR DE SISTEMAS</v>
      </c>
      <c r="F172" s="64" t="str">
        <f>IF($K172="","",TRIM(INDEX('Detalle individual'!$C:$C,$K172)))</f>
        <v>DEPARTAMENTO DE AUDITORIA INTERNA</v>
      </c>
      <c r="G172" s="64" t="str">
        <f>IF($K172="","",INDEX('Detalle individual'!$D:$D,$K172))</f>
        <v>Auditoría Interna</v>
      </c>
      <c r="H172" s="63" t="str">
        <f>IF($K172="","",INDEX('Detalle individual'!$F:$F,$K172))</f>
        <v>Completado</v>
      </c>
      <c r="I172" s="77">
        <f>IF($K172="","",IF(INDEX('Detalle individual'!$F:$F,$K172)="Completado",INDEX('Detalle individual'!$H:$H,$K172),""))</f>
        <v>46307.43875</v>
      </c>
      <c r="J172" s="78">
        <f>IF($K172="","",IF(INDEX('Detalle individual'!$F:$F,$K172)="Completado",INDEX('Detalle individual'!$J:$J,$K172),""))</f>
        <v>100</v>
      </c>
      <c r="K172">
        <f>IFERROR(MOD(SMALL('Cálculos'!$Z$5:$Z$297,164),1000),"")</f>
        <v>125</v>
      </c>
    </row>
    <row r="173">
      <c r="B173" s="63">
        <f>IF($K173="","",165)</f>
        <v>165</v>
      </c>
      <c r="C173" s="63" t="str">
        <f>IF($K173="","",INDEX('Detalle individual'!$A:$A,$K173))</f>
        <v>548</v>
      </c>
      <c r="D173" s="64" t="str">
        <f>IF($K173="","",TRIM(INDEX('Detalle individual'!$B:$B,$K173)))</f>
        <v>ZORAIDA LORENA LOPEZ MEDINA</v>
      </c>
      <c r="E173" s="64" t="str">
        <f>IF($K173="","",TRIM(INDEX('Detalle individual'!$E:$E,$K173)))</f>
        <v>ASISTENTE DE AUDITORIA INTERNA</v>
      </c>
      <c r="F173" s="64" t="str">
        <f>IF($K173="","",TRIM(INDEX('Detalle individual'!$C:$C,$K173)))</f>
        <v>DEPARTAMENTO DE AUDITORIA INTERNA</v>
      </c>
      <c r="G173" s="64" t="str">
        <f>IF($K173="","",INDEX('Detalle individual'!$D:$D,$K173))</f>
        <v>Auditoría Interna</v>
      </c>
      <c r="H173" s="63" t="str">
        <f>IF($K173="","",INDEX('Detalle individual'!$F:$F,$K173))</f>
        <v>Completado</v>
      </c>
      <c r="I173" s="77">
        <f>IF($K173="","",IF(INDEX('Detalle individual'!$F:$F,$K173)="Completado",INDEX('Detalle individual'!$H:$H,$K173),""))</f>
        <v>46296.711550925924</v>
      </c>
      <c r="J173" s="78">
        <f>IF($K173="","",IF(INDEX('Detalle individual'!$F:$F,$K173)="Completado",INDEX('Detalle individual'!$J:$J,$K173),""))</f>
        <v>100</v>
      </c>
      <c r="K173">
        <f>IFERROR(MOD(SMALL('Cálculos'!$Z$5:$Z$297,165),1000),"")</f>
        <v>126</v>
      </c>
    </row>
    <row r="174">
      <c r="B174" s="63">
        <f>IF($K174="","",166)</f>
        <v>166</v>
      </c>
      <c r="C174" s="63" t="str">
        <f>IF($K174="","",INDEX('Detalle individual'!$A:$A,$K174))</f>
        <v>742</v>
      </c>
      <c r="D174" s="64" t="str">
        <f>IF($K174="","",TRIM(INDEX('Detalle individual'!$B:$B,$K174)))</f>
        <v>PATRICIA GUADALUPE SEGOVIA RAMIREZ</v>
      </c>
      <c r="E174" s="64" t="str">
        <f>IF($K174="","",TRIM(INDEX('Detalle individual'!$E:$E,$K174)))</f>
        <v>ASISTENTE DE AUDITORIA INTERNA</v>
      </c>
      <c r="F174" s="64" t="str">
        <f>IF($K174="","",TRIM(INDEX('Detalle individual'!$C:$C,$K174)))</f>
        <v>DEPARTAMENTO DE AUDITORIA INTERNA</v>
      </c>
      <c r="G174" s="64" t="str">
        <f>IF($K174="","",INDEX('Detalle individual'!$D:$D,$K174))</f>
        <v>Auditoría Interna</v>
      </c>
      <c r="H174" s="63" t="str">
        <f>IF($K174="","",INDEX('Detalle individual'!$F:$F,$K174))</f>
        <v>Completado</v>
      </c>
      <c r="I174" s="77">
        <f>IF($K174="","",IF(INDEX('Detalle individual'!$F:$F,$K174)="Completado",INDEX('Detalle individual'!$H:$H,$K174),""))</f>
        <v>46304.40319444444</v>
      </c>
      <c r="J174" s="78">
        <f>IF($K174="","",IF(INDEX('Detalle individual'!$F:$F,$K174)="Completado",INDEX('Detalle individual'!$J:$J,$K174),""))</f>
        <v>90</v>
      </c>
      <c r="K174">
        <f>IFERROR(MOD(SMALL('Cálculos'!$Z$5:$Z$297,166),1000),"")</f>
        <v>127</v>
      </c>
    </row>
    <row r="175">
      <c r="B175" s="63">
        <f>IF($K175="","",167)</f>
        <v>167</v>
      </c>
      <c r="C175" s="63" t="str">
        <f>IF($K175="","",INDEX('Detalle individual'!$A:$A,$K175))</f>
        <v>750</v>
      </c>
      <c r="D175" s="64" t="str">
        <f>IF($K175="","",TRIM(INDEX('Detalle individual'!$B:$B,$K175)))</f>
        <v>MARLON ANTONIO BONILLA GARCIA</v>
      </c>
      <c r="E175" s="64" t="str">
        <f>IF($K175="","",TRIM(INDEX('Detalle individual'!$E:$E,$K175)))</f>
        <v>ASISTENTE DE AUDITORIA INTERNA</v>
      </c>
      <c r="F175" s="64" t="str">
        <f>IF($K175="","",TRIM(INDEX('Detalle individual'!$C:$C,$K175)))</f>
        <v>DEPARTAMENTO DE AUDITORIA INTERNA</v>
      </c>
      <c r="G175" s="64" t="str">
        <f>IF($K175="","",INDEX('Detalle individual'!$D:$D,$K175))</f>
        <v>Auditoría Interna</v>
      </c>
      <c r="H175" s="63" t="str">
        <f>IF($K175="","",INDEX('Detalle individual'!$F:$F,$K175))</f>
        <v>Completado</v>
      </c>
      <c r="I175" s="77">
        <f>IF($K175="","",IF(INDEX('Detalle individual'!$F:$F,$K175)="Completado",INDEX('Detalle individual'!$H:$H,$K175),""))</f>
        <v>46296.62321759259</v>
      </c>
      <c r="J175" s="78">
        <f>IF($K175="","",IF(INDEX('Detalle individual'!$F:$F,$K175)="Completado",INDEX('Detalle individual'!$J:$J,$K175),""))</f>
        <v>100</v>
      </c>
      <c r="K175">
        <f>IFERROR(MOD(SMALL('Cálculos'!$Z$5:$Z$297,167),1000),"")</f>
        <v>128</v>
      </c>
    </row>
    <row r="176">
      <c r="B176" s="63">
        <f>IF($K176="","",168)</f>
        <v>168</v>
      </c>
      <c r="C176" s="63" t="str">
        <f>IF($K176="","",INDEX('Detalle individual'!$A:$A,$K176))</f>
        <v>865</v>
      </c>
      <c r="D176" s="64" t="str">
        <f>IF($K176="","",TRIM(INDEX('Detalle individual'!$B:$B,$K176)))</f>
        <v>MARIA ELENA VALLE BENAVIDES</v>
      </c>
      <c r="E176" s="64" t="str">
        <f>IF($K176="","",TRIM(INDEX('Detalle individual'!$E:$E,$K176)))</f>
        <v>ASISTENTE DE AUDITORIA INTERNA</v>
      </c>
      <c r="F176" s="64" t="str">
        <f>IF($K176="","",TRIM(INDEX('Detalle individual'!$C:$C,$K176)))</f>
        <v>DEPARTAMENTO DE AUDITORIA INTERNA</v>
      </c>
      <c r="G176" s="64" t="str">
        <f>IF($K176="","",INDEX('Detalle individual'!$D:$D,$K176))</f>
        <v>Auditoría Interna</v>
      </c>
      <c r="H176" s="63" t="str">
        <f>IF($K176="","",INDEX('Detalle individual'!$F:$F,$K176))</f>
        <v>Completado</v>
      </c>
      <c r="I176" s="77">
        <f>IF($K176="","",IF(INDEX('Detalle individual'!$F:$F,$K176)="Completado",INDEX('Detalle individual'!$H:$H,$K176),""))</f>
        <v>46296.68074074074</v>
      </c>
      <c r="J176" s="78">
        <f>IF($K176="","",IF(INDEX('Detalle individual'!$F:$F,$K176)="Completado",INDEX('Detalle individual'!$J:$J,$K176),""))</f>
        <v>100</v>
      </c>
      <c r="K176">
        <f>IFERROR(MOD(SMALL('Cálculos'!$Z$5:$Z$297,168),1000),"")</f>
        <v>129</v>
      </c>
    </row>
    <row r="177">
      <c r="B177" s="63">
        <f>IF($K177="","",169)</f>
        <v>169</v>
      </c>
      <c r="C177" s="63" t="str">
        <f>IF($K177="","",INDEX('Detalle individual'!$A:$A,$K177))</f>
        <v>373</v>
      </c>
      <c r="D177" s="64" t="str">
        <f>IF($K177="","",TRIM(INDEX('Detalle individual'!$B:$B,$K177)))</f>
        <v>MARTA ELIZABETH RODRIGUEZ INESTROZA</v>
      </c>
      <c r="E177" s="64" t="str">
        <f>IF($K177="","",TRIM(INDEX('Detalle individual'!$E:$E,$K177)))</f>
        <v>CONTADOR GENERAL</v>
      </c>
      <c r="F177" s="64" t="str">
        <f>IF($K177="","",TRIM(INDEX('Detalle individual'!$C:$C,$K177)))</f>
        <v>DEPARTAMENTO DE CONTABILIDAD</v>
      </c>
      <c r="G177" s="64" t="str">
        <f>IF($K177="","",INDEX('Detalle individual'!$D:$D,$K177))</f>
        <v>Gerencia de Finanzas y Planificación</v>
      </c>
      <c r="H177" s="63" t="str">
        <f>IF($K177="","",INDEX('Detalle individual'!$F:$F,$K177))</f>
        <v>Completado</v>
      </c>
      <c r="I177" s="77">
        <f>IF($K177="","",IF(INDEX('Detalle individual'!$F:$F,$K177)="Completado",INDEX('Detalle individual'!$H:$H,$K177),""))</f>
        <v>46296.82847222222</v>
      </c>
      <c r="J177" s="78">
        <f>IF($K177="","",IF(INDEX('Detalle individual'!$F:$F,$K177)="Completado",INDEX('Detalle individual'!$J:$J,$K177),""))</f>
        <v>100</v>
      </c>
      <c r="K177">
        <f>IFERROR(MOD(SMALL('Cálculos'!$Z$5:$Z$297,169),1000),"")</f>
        <v>87</v>
      </c>
    </row>
    <row r="178">
      <c r="B178" s="63">
        <f>IF($K178="","",170)</f>
        <v>170</v>
      </c>
      <c r="C178" s="63" t="str">
        <f>IF($K178="","",INDEX('Detalle individual'!$A:$A,$K178))</f>
        <v>374</v>
      </c>
      <c r="D178" s="64" t="str">
        <f>IF($K178="","",TRIM(INDEX('Detalle individual'!$B:$B,$K178)))</f>
        <v>THELMA JUDITH QUINTANILLA VALLE</v>
      </c>
      <c r="E178" s="64" t="str">
        <f>IF($K178="","",TRIM(INDEX('Detalle individual'!$E:$E,$K178)))</f>
        <v>AUXILIAR CONTABLE DE DIGITALIZACION</v>
      </c>
      <c r="F178" s="64" t="str">
        <f>IF($K178="","",TRIM(INDEX('Detalle individual'!$C:$C,$K178)))</f>
        <v>DEPARTAMENTO DE CONTABILIDAD</v>
      </c>
      <c r="G178" s="64" t="str">
        <f>IF($K178="","",INDEX('Detalle individual'!$D:$D,$K178))</f>
        <v>Gerencia de Finanzas y Planificación</v>
      </c>
      <c r="H178" s="63" t="str">
        <f>IF($K178="","",INDEX('Detalle individual'!$F:$F,$K178))</f>
        <v>Completado</v>
      </c>
      <c r="I178" s="77">
        <f>IF($K178="","",IF(INDEX('Detalle individual'!$F:$F,$K178)="Completado",INDEX('Detalle individual'!$H:$H,$K178),""))</f>
        <v>46309.386967592596</v>
      </c>
      <c r="J178" s="78">
        <f>IF($K178="","",IF(INDEX('Detalle individual'!$F:$F,$K178)="Completado",INDEX('Detalle individual'!$J:$J,$K178),""))</f>
        <v>85</v>
      </c>
      <c r="K178">
        <f>IFERROR(MOD(SMALL('Cálculos'!$Z$5:$Z$297,170),1000),"")</f>
        <v>88</v>
      </c>
    </row>
    <row r="179">
      <c r="B179" s="63">
        <f>IF($K179="","",171)</f>
        <v>171</v>
      </c>
      <c r="C179" s="63" t="str">
        <f>IF($K179="","",INDEX('Detalle individual'!$A:$A,$K179))</f>
        <v>676</v>
      </c>
      <c r="D179" s="64" t="str">
        <f>IF($K179="","",TRIM(INDEX('Detalle individual'!$B:$B,$K179)))</f>
        <v>DANIEL ENRIQUE FLORES RAMIREZ</v>
      </c>
      <c r="E179" s="64" t="str">
        <f>IF($K179="","",TRIM(INDEX('Detalle individual'!$E:$E,$K179)))</f>
        <v>ASISTENTE TECNICO DE TARJETA DE CREDITO Y DEBITO</v>
      </c>
      <c r="F179" s="64" t="str">
        <f>IF($K179="","",TRIM(INDEX('Detalle individual'!$C:$C,$K179)))</f>
        <v>DEPARTAMENTO DE CONTABILIDAD</v>
      </c>
      <c r="G179" s="64" t="str">
        <f>IF($K179="","",INDEX('Detalle individual'!$D:$D,$K179))</f>
        <v>Gerencia de Finanzas y Planificación</v>
      </c>
      <c r="H179" s="63" t="str">
        <f>IF($K179="","",INDEX('Detalle individual'!$F:$F,$K179))</f>
        <v>Completado</v>
      </c>
      <c r="I179" s="77">
        <f>IF($K179="","",IF(INDEX('Detalle individual'!$F:$F,$K179)="Completado",INDEX('Detalle individual'!$H:$H,$K179),""))</f>
        <v>46304.36083333333</v>
      </c>
      <c r="J179" s="78">
        <f>IF($K179="","",IF(INDEX('Detalle individual'!$F:$F,$K179)="Completado",INDEX('Detalle individual'!$J:$J,$K179),""))</f>
        <v>100</v>
      </c>
      <c r="K179">
        <f>IFERROR(MOD(SMALL('Cálculos'!$Z$5:$Z$297,171),1000),"")</f>
        <v>90</v>
      </c>
    </row>
    <row r="180">
      <c r="B180" s="63">
        <f>IF($K180="","",172)</f>
        <v>172</v>
      </c>
      <c r="C180" s="63" t="str">
        <f>IF($K180="","",INDEX('Detalle individual'!$A:$A,$K180))</f>
        <v>733</v>
      </c>
      <c r="D180" s="64" t="str">
        <f>IF($K180="","",TRIM(INDEX('Detalle individual'!$B:$B,$K180)))</f>
        <v>ROSSEMARY YAMILETH LOBATO MARTINEZ</v>
      </c>
      <c r="E180" s="64" t="str">
        <f>IF($K180="","",TRIM(INDEX('Detalle individual'!$E:$E,$K180)))</f>
        <v>ASISTENTE TECNICO DE PAGOS</v>
      </c>
      <c r="F180" s="64" t="str">
        <f>IF($K180="","",TRIM(INDEX('Detalle individual'!$C:$C,$K180)))</f>
        <v>DEPARTAMENTO DE CONTABILIDAD</v>
      </c>
      <c r="G180" s="64" t="str">
        <f>IF($K180="","",INDEX('Detalle individual'!$D:$D,$K180))</f>
        <v>Gerencia de Finanzas y Planificación</v>
      </c>
      <c r="H180" s="63" t="str">
        <f>IF($K180="","",INDEX('Detalle individual'!$F:$F,$K180))</f>
        <v>Completado</v>
      </c>
      <c r="I180" s="77">
        <f>IF($K180="","",IF(INDEX('Detalle individual'!$F:$F,$K180)="Completado",INDEX('Detalle individual'!$H:$H,$K180),""))</f>
        <v>46300.31707175926</v>
      </c>
      <c r="J180" s="78">
        <f>IF($K180="","",IF(INDEX('Detalle individual'!$F:$F,$K180)="Completado",INDEX('Detalle individual'!$J:$J,$K180),""))</f>
        <v>100</v>
      </c>
      <c r="K180">
        <f>IFERROR(MOD(SMALL('Cálculos'!$Z$5:$Z$297,172),1000),"")</f>
        <v>91</v>
      </c>
    </row>
    <row r="181">
      <c r="B181" s="63">
        <f>IF($K181="","",173)</f>
        <v>173</v>
      </c>
      <c r="C181" s="63" t="str">
        <f>IF($K181="","",INDEX('Detalle individual'!$A:$A,$K181))</f>
        <v>749</v>
      </c>
      <c r="D181" s="64" t="str">
        <f>IF($K181="","",TRIM(INDEX('Detalle individual'!$B:$B,$K181)))</f>
        <v>JENNIFER MARCELA MORALES TORRES</v>
      </c>
      <c r="E181" s="64" t="str">
        <f>IF($K181="","",TRIM(INDEX('Detalle individual'!$E:$E,$K181)))</f>
        <v>CONTADOR BANCARIO</v>
      </c>
      <c r="F181" s="64" t="str">
        <f>IF($K181="","",TRIM(INDEX('Detalle individual'!$C:$C,$K181)))</f>
        <v>DEPARTAMENTO DE CONTABILIDAD</v>
      </c>
      <c r="G181" s="64" t="str">
        <f>IF($K181="","",INDEX('Detalle individual'!$D:$D,$K181))</f>
        <v>Gerencia de Finanzas y Planificación</v>
      </c>
      <c r="H181" s="63" t="str">
        <f>IF($K181="","",INDEX('Detalle individual'!$F:$F,$K181))</f>
        <v>Completado</v>
      </c>
      <c r="I181" s="77">
        <f>IF($K181="","",IF(INDEX('Detalle individual'!$F:$F,$K181)="Completado",INDEX('Detalle individual'!$H:$H,$K181),""))</f>
        <v>46307.39042824074</v>
      </c>
      <c r="J181" s="78">
        <f>IF($K181="","",IF(INDEX('Detalle individual'!$F:$F,$K181)="Completado",INDEX('Detalle individual'!$J:$J,$K181),""))</f>
        <v>100</v>
      </c>
      <c r="K181">
        <f>IFERROR(MOD(SMALL('Cálculos'!$Z$5:$Z$297,173),1000),"")</f>
        <v>92</v>
      </c>
    </row>
    <row r="182">
      <c r="B182" s="63">
        <f>IF($K182="","",174)</f>
        <v>174</v>
      </c>
      <c r="C182" s="63" t="str">
        <f>IF($K182="","",INDEX('Detalle individual'!$A:$A,$K182))</f>
        <v>778</v>
      </c>
      <c r="D182" s="64" t="str">
        <f>IF($K182="","",TRIM(INDEX('Detalle individual'!$B:$B,$K182)))</f>
        <v>ERICK RODRIGO ORTIZ TURCIOS</v>
      </c>
      <c r="E182" s="64" t="str">
        <f>IF($K182="","",TRIM(INDEX('Detalle individual'!$E:$E,$K182)))</f>
        <v>ASISTENTE TECNICO DE AGENCIA CENTRAL</v>
      </c>
      <c r="F182" s="64" t="str">
        <f>IF($K182="","",TRIM(INDEX('Detalle individual'!$C:$C,$K182)))</f>
        <v>DEPARTAMENTO DE CONTABILIDAD</v>
      </c>
      <c r="G182" s="64" t="str">
        <f>IF($K182="","",INDEX('Detalle individual'!$D:$D,$K182))</f>
        <v>Gerencia de Finanzas y Planificación</v>
      </c>
      <c r="H182" s="63" t="str">
        <f>IF($K182="","",INDEX('Detalle individual'!$F:$F,$K182))</f>
        <v>Completado</v>
      </c>
      <c r="I182" s="77">
        <f>IF($K182="","",IF(INDEX('Detalle individual'!$F:$F,$K182)="Completado",INDEX('Detalle individual'!$H:$H,$K182),""))</f>
        <v>46304.33385416667</v>
      </c>
      <c r="J182" s="78">
        <f>IF($K182="","",IF(INDEX('Detalle individual'!$F:$F,$K182)="Completado",INDEX('Detalle individual'!$J:$J,$K182),""))</f>
        <v>100</v>
      </c>
      <c r="K182">
        <f>IFERROR(MOD(SMALL('Cálculos'!$Z$5:$Z$297,174),1000),"")</f>
        <v>93</v>
      </c>
    </row>
    <row r="183">
      <c r="B183" s="63">
        <f>IF($K183="","",175)</f>
        <v>175</v>
      </c>
      <c r="C183" s="63" t="str">
        <f>IF($K183="","",INDEX('Detalle individual'!$A:$A,$K183))</f>
        <v>784</v>
      </c>
      <c r="D183" s="64" t="str">
        <f>IF($K183="","",TRIM(INDEX('Detalle individual'!$B:$B,$K183)))</f>
        <v>BRIAN ADONAY BARRERA ALVARADO</v>
      </c>
      <c r="E183" s="64" t="str">
        <f>IF($K183="","",TRIM(INDEX('Detalle individual'!$E:$E,$K183)))</f>
        <v>CONTADOR DE AGENCIAS</v>
      </c>
      <c r="F183" s="64" t="str">
        <f>IF($K183="","",TRIM(INDEX('Detalle individual'!$C:$C,$K183)))</f>
        <v>DEPARTAMENTO DE CONTABILIDAD</v>
      </c>
      <c r="G183" s="64" t="str">
        <f>IF($K183="","",INDEX('Detalle individual'!$D:$D,$K183))</f>
        <v>Gerencia de Finanzas y Planificación</v>
      </c>
      <c r="H183" s="63" t="str">
        <f>IF($K183="","",INDEX('Detalle individual'!$F:$F,$K183))</f>
        <v>Completado</v>
      </c>
      <c r="I183" s="77">
        <f>IF($K183="","",IF(INDEX('Detalle individual'!$F:$F,$K183)="Completado",INDEX('Detalle individual'!$H:$H,$K183),""))</f>
        <v>46296.62540509259</v>
      </c>
      <c r="J183" s="78">
        <f>IF($K183="","",IF(INDEX('Detalle individual'!$F:$F,$K183)="Completado",INDEX('Detalle individual'!$J:$J,$K183),""))</f>
        <v>100</v>
      </c>
      <c r="K183">
        <f>IFERROR(MOD(SMALL('Cálculos'!$Z$5:$Z$297,175),1000),"")</f>
        <v>94</v>
      </c>
    </row>
    <row r="184">
      <c r="B184" s="63">
        <f>IF($K184="","",176)</f>
        <v>176</v>
      </c>
      <c r="C184" s="63" t="str">
        <f>IF($K184="","",INDEX('Detalle individual'!$A:$A,$K184))</f>
        <v>850</v>
      </c>
      <c r="D184" s="64" t="str">
        <f>IF($K184="","",TRIM(INDEX('Detalle individual'!$B:$B,$K184)))</f>
        <v>ALMA BEATRIZ RAMIREZ SANDOVAL</v>
      </c>
      <c r="E184" s="64" t="str">
        <f>IF($K184="","",TRIM(INDEX('Detalle individual'!$E:$E,$K184)))</f>
        <v>CONTADOR DE AGENCIA NO MONETARIA</v>
      </c>
      <c r="F184" s="64" t="str">
        <f>IF($K184="","",TRIM(INDEX('Detalle individual'!$C:$C,$K184)))</f>
        <v>DEPARTAMENTO DE CONTABILIDAD</v>
      </c>
      <c r="G184" s="64" t="str">
        <f>IF($K184="","",INDEX('Detalle individual'!$D:$D,$K184))</f>
        <v>Gerencia de Finanzas y Planificación</v>
      </c>
      <c r="H184" s="63" t="str">
        <f>IF($K184="","",INDEX('Detalle individual'!$F:$F,$K184))</f>
        <v>Completado</v>
      </c>
      <c r="I184" s="77">
        <f>IF($K184="","",IF(INDEX('Detalle individual'!$F:$F,$K184)="Completado",INDEX('Detalle individual'!$H:$H,$K184),""))</f>
        <v>46304.4002662037</v>
      </c>
      <c r="J184" s="78">
        <f>IF($K184="","",IF(INDEX('Detalle individual'!$F:$F,$K184)="Completado",INDEX('Detalle individual'!$J:$J,$K184),""))</f>
        <v>90</v>
      </c>
      <c r="K184">
        <f>IFERROR(MOD(SMALL('Cálculos'!$Z$5:$Z$297,176),1000),"")</f>
        <v>95</v>
      </c>
    </row>
    <row r="185">
      <c r="B185" s="63">
        <f>IF($K185="","",177)</f>
        <v>177</v>
      </c>
      <c r="C185" s="63" t="str">
        <f>IF($K185="","",INDEX('Detalle individual'!$A:$A,$K185))</f>
        <v>872</v>
      </c>
      <c r="D185" s="64" t="str">
        <f>IF($K185="","",TRIM(INDEX('Detalle individual'!$B:$B,$K185)))</f>
        <v>JOSUE ELIAZAR MARTINEZ RECINOS</v>
      </c>
      <c r="E185" s="64" t="str">
        <f>IF($K185="","",TRIM(INDEX('Detalle individual'!$E:$E,$K185)))</f>
        <v>CONTADOR DE AGENCIAS</v>
      </c>
      <c r="F185" s="64" t="str">
        <f>IF($K185="","",TRIM(INDEX('Detalle individual'!$C:$C,$K185)))</f>
        <v>DEPARTAMENTO DE CONTABILIDAD</v>
      </c>
      <c r="G185" s="64" t="str">
        <f>IF($K185="","",INDEX('Detalle individual'!$D:$D,$K185))</f>
        <v>Gerencia de Finanzas y Planificación</v>
      </c>
      <c r="H185" s="63" t="str">
        <f>IF($K185="","",INDEX('Detalle individual'!$F:$F,$K185))</f>
        <v>Completado</v>
      </c>
      <c r="I185" s="77">
        <f>IF($K185="","",IF(INDEX('Detalle individual'!$F:$F,$K185)="Completado",INDEX('Detalle individual'!$H:$H,$K185),""))</f>
        <v>46301.438738425924</v>
      </c>
      <c r="J185" s="78">
        <f>IF($K185="","",IF(INDEX('Detalle individual'!$F:$F,$K185)="Completado",INDEX('Detalle individual'!$J:$J,$K185),""))</f>
        <v>100</v>
      </c>
      <c r="K185">
        <f>IFERROR(MOD(SMALL('Cálculos'!$Z$5:$Z$297,177),1000),"")</f>
        <v>96</v>
      </c>
    </row>
    <row r="186">
      <c r="B186" s="63">
        <f>IF($K186="","",178)</f>
        <v>178</v>
      </c>
      <c r="C186" s="63" t="str">
        <f>IF($K186="","",INDEX('Detalle individual'!$A:$A,$K186))</f>
        <v>916</v>
      </c>
      <c r="D186" s="64" t="str">
        <f>IF($K186="","",TRIM(INDEX('Detalle individual'!$B:$B,$K186)))</f>
        <v>JORDAN ALEXANDER FLORES HERRERA</v>
      </c>
      <c r="E186" s="64" t="str">
        <f>IF($K186="","",TRIM(INDEX('Detalle individual'!$E:$E,$K186)))</f>
        <v>AUXILIAR CONTABLE DE DIGITALIZACION</v>
      </c>
      <c r="F186" s="64" t="str">
        <f>IF($K186="","",TRIM(INDEX('Detalle individual'!$C:$C,$K186)))</f>
        <v>DEPARTAMENTO DE CONTABILIDAD</v>
      </c>
      <c r="G186" s="64" t="str">
        <f>IF($K186="","",INDEX('Detalle individual'!$D:$D,$K186))</f>
        <v>Gerencia de Finanzas y Planificación</v>
      </c>
      <c r="H186" s="63" t="str">
        <f>IF($K186="","",INDEX('Detalle individual'!$F:$F,$K186))</f>
        <v>Completado</v>
      </c>
      <c r="I186" s="77">
        <f>IF($K186="","",IF(INDEX('Detalle individual'!$F:$F,$K186)="Completado",INDEX('Detalle individual'!$H:$H,$K186),""))</f>
        <v>46309.38695601852</v>
      </c>
      <c r="J186" s="78">
        <f>IF($K186="","",IF(INDEX('Detalle individual'!$F:$F,$K186)="Completado",INDEX('Detalle individual'!$J:$J,$K186),""))</f>
        <v>100</v>
      </c>
      <c r="K186">
        <f>IFERROR(MOD(SMALL('Cálculos'!$Z$5:$Z$297,178),1000),"")</f>
        <v>97</v>
      </c>
    </row>
    <row r="187">
      <c r="B187" s="63">
        <f>IF($K187="","",179)</f>
        <v>179</v>
      </c>
      <c r="C187" s="63" t="str">
        <f>IF($K187="","",INDEX('Detalle individual'!$A:$A,$K187))</f>
        <v>207</v>
      </c>
      <c r="D187" s="64" t="str">
        <f>IF($K187="","",TRIM(INDEX('Detalle individual'!$B:$B,$K187)))</f>
        <v>ANA ESTER ERAZO ORTIZ</v>
      </c>
      <c r="E187" s="64" t="str">
        <f>IF($K187="","",TRIM(INDEX('Detalle individual'!$E:$E,$K187)))</f>
        <v>ANALISTA DE CREDITOS</v>
      </c>
      <c r="F187" s="64" t="str">
        <f>IF($K187="","",TRIM(INDEX('Detalle individual'!$C:$C,$K187)))</f>
        <v>DEPARTAMENTO DE CREDITOS</v>
      </c>
      <c r="G187" s="64" t="str">
        <f>IF($K187="","",INDEX('Detalle individual'!$D:$D,$K187))</f>
        <v>Gerencia de Negocios</v>
      </c>
      <c r="H187" s="63" t="str">
        <f>IF($K187="","",INDEX('Detalle individual'!$F:$F,$K187))</f>
        <v>Completado</v>
      </c>
      <c r="I187" s="77">
        <f>IF($K187="","",IF(INDEX('Detalle individual'!$F:$F,$K187)="Completado",INDEX('Detalle individual'!$H:$H,$K187),""))</f>
        <v>46309.40052083333</v>
      </c>
      <c r="J187" s="78">
        <f>IF($K187="","",IF(INDEX('Detalle individual'!$F:$F,$K187)="Completado",INDEX('Detalle individual'!$J:$J,$K187),""))</f>
        <v>100</v>
      </c>
      <c r="K187">
        <f>IFERROR(MOD(SMALL('Cálculos'!$Z$5:$Z$297,179),1000),"")</f>
        <v>152</v>
      </c>
    </row>
    <row r="188">
      <c r="B188" s="63">
        <f>IF($K188="","",180)</f>
        <v>180</v>
      </c>
      <c r="C188" s="63" t="str">
        <f>IF($K188="","",INDEX('Detalle individual'!$A:$A,$K188))</f>
        <v>345</v>
      </c>
      <c r="D188" s="64" t="str">
        <f>IF($K188="","",TRIM(INDEX('Detalle individual'!$B:$B,$K188)))</f>
        <v>ANA EVELYN ROQUE GALEANO</v>
      </c>
      <c r="E188" s="64" t="str">
        <f>IF($K188="","",TRIM(INDEX('Detalle individual'!$E:$E,$K188)))</f>
        <v>AUXILIAR DE CREDITOS</v>
      </c>
      <c r="F188" s="64" t="str">
        <f>IF($K188="","",TRIM(INDEX('Detalle individual'!$C:$C,$K188)))</f>
        <v>DEPARTAMENTO DE CREDITOS</v>
      </c>
      <c r="G188" s="64" t="str">
        <f>IF($K188="","",INDEX('Detalle individual'!$D:$D,$K188))</f>
        <v>Gerencia de Negocios</v>
      </c>
      <c r="H188" s="63" t="str">
        <f>IF($K188="","",INDEX('Detalle individual'!$F:$F,$K188))</f>
        <v>Completado</v>
      </c>
      <c r="I188" s="77">
        <f>IF($K188="","",IF(INDEX('Detalle individual'!$F:$F,$K188)="Completado",INDEX('Detalle individual'!$H:$H,$K188),""))</f>
        <v>46297.65186342593</v>
      </c>
      <c r="J188" s="78">
        <f>IF($K188="","",IF(INDEX('Detalle individual'!$F:$F,$K188)="Completado",INDEX('Detalle individual'!$J:$J,$K188),""))</f>
        <v>90</v>
      </c>
      <c r="K188">
        <f>IFERROR(MOD(SMALL('Cálculos'!$Z$5:$Z$297,180),1000),"")</f>
        <v>153</v>
      </c>
    </row>
    <row r="189">
      <c r="B189" s="63">
        <f>IF($K189="","",181)</f>
        <v>181</v>
      </c>
      <c r="C189" s="63" t="str">
        <f>IF($K189="","",INDEX('Detalle individual'!$A:$A,$K189))</f>
        <v>377</v>
      </c>
      <c r="D189" s="64" t="str">
        <f>IF($K189="","",TRIM(INDEX('Detalle individual'!$B:$B,$K189)))</f>
        <v>MABEL GERALDINE RAMIREZ PORTILLO</v>
      </c>
      <c r="E189" s="64" t="str">
        <f>IF($K189="","",TRIM(INDEX('Detalle individual'!$E:$E,$K189)))</f>
        <v>SUPERVISOR DE ANALISTAS DE CREDITOS</v>
      </c>
      <c r="F189" s="64" t="str">
        <f>IF($K189="","",TRIM(INDEX('Detalle individual'!$C:$C,$K189)))</f>
        <v>DEPARTAMENTO DE CREDITOS</v>
      </c>
      <c r="G189" s="64" t="str">
        <f>IF($K189="","",INDEX('Detalle individual'!$D:$D,$K189))</f>
        <v>Gerencia de Negocios</v>
      </c>
      <c r="H189" s="63" t="str">
        <f>IF($K189="","",INDEX('Detalle individual'!$F:$F,$K189))</f>
        <v>Completado</v>
      </c>
      <c r="I189" s="77">
        <f>IF($K189="","",IF(INDEX('Detalle individual'!$F:$F,$K189)="Completado",INDEX('Detalle individual'!$H:$H,$K189),""))</f>
        <v>46308.57119212963</v>
      </c>
      <c r="J189" s="78">
        <f>IF($K189="","",IF(INDEX('Detalle individual'!$F:$F,$K189)="Completado",INDEX('Detalle individual'!$J:$J,$K189),""))</f>
        <v>100</v>
      </c>
      <c r="K189">
        <f>IFERROR(MOD(SMALL('Cálculos'!$Z$5:$Z$297,181),1000),"")</f>
        <v>154</v>
      </c>
    </row>
    <row r="190">
      <c r="B190" s="63">
        <f>IF($K190="","",182)</f>
        <v>182</v>
      </c>
      <c r="C190" s="63" t="str">
        <f>IF($K190="","",INDEX('Detalle individual'!$A:$A,$K190))</f>
        <v>470</v>
      </c>
      <c r="D190" s="64" t="str">
        <f>IF($K190="","",TRIM(INDEX('Detalle individual'!$B:$B,$K190)))</f>
        <v>ROSALBA RODRIGUEZ JIMENEZ</v>
      </c>
      <c r="E190" s="64" t="str">
        <f>IF($K190="","",TRIM(INDEX('Detalle individual'!$E:$E,$K190)))</f>
        <v>ANALISTA DE CREDITOS</v>
      </c>
      <c r="F190" s="64" t="str">
        <f>IF($K190="","",TRIM(INDEX('Detalle individual'!$C:$C,$K190)))</f>
        <v>DEPARTAMENTO DE CREDITOS</v>
      </c>
      <c r="G190" s="64" t="str">
        <f>IF($K190="","",INDEX('Detalle individual'!$D:$D,$K190))</f>
        <v>Gerencia de Negocios</v>
      </c>
      <c r="H190" s="63" t="str">
        <f>IF($K190="","",INDEX('Detalle individual'!$F:$F,$K190))</f>
        <v>Completado</v>
      </c>
      <c r="I190" s="77">
        <f>IF($K190="","",IF(INDEX('Detalle individual'!$F:$F,$K190)="Completado",INDEX('Detalle individual'!$H:$H,$K190),""))</f>
        <v>46304.409317129626</v>
      </c>
      <c r="J190" s="78">
        <f>IF($K190="","",IF(INDEX('Detalle individual'!$F:$F,$K190)="Completado",INDEX('Detalle individual'!$J:$J,$K190),""))</f>
        <v>100</v>
      </c>
      <c r="K190">
        <f>IFERROR(MOD(SMALL('Cálculos'!$Z$5:$Z$297,182),1000),"")</f>
        <v>155</v>
      </c>
    </row>
    <row r="191">
      <c r="B191" s="63">
        <f>IF($K191="","",183)</f>
        <v>183</v>
      </c>
      <c r="C191" s="63" t="str">
        <f>IF($K191="","",INDEX('Detalle individual'!$A:$A,$K191))</f>
        <v>492</v>
      </c>
      <c r="D191" s="64" t="str">
        <f>IF($K191="","",TRIM(INDEX('Detalle individual'!$B:$B,$K191)))</f>
        <v>CINDIA IVETTE ZEPEDA VASQUEZ</v>
      </c>
      <c r="E191" s="64" t="str">
        <f>IF($K191="","",TRIM(INDEX('Detalle individual'!$E:$E,$K191)))</f>
        <v>AUXILIAR DE CREDITOS</v>
      </c>
      <c r="F191" s="64" t="str">
        <f>IF($K191="","",TRIM(INDEX('Detalle individual'!$C:$C,$K191)))</f>
        <v>DEPARTAMENTO DE CREDITOS</v>
      </c>
      <c r="G191" s="64" t="str">
        <f>IF($K191="","",INDEX('Detalle individual'!$D:$D,$K191))</f>
        <v>Gerencia de Negocios</v>
      </c>
      <c r="H191" s="63" t="str">
        <f>IF($K191="","",INDEX('Detalle individual'!$F:$F,$K191))</f>
        <v>Completado</v>
      </c>
      <c r="I191" s="77">
        <f>IF($K191="","",IF(INDEX('Detalle individual'!$F:$F,$K191)="Completado",INDEX('Detalle individual'!$H:$H,$K191),""))</f>
        <v>46297.66012731481</v>
      </c>
      <c r="J191" s="78">
        <f>IF($K191="","",IF(INDEX('Detalle individual'!$F:$F,$K191)="Completado",INDEX('Detalle individual'!$J:$J,$K191),""))</f>
        <v>100</v>
      </c>
      <c r="K191">
        <f>IFERROR(MOD(SMALL('Cálculos'!$Z$5:$Z$297,183),1000),"")</f>
        <v>156</v>
      </c>
    </row>
    <row r="192">
      <c r="B192" s="63">
        <f>IF($K192="","",184)</f>
        <v>184</v>
      </c>
      <c r="C192" s="63" t="str">
        <f>IF($K192="","",INDEX('Detalle individual'!$A:$A,$K192))</f>
        <v>719</v>
      </c>
      <c r="D192" s="64" t="str">
        <f>IF($K192="","",TRIM(INDEX('Detalle individual'!$B:$B,$K192)))</f>
        <v>INGRID ALEJANDRINA LISSETH GUZMAN SANCHEZ</v>
      </c>
      <c r="E192" s="64" t="str">
        <f>IF($K192="","",TRIM(INDEX('Detalle individual'!$E:$E,$K192)))</f>
        <v>AUXILIAR DE CREDITOS</v>
      </c>
      <c r="F192" s="64" t="str">
        <f>IF($K192="","",TRIM(INDEX('Detalle individual'!$C:$C,$K192)))</f>
        <v>DEPARTAMENTO DE CREDITOS</v>
      </c>
      <c r="G192" s="64" t="str">
        <f>IF($K192="","",INDEX('Detalle individual'!$D:$D,$K192))</f>
        <v>Gerencia de Negocios</v>
      </c>
      <c r="H192" s="63" t="str">
        <f>IF($K192="","",INDEX('Detalle individual'!$F:$F,$K192))</f>
        <v>Completado</v>
      </c>
      <c r="I192" s="77">
        <f>IF($K192="","",IF(INDEX('Detalle individual'!$F:$F,$K192)="Completado",INDEX('Detalle individual'!$H:$H,$K192),""))</f>
        <v>46298.41878472222</v>
      </c>
      <c r="J192" s="78">
        <f>IF($K192="","",IF(INDEX('Detalle individual'!$F:$F,$K192)="Completado",INDEX('Detalle individual'!$J:$J,$K192),""))</f>
        <v>100</v>
      </c>
      <c r="K192">
        <f>IFERROR(MOD(SMALL('Cálculos'!$Z$5:$Z$297,184),1000),"")</f>
        <v>157</v>
      </c>
    </row>
    <row r="193">
      <c r="B193" s="63">
        <f>IF($K193="","",185)</f>
        <v>185</v>
      </c>
      <c r="C193" s="63" t="str">
        <f>IF($K193="","",INDEX('Detalle individual'!$A:$A,$K193))</f>
        <v>730</v>
      </c>
      <c r="D193" s="64" t="str">
        <f>IF($K193="","",TRIM(INDEX('Detalle individual'!$B:$B,$K193)))</f>
        <v>YANETH HERNANDEZ YANES</v>
      </c>
      <c r="E193" s="64" t="str">
        <f>IF($K193="","",TRIM(INDEX('Detalle individual'!$E:$E,$K193)))</f>
        <v>JEFE DE CREDITOS</v>
      </c>
      <c r="F193" s="64" t="str">
        <f>IF($K193="","",TRIM(INDEX('Detalle individual'!$C:$C,$K193)))</f>
        <v>DEPARTAMENTO DE CREDITOS</v>
      </c>
      <c r="G193" s="64" t="str">
        <f>IF($K193="","",INDEX('Detalle individual'!$D:$D,$K193))</f>
        <v>Gerencia de Negocios</v>
      </c>
      <c r="H193" s="63" t="str">
        <f>IF($K193="","",INDEX('Detalle individual'!$F:$F,$K193))</f>
        <v>Completado</v>
      </c>
      <c r="I193" s="77">
        <f>IF($K193="","",IF(INDEX('Detalle individual'!$F:$F,$K193)="Completado",INDEX('Detalle individual'!$H:$H,$K193),""))</f>
        <v>46305.56736111111</v>
      </c>
      <c r="J193" s="78">
        <f>IF($K193="","",IF(INDEX('Detalle individual'!$F:$F,$K193)="Completado",INDEX('Detalle individual'!$J:$J,$K193),""))</f>
        <v>100</v>
      </c>
      <c r="K193">
        <f>IFERROR(MOD(SMALL('Cálculos'!$Z$5:$Z$297,185),1000),"")</f>
        <v>158</v>
      </c>
    </row>
    <row r="194">
      <c r="B194" s="63">
        <f>IF($K194="","",186)</f>
        <v>186</v>
      </c>
      <c r="C194" s="63" t="str">
        <f>IF($K194="","",INDEX('Detalle individual'!$A:$A,$K194))</f>
        <v>780</v>
      </c>
      <c r="D194" s="64" t="str">
        <f>IF($K194="","",TRIM(INDEX('Detalle individual'!$B:$B,$K194)))</f>
        <v>JUAN ANTONIO DE JESUS NUNFIO</v>
      </c>
      <c r="E194" s="64" t="str">
        <f>IF($K194="","",TRIM(INDEX('Detalle individual'!$E:$E,$K194)))</f>
        <v>ANALISTA DE CREDITOS</v>
      </c>
      <c r="F194" s="64" t="str">
        <f>IF($K194="","",TRIM(INDEX('Detalle individual'!$C:$C,$K194)))</f>
        <v>DEPARTAMENTO DE CREDITOS</v>
      </c>
      <c r="G194" s="64" t="str">
        <f>IF($K194="","",INDEX('Detalle individual'!$D:$D,$K194))</f>
        <v>Gerencia de Negocios</v>
      </c>
      <c r="H194" s="63" t="str">
        <f>IF($K194="","",INDEX('Detalle individual'!$F:$F,$K194))</f>
        <v>Completado</v>
      </c>
      <c r="I194" s="77">
        <f>IF($K194="","",IF(INDEX('Detalle individual'!$F:$F,$K194)="Completado",INDEX('Detalle individual'!$H:$H,$K194),""))</f>
        <v>46301.65928240741</v>
      </c>
      <c r="J194" s="78">
        <f>IF($K194="","",IF(INDEX('Detalle individual'!$F:$F,$K194)="Completado",INDEX('Detalle individual'!$J:$J,$K194),""))</f>
        <v>100</v>
      </c>
      <c r="K194">
        <f>IFERROR(MOD(SMALL('Cálculos'!$Z$5:$Z$297,186),1000),"")</f>
        <v>159</v>
      </c>
    </row>
    <row r="195">
      <c r="B195" s="63">
        <f>IF($K195="","",187)</f>
        <v>187</v>
      </c>
      <c r="C195" s="63" t="str">
        <f>IF($K195="","",INDEX('Detalle individual'!$A:$A,$K195))</f>
        <v>781</v>
      </c>
      <c r="D195" s="64" t="str">
        <f>IF($K195="","",TRIM(INDEX('Detalle individual'!$B:$B,$K195)))</f>
        <v>SOFIA SOLEDAD CASTRO VALLE</v>
      </c>
      <c r="E195" s="64" t="str">
        <f>IF($K195="","",TRIM(INDEX('Detalle individual'!$E:$E,$K195)))</f>
        <v>AUXILIAR DE CREDITOS</v>
      </c>
      <c r="F195" s="64" t="str">
        <f>IF($K195="","",TRIM(INDEX('Detalle individual'!$C:$C,$K195)))</f>
        <v>DEPARTAMENTO DE CREDITOS</v>
      </c>
      <c r="G195" s="64" t="str">
        <f>IF($K195="","",INDEX('Detalle individual'!$D:$D,$K195))</f>
        <v>Gerencia de Negocios</v>
      </c>
      <c r="H195" s="63" t="str">
        <f>IF($K195="","",INDEX('Detalle individual'!$F:$F,$K195))</f>
        <v>Completado</v>
      </c>
      <c r="I195" s="77">
        <f>IF($K195="","",IF(INDEX('Detalle individual'!$F:$F,$K195)="Completado",INDEX('Detalle individual'!$H:$H,$K195),""))</f>
        <v>46304.444606481484</v>
      </c>
      <c r="J195" s="78">
        <f>IF($K195="","",IF(INDEX('Detalle individual'!$F:$F,$K195)="Completado",INDEX('Detalle individual'!$J:$J,$K195),""))</f>
        <v>90</v>
      </c>
      <c r="K195">
        <f>IFERROR(MOD(SMALL('Cálculos'!$Z$5:$Z$297,187),1000),"")</f>
        <v>160</v>
      </c>
    </row>
    <row r="196">
      <c r="B196" s="63">
        <f>IF($K196="","",188)</f>
        <v>188</v>
      </c>
      <c r="C196" s="63" t="str">
        <f>IF($K196="","",INDEX('Detalle individual'!$A:$A,$K196))</f>
        <v>809</v>
      </c>
      <c r="D196" s="64" t="str">
        <f>IF($K196="","",TRIM(INDEX('Detalle individual'!$B:$B,$K196)))</f>
        <v>KARLA VANESSA GARCIA OLIVA</v>
      </c>
      <c r="E196" s="64" t="str">
        <f>IF($K196="","",TRIM(INDEX('Detalle individual'!$E:$E,$K196)))</f>
        <v>ANALISTA DE CREDITOS</v>
      </c>
      <c r="F196" s="64" t="str">
        <f>IF($K196="","",TRIM(INDEX('Detalle individual'!$C:$C,$K196)))</f>
        <v>DEPARTAMENTO DE CREDITOS</v>
      </c>
      <c r="G196" s="64" t="str">
        <f>IF($K196="","",INDEX('Detalle individual'!$D:$D,$K196))</f>
        <v>Gerencia de Negocios</v>
      </c>
      <c r="H196" s="63" t="str">
        <f>IF($K196="","",INDEX('Detalle individual'!$F:$F,$K196))</f>
        <v>Completado</v>
      </c>
      <c r="I196" s="77">
        <f>IF($K196="","",IF(INDEX('Detalle individual'!$F:$F,$K196)="Completado",INDEX('Detalle individual'!$H:$H,$K196),""))</f>
        <v>46307.384097222224</v>
      </c>
      <c r="J196" s="78">
        <f>IF($K196="","",IF(INDEX('Detalle individual'!$F:$F,$K196)="Completado",INDEX('Detalle individual'!$J:$J,$K196),""))</f>
        <v>100</v>
      </c>
      <c r="K196">
        <f>IFERROR(MOD(SMALL('Cálculos'!$Z$5:$Z$297,188),1000),"")</f>
        <v>161</v>
      </c>
    </row>
    <row r="197">
      <c r="B197" s="63">
        <f>IF($K197="","",189)</f>
        <v>189</v>
      </c>
      <c r="C197" s="63" t="str">
        <f>IF($K197="","",INDEX('Detalle individual'!$A:$A,$K197))</f>
        <v>837</v>
      </c>
      <c r="D197" s="64" t="str">
        <f>IF($K197="","",TRIM(INDEX('Detalle individual'!$B:$B,$K197)))</f>
        <v>DAYANA ABIGAIL CHAVEZ CORDOVA</v>
      </c>
      <c r="E197" s="64" t="str">
        <f>IF($K197="","",TRIM(INDEX('Detalle individual'!$E:$E,$K197)))</f>
        <v>GESTOR DE EXPEDIENTES</v>
      </c>
      <c r="F197" s="64" t="str">
        <f>IF($K197="","",TRIM(INDEX('Detalle individual'!$C:$C,$K197)))</f>
        <v>DEPARTAMENTO DE CREDITOS</v>
      </c>
      <c r="G197" s="64" t="str">
        <f>IF($K197="","",INDEX('Detalle individual'!$D:$D,$K197))</f>
        <v>Gerencia de Negocios</v>
      </c>
      <c r="H197" s="63" t="str">
        <f>IF($K197="","",INDEX('Detalle individual'!$F:$F,$K197))</f>
        <v>Completado</v>
      </c>
      <c r="I197" s="77">
        <f>IF($K197="","",IF(INDEX('Detalle individual'!$F:$F,$K197)="Completado",INDEX('Detalle individual'!$H:$H,$K197),""))</f>
        <v>46302.48523148148</v>
      </c>
      <c r="J197" s="78">
        <f>IF($K197="","",IF(INDEX('Detalle individual'!$F:$F,$K197)="Completado",INDEX('Detalle individual'!$J:$J,$K197),""))</f>
        <v>100</v>
      </c>
      <c r="K197">
        <f>IFERROR(MOD(SMALL('Cálculos'!$Z$5:$Z$297,189),1000),"")</f>
        <v>162</v>
      </c>
    </row>
    <row r="198">
      <c r="B198" s="63">
        <f>IF($K198="","",190)</f>
        <v>190</v>
      </c>
      <c r="C198" s="63" t="str">
        <f>IF($K198="","",INDEX('Detalle individual'!$A:$A,$K198))</f>
        <v>939</v>
      </c>
      <c r="D198" s="64" t="str">
        <f>IF($K198="","",TRIM(INDEX('Detalle individual'!$B:$B,$K198)))</f>
        <v>MARIO LEONEL CANDRAY FLORES</v>
      </c>
      <c r="E198" s="64" t="str">
        <f>IF($K198="","",TRIM(INDEX('Detalle individual'!$E:$E,$K198)))</f>
        <v>ANALISTA DE CREDITOS</v>
      </c>
      <c r="F198" s="64" t="str">
        <f>IF($K198="","",TRIM(INDEX('Detalle individual'!$C:$C,$K198)))</f>
        <v>DEPARTAMENTO DE CREDITOS</v>
      </c>
      <c r="G198" s="64" t="str">
        <f>IF($K198="","",INDEX('Detalle individual'!$D:$D,$K198))</f>
        <v>Gerencia de Negocios</v>
      </c>
      <c r="H198" s="63" t="str">
        <f>IF($K198="","",INDEX('Detalle individual'!$F:$F,$K198))</f>
        <v>Completado</v>
      </c>
      <c r="I198" s="77">
        <f>IF($K198="","",IF(INDEX('Detalle individual'!$F:$F,$K198)="Completado",INDEX('Detalle individual'!$H:$H,$K198),""))</f>
        <v>46307.37395833333</v>
      </c>
      <c r="J198" s="78">
        <f>IF($K198="","",IF(INDEX('Detalle individual'!$F:$F,$K198)="Completado",INDEX('Detalle individual'!$J:$J,$K198),""))</f>
        <v>100</v>
      </c>
      <c r="K198">
        <f>IFERROR(MOD(SMALL('Cálculos'!$Z$5:$Z$297,190),1000),"")</f>
        <v>163</v>
      </c>
    </row>
    <row r="199">
      <c r="B199" s="63">
        <f>IF($K199="","",191)</f>
        <v>191</v>
      </c>
      <c r="C199" s="63" t="str">
        <f>IF($K199="","",INDEX('Detalle individual'!$A:$A,$K199))</f>
        <v>979</v>
      </c>
      <c r="D199" s="64" t="str">
        <f>IF($K199="","",TRIM(INDEX('Detalle individual'!$B:$B,$K199)))</f>
        <v>MARIA LILIAN MENJIVAR GUARDADO</v>
      </c>
      <c r="E199" s="64" t="str">
        <f>IF($K199="","",TRIM(INDEX('Detalle individual'!$E:$E,$K199)))</f>
        <v>ANALISTA DE CREDITOS</v>
      </c>
      <c r="F199" s="64" t="str">
        <f>IF($K199="","",TRIM(INDEX('Detalle individual'!$C:$C,$K199)))</f>
        <v>DEPARTAMENTO DE CREDITOS</v>
      </c>
      <c r="G199" s="64" t="str">
        <f>IF($K199="","",INDEX('Detalle individual'!$D:$D,$K199))</f>
        <v>Gerencia de Negocios</v>
      </c>
      <c r="H199" s="63" t="str">
        <f>IF($K199="","",INDEX('Detalle individual'!$F:$F,$K199))</f>
        <v>Completado</v>
      </c>
      <c r="I199" s="77">
        <f>IF($K199="","",IF(INDEX('Detalle individual'!$F:$F,$K199)="Completado",INDEX('Detalle individual'!$H:$H,$K199),""))</f>
        <v>46307.37511574074</v>
      </c>
      <c r="J199" s="78">
        <f>IF($K199="","",IF(INDEX('Detalle individual'!$F:$F,$K199)="Completado",INDEX('Detalle individual'!$J:$J,$K199),""))</f>
        <v>100</v>
      </c>
      <c r="K199">
        <f>IFERROR(MOD(SMALL('Cálculos'!$Z$5:$Z$297,191),1000),"")</f>
        <v>164</v>
      </c>
    </row>
    <row r="200">
      <c r="B200" s="63">
        <f>IF($K200="","",192)</f>
        <v>192</v>
      </c>
      <c r="C200" s="63" t="str">
        <f>IF($K200="","",INDEX('Detalle individual'!$A:$A,$K200))</f>
        <v>539</v>
      </c>
      <c r="D200" s="64" t="str">
        <f>IF($K200="","",TRIM(INDEX('Detalle individual'!$B:$B,$K200)))</f>
        <v>JESICA XIOMARA RAMOS PEÑA</v>
      </c>
      <c r="E200" s="64" t="str">
        <f>IF($K200="","",TRIM(INDEX('Detalle individual'!$E:$E,$K200)))</f>
        <v>JEFE DE CUSTODIA DE GARANTÍA Y VALORES</v>
      </c>
      <c r="F200" s="64" t="str">
        <f>IF($K200="","",TRIM(INDEX('Detalle individual'!$C:$C,$K200)))</f>
        <v>DEPARTAMENTO DE CUSTODIA DE GARANTÍA Y VALORES</v>
      </c>
      <c r="G200" s="64" t="str">
        <f>IF($K200="","",INDEX('Detalle individual'!$D:$D,$K200))</f>
        <v>Gerencia Administrativa</v>
      </c>
      <c r="H200" s="63" t="str">
        <f>IF($K200="","",INDEX('Detalle individual'!$F:$F,$K200))</f>
        <v>Completado</v>
      </c>
      <c r="I200" s="77">
        <f>IF($K200="","",IF(INDEX('Detalle individual'!$F:$F,$K200)="Completado",INDEX('Detalle individual'!$H:$H,$K200),""))</f>
        <v>46304.70379629629</v>
      </c>
      <c r="J200" s="78">
        <f>IF($K200="","",IF(INDEX('Detalle individual'!$F:$F,$K200)="Completado",INDEX('Detalle individual'!$J:$J,$K200),""))</f>
        <v>100</v>
      </c>
      <c r="K200">
        <f>IFERROR(MOD(SMALL('Cálculos'!$Z$5:$Z$297,192),1000),"")</f>
        <v>43</v>
      </c>
    </row>
    <row r="201">
      <c r="B201" s="63">
        <f>IF($K201="","",193)</f>
        <v>193</v>
      </c>
      <c r="C201" s="63" t="str">
        <f>IF($K201="","",INDEX('Detalle individual'!$A:$A,$K201))</f>
        <v>678</v>
      </c>
      <c r="D201" s="64" t="str">
        <f>IF($K201="","",TRIM(INDEX('Detalle individual'!$B:$B,$K201)))</f>
        <v>CARLOS ALBERTO VELASQUEZ ALVARADO</v>
      </c>
      <c r="E201" s="64" t="str">
        <f>IF($K201="","",TRIM(INDEX('Detalle individual'!$E:$E,$K201)))</f>
        <v>ANALISTA DE ARCHIVO CENTRAL</v>
      </c>
      <c r="F201" s="64" t="str">
        <f>IF($K201="","",TRIM(INDEX('Detalle individual'!$C:$C,$K201)))</f>
        <v>DEPARTAMENTO DE CUSTODIA DE GARANTÍA Y VALORES</v>
      </c>
      <c r="G201" s="64" t="str">
        <f>IF($K201="","",INDEX('Detalle individual'!$D:$D,$K201))</f>
        <v>Gerencia Administrativa</v>
      </c>
      <c r="H201" s="63" t="str">
        <f>IF($K201="","",INDEX('Detalle individual'!$F:$F,$K201))</f>
        <v>Completado</v>
      </c>
      <c r="I201" s="77">
        <f>IF($K201="","",IF(INDEX('Detalle individual'!$F:$F,$K201)="Completado",INDEX('Detalle individual'!$H:$H,$K201),""))</f>
        <v>46304.422789351855</v>
      </c>
      <c r="J201" s="78">
        <f>IF($K201="","",IF(INDEX('Detalle individual'!$F:$F,$K201)="Completado",INDEX('Detalle individual'!$J:$J,$K201),""))</f>
        <v>100</v>
      </c>
      <c r="K201">
        <f>IFERROR(MOD(SMALL('Cálculos'!$Z$5:$Z$297,193),1000),"")</f>
        <v>44</v>
      </c>
    </row>
    <row r="202">
      <c r="B202" s="63">
        <f>IF($K202="","",194)</f>
        <v>194</v>
      </c>
      <c r="C202" s="63" t="str">
        <f>IF($K202="","",INDEX('Detalle individual'!$A:$A,$K202))</f>
        <v>740</v>
      </c>
      <c r="D202" s="64" t="str">
        <f>IF($K202="","",TRIM(INDEX('Detalle individual'!$B:$B,$K202)))</f>
        <v>RAFAEL ERNESTO LOPEZ MARTINEZ</v>
      </c>
      <c r="E202" s="64" t="str">
        <f>IF($K202="","",TRIM(INDEX('Detalle individual'!$E:$E,$K202)))</f>
        <v>ASISTENTE ADMINISTRATIVO CUSTODIA DE GARANTIA Y VALORES</v>
      </c>
      <c r="F202" s="64" t="str">
        <f>IF($K202="","",TRIM(INDEX('Detalle individual'!$C:$C,$K202)))</f>
        <v>DEPARTAMENTO DE CUSTODIA DE GARANTÍA Y VALORES</v>
      </c>
      <c r="G202" s="64" t="str">
        <f>IF($K202="","",INDEX('Detalle individual'!$D:$D,$K202))</f>
        <v>Gerencia Administrativa</v>
      </c>
      <c r="H202" s="63" t="str">
        <f>IF($K202="","",INDEX('Detalle individual'!$F:$F,$K202))</f>
        <v>Completado</v>
      </c>
      <c r="I202" s="77">
        <f>IF($K202="","",IF(INDEX('Detalle individual'!$F:$F,$K202)="Completado",INDEX('Detalle individual'!$H:$H,$K202),""))</f>
        <v>46304.685949074075</v>
      </c>
      <c r="J202" s="78">
        <f>IF($K202="","",IF(INDEX('Detalle individual'!$F:$F,$K202)="Completado",INDEX('Detalle individual'!$J:$J,$K202),""))</f>
        <v>100</v>
      </c>
      <c r="K202">
        <f>IFERROR(MOD(SMALL('Cálculos'!$Z$5:$Z$297,194),1000),"")</f>
        <v>45</v>
      </c>
    </row>
    <row r="203">
      <c r="B203" s="63">
        <f>IF($K203="","",195)</f>
        <v>195</v>
      </c>
      <c r="C203" s="63" t="str">
        <f>IF($K203="","",INDEX('Detalle individual'!$A:$A,$K203))</f>
        <v>934</v>
      </c>
      <c r="D203" s="64" t="str">
        <f>IF($K203="","",TRIM(INDEX('Detalle individual'!$B:$B,$K203)))</f>
        <v>JOSE FRANCISCO ZECEÑA MUÑOZ</v>
      </c>
      <c r="E203" s="64" t="str">
        <f>IF($K203="","",TRIM(INDEX('Detalle individual'!$E:$E,$K203)))</f>
        <v>AUXILIAR DE CUSTODIA DE VALORES</v>
      </c>
      <c r="F203" s="64" t="str">
        <f>IF($K203="","",TRIM(INDEX('Detalle individual'!$C:$C,$K203)))</f>
        <v>DEPARTAMENTO DE CUSTODIA DE GARANTÍA Y VALORES</v>
      </c>
      <c r="G203" s="64" t="str">
        <f>IF($K203="","",INDEX('Detalle individual'!$D:$D,$K203))</f>
        <v>Gerencia Administrativa</v>
      </c>
      <c r="H203" s="63" t="str">
        <f>IF($K203="","",INDEX('Detalle individual'!$F:$F,$K203))</f>
        <v>Completado</v>
      </c>
      <c r="I203" s="77">
        <f>IF($K203="","",IF(INDEX('Detalle individual'!$F:$F,$K203)="Completado",INDEX('Detalle individual'!$H:$H,$K203),""))</f>
        <v>46304.67644675926</v>
      </c>
      <c r="J203" s="78">
        <f>IF($K203="","",IF(INDEX('Detalle individual'!$F:$F,$K203)="Completado",INDEX('Detalle individual'!$J:$J,$K203),""))</f>
        <v>100</v>
      </c>
      <c r="K203">
        <f>IFERROR(MOD(SMALL('Cálculos'!$Z$5:$Z$297,195),1000),"")</f>
        <v>46</v>
      </c>
    </row>
    <row r="204">
      <c r="B204" s="63">
        <f>IF($K204="","",196)</f>
        <v>196</v>
      </c>
      <c r="C204" s="63" t="str">
        <f>IF($K204="","",INDEX('Detalle individual'!$A:$A,$K204))</f>
        <v>949</v>
      </c>
      <c r="D204" s="64" t="str">
        <f>IF($K204="","",TRIM(INDEX('Detalle individual'!$B:$B,$K204)))</f>
        <v>ALEJANDRO JOSE ARGUETA CORTEZ</v>
      </c>
      <c r="E204" s="64" t="str">
        <f>IF($K204="","",TRIM(INDEX('Detalle individual'!$E:$E,$K204)))</f>
        <v>AUXILIAR DE CUSTODIA DE VALORES</v>
      </c>
      <c r="F204" s="64" t="str">
        <f>IF($K204="","",TRIM(INDEX('Detalle individual'!$C:$C,$K204)))</f>
        <v>DEPARTAMENTO DE CUSTODIA DE GARANTÍA Y VALORES</v>
      </c>
      <c r="G204" s="64" t="str">
        <f>IF($K204="","",INDEX('Detalle individual'!$D:$D,$K204))</f>
        <v>Gerencia Administrativa</v>
      </c>
      <c r="H204" s="63" t="str">
        <f>IF($K204="","",INDEX('Detalle individual'!$F:$F,$K204))</f>
        <v>Completado</v>
      </c>
      <c r="I204" s="77">
        <f>IF($K204="","",IF(INDEX('Detalle individual'!$F:$F,$K204)="Completado",INDEX('Detalle individual'!$H:$H,$K204),""))</f>
        <v>46304.682708333334</v>
      </c>
      <c r="J204" s="78">
        <f>IF($K204="","",IF(INDEX('Detalle individual'!$F:$F,$K204)="Completado",INDEX('Detalle individual'!$J:$J,$K204),""))</f>
        <v>100</v>
      </c>
      <c r="K204">
        <f>IFERROR(MOD(SMALL('Cálculos'!$Z$5:$Z$297,196),1000),"")</f>
        <v>47</v>
      </c>
    </row>
    <row r="205">
      <c r="B205" s="63">
        <f>IF($K205="","",197)</f>
        <v>197</v>
      </c>
      <c r="C205" s="63" t="str">
        <f>IF($K205="","",INDEX('Detalle individual'!$A:$A,$K205))</f>
        <v>973</v>
      </c>
      <c r="D205" s="64" t="str">
        <f>IF($K205="","",TRIM(INDEX('Detalle individual'!$B:$B,$K205)))</f>
        <v>HUGO ROLANDO VELASCO RIVERA</v>
      </c>
      <c r="E205" s="64" t="str">
        <f>IF($K205="","",TRIM(INDEX('Detalle individual'!$E:$E,$K205)))</f>
        <v>AUXILIAR DE CUSTODIA DE VALORES</v>
      </c>
      <c r="F205" s="64" t="str">
        <f>IF($K205="","",TRIM(INDEX('Detalle individual'!$C:$C,$K205)))</f>
        <v>DEPARTAMENTO DE CUSTODIA DE GARANTÍA Y VALORES</v>
      </c>
      <c r="G205" s="64" t="str">
        <f>IF($K205="","",INDEX('Detalle individual'!$D:$D,$K205))</f>
        <v>Gerencia Administrativa</v>
      </c>
      <c r="H205" s="63" t="str">
        <f>IF($K205="","",INDEX('Detalle individual'!$F:$F,$K205))</f>
        <v>Completado</v>
      </c>
      <c r="I205" s="77">
        <f>IF($K205="","",IF(INDEX('Detalle individual'!$F:$F,$K205)="Completado",INDEX('Detalle individual'!$H:$H,$K205),""))</f>
        <v>46298.51430555555</v>
      </c>
      <c r="J205" s="78">
        <f>IF($K205="","",IF(INDEX('Detalle individual'!$F:$F,$K205)="Completado",INDEX('Detalle individual'!$J:$J,$K205),""))</f>
        <v>100</v>
      </c>
      <c r="K205">
        <f>IFERROR(MOD(SMALL('Cálculos'!$Z$5:$Z$297,197),1000),"")</f>
        <v>48</v>
      </c>
    </row>
    <row r="206">
      <c r="B206" s="63">
        <f>IF($K206="","",198)</f>
        <v>198</v>
      </c>
      <c r="C206" s="63" t="str">
        <f>IF($K206="","",INDEX('Detalle individual'!$A:$A,$K206))</f>
        <v>284</v>
      </c>
      <c r="D206" s="64" t="str">
        <f>IF($K206="","",TRIM(INDEX('Detalle individual'!$B:$B,$K206)))</f>
        <v>MARIO ANTONIO NAVARRO PINEDA</v>
      </c>
      <c r="E206" s="64" t="str">
        <f>IF($K206="","",TRIM(INDEX('Detalle individual'!$E:$E,$K206)))</f>
        <v>JEFE DE DEPOSITOS</v>
      </c>
      <c r="F206" s="64" t="str">
        <f>IF($K206="","",TRIM(INDEX('Detalle individual'!$C:$C,$K206)))</f>
        <v>DEPARTAMENTO DE DEPOSITOS</v>
      </c>
      <c r="G206" s="64" t="str">
        <f>IF($K206="","",INDEX('Detalle individual'!$D:$D,$K206))</f>
        <v>Gerencia de Operaciones</v>
      </c>
      <c r="H206" s="63" t="str">
        <f>IF($K206="","",INDEX('Detalle individual'!$F:$F,$K206))</f>
        <v>Completado</v>
      </c>
      <c r="I206" s="77">
        <f>IF($K206="","",IF(INDEX('Detalle individual'!$F:$F,$K206)="Completado",INDEX('Detalle individual'!$H:$H,$K206),""))</f>
        <v>46305.513344907406</v>
      </c>
      <c r="J206" s="78">
        <f>IF($K206="","",IF(INDEX('Detalle individual'!$F:$F,$K206)="Completado",INDEX('Detalle individual'!$J:$J,$K206),""))</f>
        <v>100</v>
      </c>
      <c r="K206">
        <f>IFERROR(MOD(SMALL('Cálculos'!$Z$5:$Z$297,198),1000),"")</f>
        <v>75</v>
      </c>
    </row>
    <row r="207">
      <c r="B207" s="63">
        <f>IF($K207="","",199)</f>
        <v>199</v>
      </c>
      <c r="C207" s="63" t="str">
        <f>IF($K207="","",INDEX('Detalle individual'!$A:$A,$K207))</f>
        <v>632</v>
      </c>
      <c r="D207" s="64" t="str">
        <f>IF($K207="","",TRIM(INDEX('Detalle individual'!$B:$B,$K207)))</f>
        <v>LUCILA MARGARITA CORCIO QUINTANILLA</v>
      </c>
      <c r="E207" s="64" t="str">
        <f>IF($K207="","",TRIM(INDEX('Detalle individual'!$E:$E,$K207)))</f>
        <v>ASISTENTE COMPENSADOR DE CHEQUES</v>
      </c>
      <c r="F207" s="64" t="str">
        <f>IF($K207="","",TRIM(INDEX('Detalle individual'!$C:$C,$K207)))</f>
        <v>DEPARTAMENTO DE DEPOSITOS</v>
      </c>
      <c r="G207" s="64" t="str">
        <f>IF($K207="","",INDEX('Detalle individual'!$D:$D,$K207))</f>
        <v>Gerencia de Operaciones</v>
      </c>
      <c r="H207" s="63" t="str">
        <f>IF($K207="","",INDEX('Detalle individual'!$F:$F,$K207))</f>
        <v>Completado</v>
      </c>
      <c r="I207" s="77">
        <f>IF($K207="","",IF(INDEX('Detalle individual'!$F:$F,$K207)="Completado",INDEX('Detalle individual'!$H:$H,$K207),""))</f>
        <v>46296.57800925926</v>
      </c>
      <c r="J207" s="78">
        <f>IF($K207="","",IF(INDEX('Detalle individual'!$F:$F,$K207)="Completado",INDEX('Detalle individual'!$J:$J,$K207),""))</f>
        <v>100</v>
      </c>
      <c r="K207">
        <f>IFERROR(MOD(SMALL('Cálculos'!$Z$5:$Z$297,199),1000),"")</f>
        <v>76</v>
      </c>
    </row>
    <row r="208">
      <c r="B208" s="63">
        <f>IF($K208="","",200)</f>
        <v>200</v>
      </c>
      <c r="C208" s="63" t="str">
        <f>IF($K208="","",INDEX('Detalle individual'!$A:$A,$K208))</f>
        <v>773</v>
      </c>
      <c r="D208" s="64" t="str">
        <f>IF($K208="","",TRIM(INDEX('Detalle individual'!$B:$B,$K208)))</f>
        <v>HELLEN ESTEFANI RODRIGUEZ GARCIA</v>
      </c>
      <c r="E208" s="64" t="str">
        <f>IF($K208="","",TRIM(INDEX('Detalle individual'!$E:$E,$K208)))</f>
        <v>ASISTENTE COMPENSADOR DE CHEQUES</v>
      </c>
      <c r="F208" s="64" t="str">
        <f>IF($K208="","",TRIM(INDEX('Detalle individual'!$C:$C,$K208)))</f>
        <v>DEPARTAMENTO DE DEPOSITOS</v>
      </c>
      <c r="G208" s="64" t="str">
        <f>IF($K208="","",INDEX('Detalle individual'!$D:$D,$K208))</f>
        <v>Gerencia de Operaciones</v>
      </c>
      <c r="H208" s="63" t="str">
        <f>IF($K208="","",INDEX('Detalle individual'!$F:$F,$K208))</f>
        <v>Completado</v>
      </c>
      <c r="I208" s="77">
        <f>IF($K208="","",IF(INDEX('Detalle individual'!$F:$F,$K208)="Completado",INDEX('Detalle individual'!$H:$H,$K208),""))</f>
        <v>46297.47550925926</v>
      </c>
      <c r="J208" s="78">
        <f>IF($K208="","",IF(INDEX('Detalle individual'!$F:$F,$K208)="Completado",INDEX('Detalle individual'!$J:$J,$K208),""))</f>
        <v>95</v>
      </c>
      <c r="K208">
        <f>IFERROR(MOD(SMALL('Cálculos'!$Z$5:$Z$297,200),1000),"")</f>
        <v>77</v>
      </c>
    </row>
    <row r="209">
      <c r="B209" s="63">
        <f>IF($K209="","",201)</f>
        <v>201</v>
      </c>
      <c r="C209" s="63" t="str">
        <f>IF($K209="","",INDEX('Detalle individual'!$A:$A,$K209))</f>
        <v>787</v>
      </c>
      <c r="D209" s="64" t="str">
        <f>IF($K209="","",TRIM(INDEX('Detalle individual'!$B:$B,$K209)))</f>
        <v>WALTER OSWALDO SANCHEZ RIVAS</v>
      </c>
      <c r="E209" s="64" t="str">
        <f>IF($K209="","",TRIM(INDEX('Detalle individual'!$E:$E,$K209)))</f>
        <v>ASISTENTE COMPENSADOR DE CHEQUES</v>
      </c>
      <c r="F209" s="64" t="str">
        <f>IF($K209="","",TRIM(INDEX('Detalle individual'!$C:$C,$K209)))</f>
        <v>DEPARTAMENTO DE DEPOSITOS</v>
      </c>
      <c r="G209" s="64" t="str">
        <f>IF($K209="","",INDEX('Detalle individual'!$D:$D,$K209))</f>
        <v>Gerencia de Operaciones</v>
      </c>
      <c r="H209" s="63" t="str">
        <f>IF($K209="","",INDEX('Detalle individual'!$F:$F,$K209))</f>
        <v>Completado</v>
      </c>
      <c r="I209" s="77">
        <f>IF($K209="","",IF(INDEX('Detalle individual'!$F:$F,$K209)="Completado",INDEX('Detalle individual'!$H:$H,$K209),""))</f>
        <v>46304.692928240744</v>
      </c>
      <c r="J209" s="78">
        <f>IF($K209="","",IF(INDEX('Detalle individual'!$F:$F,$K209)="Completado",INDEX('Detalle individual'!$J:$J,$K209),""))</f>
        <v>100</v>
      </c>
      <c r="K209">
        <f>IFERROR(MOD(SMALL('Cálculos'!$Z$5:$Z$297,201),1000),"")</f>
        <v>78</v>
      </c>
    </row>
    <row r="210">
      <c r="B210" s="63">
        <f>IF($K210="","",202)</f>
        <v>202</v>
      </c>
      <c r="C210" s="63" t="str">
        <f>IF($K210="","",INDEX('Detalle individual'!$A:$A,$K210))</f>
        <v>853</v>
      </c>
      <c r="D210" s="64" t="str">
        <f>IF($K210="","",TRIM(INDEX('Detalle individual'!$B:$B,$K210)))</f>
        <v>STEPHANIE CAROLINA MALDONADO FLORES</v>
      </c>
      <c r="E210" s="64" t="str">
        <f>IF($K210="","",TRIM(INDEX('Detalle individual'!$E:$E,$K210)))</f>
        <v>ASISTENTE TECNICO DEPARTAMENTO DE EDUCACION Y RESPONSABILIDA</v>
      </c>
      <c r="F210" s="64" t="str">
        <f>IF($K210="","",TRIM(INDEX('Detalle individual'!$C:$C,$K210)))</f>
        <v>DEPARTAMENTO DE EDUCACION Y RESPONSABILIDAD SOCIAL</v>
      </c>
      <c r="G210" s="64" t="str">
        <f>IF($K210="","",INDEX('Detalle individual'!$D:$D,$K210))</f>
        <v>Gerencia Administrativa</v>
      </c>
      <c r="H210" s="63" t="str">
        <f>IF($K210="","",INDEX('Detalle individual'!$F:$F,$K210))</f>
        <v>Completado</v>
      </c>
      <c r="I210" s="77">
        <f>IF($K210="","",IF(INDEX('Detalle individual'!$F:$F,$K210)="Completado",INDEX('Detalle individual'!$H:$H,$K210),""))</f>
        <v>46301.64635416667</v>
      </c>
      <c r="J210" s="78">
        <f>IF($K210="","",IF(INDEX('Detalle individual'!$F:$F,$K210)="Completado",INDEX('Detalle individual'!$J:$J,$K210),""))</f>
        <v>100</v>
      </c>
      <c r="K210">
        <f>IFERROR(MOD(SMALL('Cálculos'!$Z$5:$Z$297,202),1000),"")</f>
        <v>57</v>
      </c>
    </row>
    <row r="211">
      <c r="B211" s="63">
        <f>IF($K211="","",203)</f>
        <v>203</v>
      </c>
      <c r="C211" s="63" t="str">
        <f>IF($K211="","",INDEX('Detalle individual'!$A:$A,$K211))</f>
        <v>219</v>
      </c>
      <c r="D211" s="64" t="str">
        <f>IF($K211="","",TRIM(INDEX('Detalle individual'!$B:$B,$K211)))</f>
        <v>IVONNE LISSETH DE JESUS RODRIGUEZ FLORES</v>
      </c>
      <c r="E211" s="64" t="str">
        <f>IF($K211="","",TRIM(INDEX('Detalle individual'!$E:$E,$K211)))</f>
        <v>ASISTENTE TELEMARKETING</v>
      </c>
      <c r="F211" s="64" t="str">
        <f>IF($K211="","",TRIM(INDEX('Detalle individual'!$C:$C,$K211)))</f>
        <v>DEPARTAMENTO DE MERCADEO</v>
      </c>
      <c r="G211" s="64" t="str">
        <f>IF($K211="","",INDEX('Detalle individual'!$D:$D,$K211))</f>
        <v>Gerencia de Negocios</v>
      </c>
      <c r="H211" s="63" t="str">
        <f>IF($K211="","",INDEX('Detalle individual'!$F:$F,$K211))</f>
        <v>Completado</v>
      </c>
      <c r="I211" s="77">
        <f>IF($K211="","",IF(INDEX('Detalle individual'!$F:$F,$K211)="Completado",INDEX('Detalle individual'!$H:$H,$K211),""))</f>
        <v>46308.39677083334</v>
      </c>
      <c r="J211" s="78">
        <f>IF($K211="","",IF(INDEX('Detalle individual'!$F:$F,$K211)="Completado",INDEX('Detalle individual'!$J:$J,$K211),""))</f>
        <v>95</v>
      </c>
      <c r="K211">
        <f>IFERROR(MOD(SMALL('Cálculos'!$Z$5:$Z$297,203),1000),"")</f>
        <v>145</v>
      </c>
    </row>
    <row r="212">
      <c r="B212" s="63">
        <f>IF($K212="","",204)</f>
        <v>204</v>
      </c>
      <c r="C212" s="63" t="str">
        <f>IF($K212="","",INDEX('Detalle individual'!$A:$A,$K212))</f>
        <v>982</v>
      </c>
      <c r="D212" s="64" t="str">
        <f>IF($K212="","",TRIM(INDEX('Detalle individual'!$B:$B,$K212)))</f>
        <v>ALEJANDRA ABIGAIL RAMIREZ ROMERO</v>
      </c>
      <c r="E212" s="64" t="str">
        <f>IF($K212="","",TRIM(INDEX('Detalle individual'!$E:$E,$K212)))</f>
        <v>DISEÑADOR GRAFICO</v>
      </c>
      <c r="F212" s="64" t="str">
        <f>IF($K212="","",TRIM(INDEX('Detalle individual'!$C:$C,$K212)))</f>
        <v>DEPARTAMENTO DE MERCADEO</v>
      </c>
      <c r="G212" s="64" t="str">
        <f>IF($K212="","",INDEX('Detalle individual'!$D:$D,$K212))</f>
        <v>Gerencia de Negocios</v>
      </c>
      <c r="H212" s="63" t="str">
        <f>IF($K212="","",INDEX('Detalle individual'!$F:$F,$K212))</f>
        <v>Completado</v>
      </c>
      <c r="I212" s="77">
        <f>IF($K212="","",IF(INDEX('Detalle individual'!$F:$F,$K212)="Completado",INDEX('Detalle individual'!$H:$H,$K212),""))</f>
        <v>46301.64126157408</v>
      </c>
      <c r="J212" s="78">
        <f>IF($K212="","",IF(INDEX('Detalle individual'!$F:$F,$K212)="Completado",INDEX('Detalle individual'!$J:$J,$K212),""))</f>
        <v>100</v>
      </c>
      <c r="K212">
        <f>IFERROR(MOD(SMALL('Cálculos'!$Z$5:$Z$297,204),1000),"")</f>
        <v>151</v>
      </c>
    </row>
    <row r="213">
      <c r="B213" s="63">
        <f>IF($K213="","",205)</f>
        <v>205</v>
      </c>
      <c r="C213" s="63" t="str">
        <f>IF($K213="","",INDEX('Detalle individual'!$A:$A,$K213))</f>
        <v>119</v>
      </c>
      <c r="D213" s="64" t="str">
        <f>IF($K213="","",TRIM(INDEX('Detalle individual'!$B:$B,$K213)))</f>
        <v>JUAN JOSE LOPEZ ALFARO</v>
      </c>
      <c r="E213" s="64" t="str">
        <f>IF($K213="","",TRIM(INDEX('Detalle individual'!$E:$E,$K213)))</f>
        <v>OPERADOR DE SISTEMAS</v>
      </c>
      <c r="F213" s="64" t="str">
        <f>IF($K213="","",TRIM(INDEX('Detalle individual'!$C:$C,$K213)))</f>
        <v>DEPARTAMENTO DE OPERACIONES Y SOPORTE TECNICO</v>
      </c>
      <c r="G213" s="64" t="str">
        <f>IF($K213="","",INDEX('Detalle individual'!$D:$D,$K213))</f>
        <v>Gerencia de Sistemas</v>
      </c>
      <c r="H213" s="63" t="str">
        <f>IF($K213="","",INDEX('Detalle individual'!$F:$F,$K213))</f>
        <v>Completado</v>
      </c>
      <c r="I213" s="77">
        <f>IF($K213="","",IF(INDEX('Detalle individual'!$F:$F,$K213)="Completado",INDEX('Detalle individual'!$H:$H,$K213),""))</f>
        <v>46302.441828703704</v>
      </c>
      <c r="J213" s="78">
        <f>IF($K213="","",IF(INDEX('Detalle individual'!$F:$F,$K213)="Completado",INDEX('Detalle individual'!$J:$J,$K213),""))</f>
        <v>100</v>
      </c>
      <c r="K213">
        <f>IFERROR(MOD(SMALL('Cálculos'!$Z$5:$Z$297,205),1000),"")</f>
        <v>105</v>
      </c>
    </row>
    <row r="214">
      <c r="B214" s="63">
        <f>IF($K214="","",206)</f>
        <v>206</v>
      </c>
      <c r="C214" s="63" t="str">
        <f>IF($K214="","",INDEX('Detalle individual'!$A:$A,$K214))</f>
        <v>221</v>
      </c>
      <c r="D214" s="64" t="str">
        <f>IF($K214="","",TRIM(INDEX('Detalle individual'!$B:$B,$K214)))</f>
        <v>CARLOS ORLANDO GARCIA VELASQUEZ</v>
      </c>
      <c r="E214" s="64" t="str">
        <f>IF($K214="","",TRIM(INDEX('Detalle individual'!$E:$E,$K214)))</f>
        <v>TECNICO EN SOPORTE</v>
      </c>
      <c r="F214" s="64" t="str">
        <f>IF($K214="","",TRIM(INDEX('Detalle individual'!$C:$C,$K214)))</f>
        <v>DEPARTAMENTO DE OPERACIONES Y SOPORTE TECNICO</v>
      </c>
      <c r="G214" s="64" t="str">
        <f>IF($K214="","",INDEX('Detalle individual'!$D:$D,$K214))</f>
        <v>Gerencia de Sistemas</v>
      </c>
      <c r="H214" s="63" t="str">
        <f>IF($K214="","",INDEX('Detalle individual'!$F:$F,$K214))</f>
        <v>Completado</v>
      </c>
      <c r="I214" s="77">
        <f>IF($K214="","",IF(INDEX('Detalle individual'!$F:$F,$K214)="Completado",INDEX('Detalle individual'!$H:$H,$K214),""))</f>
        <v>46300.58950231481</v>
      </c>
      <c r="J214" s="78">
        <f>IF($K214="","",IF(INDEX('Detalle individual'!$F:$F,$K214)="Completado",INDEX('Detalle individual'!$J:$J,$K214),""))</f>
        <v>100</v>
      </c>
      <c r="K214">
        <f>IFERROR(MOD(SMALL('Cálculos'!$Z$5:$Z$297,206),1000),"")</f>
        <v>106</v>
      </c>
    </row>
    <row r="215">
      <c r="B215" s="63">
        <f>IF($K215="","",207)</f>
        <v>207</v>
      </c>
      <c r="C215" s="63" t="str">
        <f>IF($K215="","",INDEX('Detalle individual'!$A:$A,$K215))</f>
        <v>259</v>
      </c>
      <c r="D215" s="64" t="str">
        <f>IF($K215="","",TRIM(INDEX('Detalle individual'!$B:$B,$K215)))</f>
        <v>EDGAR MARGARITO POZO SHUPAN</v>
      </c>
      <c r="E215" s="64" t="str">
        <f>IF($K215="","",TRIM(INDEX('Detalle individual'!$E:$E,$K215)))</f>
        <v>TECNICO EN SOPORTE</v>
      </c>
      <c r="F215" s="64" t="str">
        <f>IF($K215="","",TRIM(INDEX('Detalle individual'!$C:$C,$K215)))</f>
        <v>DEPARTAMENTO DE OPERACIONES Y SOPORTE TECNICO</v>
      </c>
      <c r="G215" s="64" t="str">
        <f>IF($K215="","",INDEX('Detalle individual'!$D:$D,$K215))</f>
        <v>Gerencia de Sistemas</v>
      </c>
      <c r="H215" s="63" t="str">
        <f>IF($K215="","",INDEX('Detalle individual'!$F:$F,$K215))</f>
        <v>Completado</v>
      </c>
      <c r="I215" s="77">
        <f>IF($K215="","",IF(INDEX('Detalle individual'!$F:$F,$K215)="Completado",INDEX('Detalle individual'!$H:$H,$K215),""))</f>
        <v>46300.63810185185</v>
      </c>
      <c r="J215" s="78">
        <f>IF($K215="","",IF(INDEX('Detalle individual'!$F:$F,$K215)="Completado",INDEX('Detalle individual'!$J:$J,$K215),""))</f>
        <v>100</v>
      </c>
      <c r="K215">
        <f>IFERROR(MOD(SMALL('Cálculos'!$Z$5:$Z$297,207),1000),"")</f>
        <v>107</v>
      </c>
    </row>
    <row r="216">
      <c r="B216" s="63">
        <f>IF($K216="","",208)</f>
        <v>208</v>
      </c>
      <c r="C216" s="63" t="str">
        <f>IF($K216="","",INDEX('Detalle individual'!$A:$A,$K216))</f>
        <v>281</v>
      </c>
      <c r="D216" s="64" t="str">
        <f>IF($K216="","",TRIM(INDEX('Detalle individual'!$B:$B,$K216)))</f>
        <v>CARLOS ALFONSO MOLINA CARDONA</v>
      </c>
      <c r="E216" s="64" t="str">
        <f>IF($K216="","",TRIM(INDEX('Detalle individual'!$E:$E,$K216)))</f>
        <v>OPERADOR DE SISTEMAS</v>
      </c>
      <c r="F216" s="64" t="str">
        <f>IF($K216="","",TRIM(INDEX('Detalle individual'!$C:$C,$K216)))</f>
        <v>DEPARTAMENTO DE OPERACIONES Y SOPORTE TECNICO</v>
      </c>
      <c r="G216" s="64" t="str">
        <f>IF($K216="","",INDEX('Detalle individual'!$D:$D,$K216))</f>
        <v>Gerencia de Sistemas</v>
      </c>
      <c r="H216" s="63" t="str">
        <f>IF($K216="","",INDEX('Detalle individual'!$F:$F,$K216))</f>
        <v>Completado</v>
      </c>
      <c r="I216" s="77">
        <f>IF($K216="","",IF(INDEX('Detalle individual'!$F:$F,$K216)="Completado",INDEX('Detalle individual'!$H:$H,$K216),""))</f>
        <v>46300.48065972222</v>
      </c>
      <c r="J216" s="78">
        <f>IF($K216="","",IF(INDEX('Detalle individual'!$F:$F,$K216)="Completado",INDEX('Detalle individual'!$J:$J,$K216),""))</f>
        <v>100</v>
      </c>
      <c r="K216">
        <f>IFERROR(MOD(SMALL('Cálculos'!$Z$5:$Z$297,208),1000),"")</f>
        <v>108</v>
      </c>
    </row>
    <row r="217">
      <c r="B217" s="63">
        <f>IF($K217="","",209)</f>
        <v>209</v>
      </c>
      <c r="C217" s="63" t="str">
        <f>IF($K217="","",INDEX('Detalle individual'!$A:$A,$K217))</f>
        <v>490</v>
      </c>
      <c r="D217" s="64" t="str">
        <f>IF($K217="","",TRIM(INDEX('Detalle individual'!$B:$B,$K217)))</f>
        <v>JULIO ADOLFO MOLINA ARRIOLA</v>
      </c>
      <c r="E217" s="64" t="str">
        <f>IF($K217="","",TRIM(INDEX('Detalle individual'!$E:$E,$K217)))</f>
        <v>OPERADOR DE SISTEMAS</v>
      </c>
      <c r="F217" s="64" t="str">
        <f>IF($K217="","",TRIM(INDEX('Detalle individual'!$C:$C,$K217)))</f>
        <v>DEPARTAMENTO DE OPERACIONES Y SOPORTE TECNICO</v>
      </c>
      <c r="G217" s="64" t="str">
        <f>IF($K217="","",INDEX('Detalle individual'!$D:$D,$K217))</f>
        <v>Gerencia de Sistemas</v>
      </c>
      <c r="H217" s="63" t="str">
        <f>IF($K217="","",INDEX('Detalle individual'!$F:$F,$K217))</f>
        <v>Completado</v>
      </c>
      <c r="I217" s="77">
        <f>IF($K217="","",IF(INDEX('Detalle individual'!$F:$F,$K217)="Completado",INDEX('Detalle individual'!$H:$H,$K217),""))</f>
        <v>46301.436527777776</v>
      </c>
      <c r="J217" s="78">
        <f>IF($K217="","",IF(INDEX('Detalle individual'!$F:$F,$K217)="Completado",INDEX('Detalle individual'!$J:$J,$K217),""))</f>
        <v>100</v>
      </c>
      <c r="K217">
        <f>IFERROR(MOD(SMALL('Cálculos'!$Z$5:$Z$297,209),1000),"")</f>
        <v>109</v>
      </c>
    </row>
    <row r="218">
      <c r="B218" s="63">
        <f>IF($K218="","",210)</f>
        <v>210</v>
      </c>
      <c r="C218" s="63" t="str">
        <f>IF($K218="","",INDEX('Detalle individual'!$A:$A,$K218))</f>
        <v>880</v>
      </c>
      <c r="D218" s="64" t="str">
        <f>IF($K218="","",TRIM(INDEX('Detalle individual'!$B:$B,$K218)))</f>
        <v>JORGE ALBERTO BARRERA</v>
      </c>
      <c r="E218" s="64" t="str">
        <f>IF($K218="","",TRIM(INDEX('Detalle individual'!$E:$E,$K218)))</f>
        <v>JEFE DE OPERACIONES Y SOPORTE TECNICO</v>
      </c>
      <c r="F218" s="64" t="str">
        <f>IF($K218="","",TRIM(INDEX('Detalle individual'!$C:$C,$K218)))</f>
        <v>DEPARTAMENTO DE OPERACIONES Y SOPORTE TECNICO</v>
      </c>
      <c r="G218" s="64" t="str">
        <f>IF($K218="","",INDEX('Detalle individual'!$D:$D,$K218))</f>
        <v>Gerencia de Sistemas</v>
      </c>
      <c r="H218" s="63" t="str">
        <f>IF($K218="","",INDEX('Detalle individual'!$F:$F,$K218))</f>
        <v>Completado</v>
      </c>
      <c r="I218" s="77">
        <f>IF($K218="","",IF(INDEX('Detalle individual'!$F:$F,$K218)="Completado",INDEX('Detalle individual'!$H:$H,$K218),""))</f>
        <v>46300.5841087963</v>
      </c>
      <c r="J218" s="78">
        <f>IF($K218="","",IF(INDEX('Detalle individual'!$F:$F,$K218)="Completado",INDEX('Detalle individual'!$J:$J,$K218),""))</f>
        <v>100</v>
      </c>
      <c r="K218">
        <f>IFERROR(MOD(SMALL('Cálculos'!$Z$5:$Z$297,210),1000),"")</f>
        <v>110</v>
      </c>
    </row>
    <row r="219">
      <c r="B219" s="63">
        <f>IF($K219="","",211)</f>
        <v>211</v>
      </c>
      <c r="C219" s="63" t="str">
        <f>IF($K219="","",INDEX('Detalle individual'!$A:$A,$K219))</f>
        <v>191</v>
      </c>
      <c r="D219" s="64" t="str">
        <f>IF($K219="","",TRIM(INDEX('Detalle individual'!$B:$B,$K219)))</f>
        <v>ESTER ALEYDA GODOY CAMPOS</v>
      </c>
      <c r="E219" s="64" t="str">
        <f>IF($K219="","",TRIM(INDEX('Detalle individual'!$E:$E,$K219)))</f>
        <v>ASISTENTE TECNICO DE PLANIFICACION</v>
      </c>
      <c r="F219" s="64" t="str">
        <f>IF($K219="","",TRIM(INDEX('Detalle individual'!$C:$C,$K219)))</f>
        <v>DEPARTAMENTO DE PLANIFICACIÓN Y ANALISIS</v>
      </c>
      <c r="G219" s="64" t="str">
        <f>IF($K219="","",INDEX('Detalle individual'!$D:$D,$K219))</f>
        <v>Gerencia de Finanzas y Planificación</v>
      </c>
      <c r="H219" s="63" t="str">
        <f>IF($K219="","",INDEX('Detalle individual'!$F:$F,$K219))</f>
        <v>Completado</v>
      </c>
      <c r="I219" s="77">
        <f>IF($K219="","",IF(INDEX('Detalle individual'!$F:$F,$K219)="Completado",INDEX('Detalle individual'!$H:$H,$K219),""))</f>
        <v>46307.665983796294</v>
      </c>
      <c r="J219" s="78">
        <f>IF($K219="","",IF(INDEX('Detalle individual'!$F:$F,$K219)="Completado",INDEX('Detalle individual'!$J:$J,$K219),""))</f>
        <v>100</v>
      </c>
      <c r="K219">
        <f>IFERROR(MOD(SMALL('Cálculos'!$Z$5:$Z$297,211),1000),"")</f>
        <v>98</v>
      </c>
    </row>
    <row r="220">
      <c r="B220" s="63">
        <f>IF($K220="","",212)</f>
        <v>212</v>
      </c>
      <c r="C220" s="63" t="str">
        <f>IF($K220="","",INDEX('Detalle individual'!$A:$A,$K220))</f>
        <v>946</v>
      </c>
      <c r="D220" s="64" t="str">
        <f>IF($K220="","",TRIM(INDEX('Detalle individual'!$B:$B,$K220)))</f>
        <v>EFRAIN ANTONIO AYALA LOPEZ</v>
      </c>
      <c r="E220" s="64" t="str">
        <f>IF($K220="","",TRIM(INDEX('Detalle individual'!$E:$E,$K220)))</f>
        <v>JEFE DE PLANIFICACION Y ANALISIS</v>
      </c>
      <c r="F220" s="64" t="str">
        <f>IF($K220="","",TRIM(INDEX('Detalle individual'!$C:$C,$K220)))</f>
        <v>DEPARTAMENTO DE PLANIFICACIÓN Y ANALISIS</v>
      </c>
      <c r="G220" s="64" t="str">
        <f>IF($K220="","",INDEX('Detalle individual'!$D:$D,$K220))</f>
        <v>Gerencia de Finanzas y Planificación</v>
      </c>
      <c r="H220" s="63" t="str">
        <f>IF($K220="","",INDEX('Detalle individual'!$F:$F,$K220))</f>
        <v>Completado</v>
      </c>
      <c r="I220" s="77">
        <f>IF($K220="","",IF(INDEX('Detalle individual'!$F:$F,$K220)="Completado",INDEX('Detalle individual'!$H:$H,$K220),""))</f>
        <v>46305.53491898148</v>
      </c>
      <c r="J220" s="78">
        <f>IF($K220="","",IF(INDEX('Detalle individual'!$F:$F,$K220)="Completado",INDEX('Detalle individual'!$J:$J,$K220),""))</f>
        <v>100</v>
      </c>
      <c r="K220">
        <f>IFERROR(MOD(SMALL('Cálculos'!$Z$5:$Z$297,212),1000),"")</f>
        <v>100</v>
      </c>
    </row>
    <row r="221">
      <c r="B221" s="63">
        <f>IF($K221="","",213)</f>
        <v>213</v>
      </c>
      <c r="C221" s="63" t="str">
        <f>IF($K221="","",INDEX('Detalle individual'!$A:$A,$K221))</f>
        <v>318</v>
      </c>
      <c r="D221" s="64" t="str">
        <f>IF($K221="","",TRIM(INDEX('Detalle individual'!$B:$B,$K221)))</f>
        <v>CLAUDIA CAROLINA HENRIQUEZ VELASCO</v>
      </c>
      <c r="E221" s="64" t="str">
        <f>IF($K221="","",TRIM(INDEX('Detalle individual'!$E:$E,$K221)))</f>
        <v>JEFE DE PROCESOS</v>
      </c>
      <c r="F221" s="64" t="str">
        <f>IF($K221="","",TRIM(INDEX('Detalle individual'!$C:$C,$K221)))</f>
        <v>DEPARTAMENTO DE PROCESOS</v>
      </c>
      <c r="G221" s="64" t="str">
        <f>IF($K221="","",INDEX('Detalle individual'!$D:$D,$K221))</f>
        <v>Gerencia General</v>
      </c>
      <c r="H221" s="63" t="str">
        <f>IF($K221="","",INDEX('Detalle individual'!$F:$F,$K221))</f>
        <v>Completado</v>
      </c>
      <c r="I221" s="77">
        <f>IF($K221="","",IF(INDEX('Detalle individual'!$F:$F,$K221)="Completado",INDEX('Detalle individual'!$H:$H,$K221),""))</f>
        <v>46296.44149305556</v>
      </c>
      <c r="J221" s="78">
        <f>IF($K221="","",IF(INDEX('Detalle individual'!$F:$F,$K221)="Completado",INDEX('Detalle individual'!$J:$J,$K221),""))</f>
        <v>100</v>
      </c>
      <c r="K221">
        <f>IFERROR(MOD(SMALL('Cálculos'!$Z$5:$Z$297,213),1000),"")</f>
        <v>18</v>
      </c>
    </row>
    <row r="222">
      <c r="B222" s="63">
        <f>IF($K222="","",214)</f>
        <v>214</v>
      </c>
      <c r="C222" s="63" t="str">
        <f>IF($K222="","",INDEX('Detalle individual'!$A:$A,$K222))</f>
        <v>817</v>
      </c>
      <c r="D222" s="64" t="str">
        <f>IF($K222="","",TRIM(INDEX('Detalle individual'!$B:$B,$K222)))</f>
        <v>MAURICIO EDGARDO MIRANDA CAMPOS</v>
      </c>
      <c r="E222" s="64" t="str">
        <f>IF($K222="","",TRIM(INDEX('Detalle individual'!$E:$E,$K222)))</f>
        <v>ANALISTA DE PROCESOS</v>
      </c>
      <c r="F222" s="64" t="str">
        <f>IF($K222="","",TRIM(INDEX('Detalle individual'!$C:$C,$K222)))</f>
        <v>DEPARTAMENTO DE PROCESOS</v>
      </c>
      <c r="G222" s="64" t="str">
        <f>IF($K222="","",INDEX('Detalle individual'!$D:$D,$K222))</f>
        <v>Gerencia General</v>
      </c>
      <c r="H222" s="63" t="str">
        <f>IF($K222="","",INDEX('Detalle individual'!$F:$F,$K222))</f>
        <v>Completado</v>
      </c>
      <c r="I222" s="77">
        <f>IF($K222="","",IF(INDEX('Detalle individual'!$F:$F,$K222)="Completado",INDEX('Detalle individual'!$H:$H,$K222),""))</f>
        <v>46296.44137731481</v>
      </c>
      <c r="J222" s="78">
        <f>IF($K222="","",IF(INDEX('Detalle individual'!$F:$F,$K222)="Completado",INDEX('Detalle individual'!$J:$J,$K222),""))</f>
        <v>100</v>
      </c>
      <c r="K222">
        <f>IFERROR(MOD(SMALL('Cálculos'!$Z$5:$Z$297,214),1000),"")</f>
        <v>19</v>
      </c>
    </row>
    <row r="223">
      <c r="B223" s="63">
        <f>IF($K223="","",215)</f>
        <v>215</v>
      </c>
      <c r="C223" s="63" t="str">
        <f>IF($K223="","",INDEX('Detalle individual'!$A:$A,$K223))</f>
        <v>932</v>
      </c>
      <c r="D223" s="64" t="str">
        <f>IF($K223="","",TRIM(INDEX('Detalle individual'!$B:$B,$K223)))</f>
        <v>HECTOR SEBASTIAN LOPEZ GRANADOS</v>
      </c>
      <c r="E223" s="64" t="str">
        <f>IF($K223="","",TRIM(INDEX('Detalle individual'!$E:$E,$K223)))</f>
        <v>ASISTENTE TECNICO DE PROCESOS</v>
      </c>
      <c r="F223" s="64" t="str">
        <f>IF($K223="","",TRIM(INDEX('Detalle individual'!$C:$C,$K223)))</f>
        <v>DEPARTAMENTO DE PROCESOS</v>
      </c>
      <c r="G223" s="64" t="str">
        <f>IF($K223="","",INDEX('Detalle individual'!$D:$D,$K223))</f>
        <v>Gerencia General</v>
      </c>
      <c r="H223" s="63" t="str">
        <f>IF($K223="","",INDEX('Detalle individual'!$F:$F,$K223))</f>
        <v>Completado</v>
      </c>
      <c r="I223" s="77">
        <f>IF($K223="","",IF(INDEX('Detalle individual'!$F:$F,$K223)="Completado",INDEX('Detalle individual'!$H:$H,$K223),""))</f>
        <v>46296.44143518519</v>
      </c>
      <c r="J223" s="78">
        <f>IF($K223="","",IF(INDEX('Detalle individual'!$F:$F,$K223)="Completado",INDEX('Detalle individual'!$J:$J,$K223),""))</f>
        <v>100</v>
      </c>
      <c r="K223">
        <f>IFERROR(MOD(SMALL('Cálculos'!$Z$5:$Z$297,215),1000),"")</f>
        <v>20</v>
      </c>
    </row>
    <row r="224">
      <c r="B224" s="63">
        <f>IF($K224="","",216)</f>
        <v>216</v>
      </c>
      <c r="C224" s="63" t="str">
        <f>IF($K224="","",INDEX('Detalle individual'!$A:$A,$K224))</f>
        <v>452</v>
      </c>
      <c r="D224" s="64" t="str">
        <f>IF($K224="","",TRIM(INDEX('Detalle individual'!$B:$B,$K224)))</f>
        <v>SERGIO ARTURO CALDERON SALAZAR</v>
      </c>
      <c r="E224" s="64" t="str">
        <f>IF($K224="","",TRIM(INDEX('Detalle individual'!$E:$E,$K224)))</f>
        <v>COORDINADOR DE SEGURIDAD</v>
      </c>
      <c r="F224" s="64" t="str">
        <f>IF($K224="","",TRIM(INDEX('Detalle individual'!$C:$C,$K224)))</f>
        <v>DEPARTAMENTO DE SEGURIDAD</v>
      </c>
      <c r="G224" s="64" t="str">
        <f>IF($K224="","",INDEX('Detalle individual'!$D:$D,$K224))</f>
        <v>Gerencia Administrativa</v>
      </c>
      <c r="H224" s="63" t="str">
        <f>IF($K224="","",INDEX('Detalle individual'!$F:$F,$K224))</f>
        <v>Completado</v>
      </c>
      <c r="I224" s="77">
        <f>IF($K224="","",IF(INDEX('Detalle individual'!$F:$F,$K224)="Completado",INDEX('Detalle individual'!$H:$H,$K224),""))</f>
        <v>46296.46072916667</v>
      </c>
      <c r="J224" s="78">
        <f>IF($K224="","",IF(INDEX('Detalle individual'!$F:$F,$K224)="Completado",INDEX('Detalle individual'!$J:$J,$K224),""))</f>
        <v>90</v>
      </c>
      <c r="K224">
        <f>IFERROR(MOD(SMALL('Cálculos'!$Z$5:$Z$297,216),1000),"")</f>
        <v>52</v>
      </c>
    </row>
    <row r="225">
      <c r="B225" s="63">
        <f>IF($K225="","",217)</f>
        <v>217</v>
      </c>
      <c r="C225" s="63" t="str">
        <f>IF($K225="","",INDEX('Detalle individual'!$A:$A,$K225))</f>
        <v>901</v>
      </c>
      <c r="D225" s="64" t="str">
        <f>IF($K225="","",TRIM(INDEX('Detalle individual'!$B:$B,$K225)))</f>
        <v>CARLOS ALEJANDRO MARAVILLA MENDEZ</v>
      </c>
      <c r="E225" s="64" t="str">
        <f>IF($K225="","",TRIM(INDEX('Detalle individual'!$E:$E,$K225)))</f>
        <v>OPERADOR DE MONITOREO DE LOS SISTEMAS DE SEGURIDAD</v>
      </c>
      <c r="F225" s="64" t="str">
        <f>IF($K225="","",TRIM(INDEX('Detalle individual'!$C:$C,$K225)))</f>
        <v>DEPARTAMENTO DE SEGURIDAD</v>
      </c>
      <c r="G225" s="64" t="str">
        <f>IF($K225="","",INDEX('Detalle individual'!$D:$D,$K225))</f>
        <v>Gerencia Administrativa</v>
      </c>
      <c r="H225" s="63" t="str">
        <f>IF($K225="","",INDEX('Detalle individual'!$F:$F,$K225))</f>
        <v>Completado</v>
      </c>
      <c r="I225" s="77">
        <f>IF($K225="","",IF(INDEX('Detalle individual'!$F:$F,$K225)="Completado",INDEX('Detalle individual'!$H:$H,$K225),""))</f>
        <v>46296.45633101852</v>
      </c>
      <c r="J225" s="78">
        <f>IF($K225="","",IF(INDEX('Detalle individual'!$F:$F,$K225)="Completado",INDEX('Detalle individual'!$J:$J,$K225),""))</f>
        <v>100</v>
      </c>
      <c r="K225">
        <f>IFERROR(MOD(SMALL('Cálculos'!$Z$5:$Z$297,217),1000),"")</f>
        <v>53</v>
      </c>
    </row>
    <row r="226">
      <c r="B226" s="63">
        <f>IF($K226="","",218)</f>
        <v>218</v>
      </c>
      <c r="C226" s="63" t="str">
        <f>IF($K226="","",INDEX('Detalle individual'!$A:$A,$K226))</f>
        <v>544</v>
      </c>
      <c r="D226" s="64" t="str">
        <f>IF($K226="","",TRIM(INDEX('Detalle individual'!$B:$B,$K226)))</f>
        <v>CLAUDIA MARISOL MADRID BARRIENTOS</v>
      </c>
      <c r="E226" s="64" t="str">
        <f>IF($K226="","",TRIM(INDEX('Detalle individual'!$E:$E,$K226)))</f>
        <v>GESTOR DE RECLAMOS Y SUSCRIPCIONES</v>
      </c>
      <c r="F226" s="64" t="str">
        <f>IF($K226="","",TRIM(INDEX('Detalle individual'!$C:$C,$K226)))</f>
        <v>DEPARTAMENTO DE SEGUROS</v>
      </c>
      <c r="G226" s="64" t="str">
        <f>IF($K226="","",INDEX('Detalle individual'!$D:$D,$K226))</f>
        <v>Gerencia de Negocios</v>
      </c>
      <c r="H226" s="63" t="str">
        <f>IF($K226="","",INDEX('Detalle individual'!$F:$F,$K226))</f>
        <v>Completado</v>
      </c>
      <c r="I226" s="77">
        <f>IF($K226="","",IF(INDEX('Detalle individual'!$F:$F,$K226)="Completado",INDEX('Detalle individual'!$H:$H,$K226),""))</f>
        <v>46309.43305555556</v>
      </c>
      <c r="J226" s="78">
        <f>IF($K226="","",IF(INDEX('Detalle individual'!$F:$F,$K226)="Completado",INDEX('Detalle individual'!$J:$J,$K226),""))</f>
        <v>90</v>
      </c>
      <c r="K226">
        <f>IFERROR(MOD(SMALL('Cálculos'!$Z$5:$Z$297,218),1000),"")</f>
        <v>165</v>
      </c>
    </row>
    <row r="227">
      <c r="B227" s="63">
        <f>IF($K227="","",219)</f>
        <v>219</v>
      </c>
      <c r="C227" s="63" t="str">
        <f>IF($K227="","",INDEX('Detalle individual'!$A:$A,$K227))</f>
        <v>589</v>
      </c>
      <c r="D227" s="64" t="str">
        <f>IF($K227="","",TRIM(INDEX('Detalle individual'!$B:$B,$K227)))</f>
        <v>CLELIA LIZETH ORTIZ GALDAMEZ</v>
      </c>
      <c r="E227" s="64" t="str">
        <f>IF($K227="","",TRIM(INDEX('Detalle individual'!$E:$E,$K227)))</f>
        <v>AUXILIAR DE ADMINISTRACION DE SEGUROS</v>
      </c>
      <c r="F227" s="64" t="str">
        <f>IF($K227="","",TRIM(INDEX('Detalle individual'!$C:$C,$K227)))</f>
        <v>DEPARTAMENTO DE SEGUROS</v>
      </c>
      <c r="G227" s="64" t="str">
        <f>IF($K227="","",INDEX('Detalle individual'!$D:$D,$K227))</f>
        <v>Gerencia de Negocios</v>
      </c>
      <c r="H227" s="63" t="str">
        <f>IF($K227="","",INDEX('Detalle individual'!$F:$F,$K227))</f>
        <v>Completado</v>
      </c>
      <c r="I227" s="77">
        <f>IF($K227="","",IF(INDEX('Detalle individual'!$F:$F,$K227)="Completado",INDEX('Detalle individual'!$H:$H,$K227),""))</f>
        <v>46301.68011574074</v>
      </c>
      <c r="J227" s="78">
        <f>IF($K227="","",IF(INDEX('Detalle individual'!$F:$F,$K227)="Completado",INDEX('Detalle individual'!$J:$J,$K227),""))</f>
        <v>90</v>
      </c>
      <c r="K227">
        <f>IFERROR(MOD(SMALL('Cálculos'!$Z$5:$Z$297,219),1000),"")</f>
        <v>166</v>
      </c>
    </row>
    <row r="228">
      <c r="B228" s="63">
        <f>IF($K228="","",220)</f>
        <v>220</v>
      </c>
      <c r="C228" s="63" t="str">
        <f>IF($K228="","",INDEX('Detalle individual'!$A:$A,$K228))</f>
        <v>639</v>
      </c>
      <c r="D228" s="64" t="str">
        <f>IF($K228="","",TRIM(INDEX('Detalle individual'!$B:$B,$K228)))</f>
        <v>CARLOS ALEXANDER ROMERO ROMERO</v>
      </c>
      <c r="E228" s="64" t="str">
        <f>IF($K228="","",TRIM(INDEX('Detalle individual'!$E:$E,$K228)))</f>
        <v>GESTOR DE CARTERA DE SEGUROS</v>
      </c>
      <c r="F228" s="64" t="str">
        <f>IF($K228="","",TRIM(INDEX('Detalle individual'!$C:$C,$K228)))</f>
        <v>DEPARTAMENTO DE SEGUROS</v>
      </c>
      <c r="G228" s="64" t="str">
        <f>IF($K228="","",INDEX('Detalle individual'!$D:$D,$K228))</f>
        <v>Gerencia de Negocios</v>
      </c>
      <c r="H228" s="63" t="str">
        <f>IF($K228="","",INDEX('Detalle individual'!$F:$F,$K228))</f>
        <v>Completado</v>
      </c>
      <c r="I228" s="77">
        <f>IF($K228="","",IF(INDEX('Detalle individual'!$F:$F,$K228)="Completado",INDEX('Detalle individual'!$H:$H,$K228),""))</f>
        <v>46305.51787037037</v>
      </c>
      <c r="J228" s="78">
        <f>IF($K228="","",IF(INDEX('Detalle individual'!$F:$F,$K228)="Completado",INDEX('Detalle individual'!$J:$J,$K228),""))</f>
        <v>100</v>
      </c>
      <c r="K228">
        <f>IFERROR(MOD(SMALL('Cálculos'!$Z$5:$Z$297,220),1000),"")</f>
        <v>167</v>
      </c>
    </row>
    <row r="229">
      <c r="B229" s="63">
        <f>IF($K229="","",221)</f>
        <v>221</v>
      </c>
      <c r="C229" s="63" t="str">
        <f>IF($K229="","",INDEX('Detalle individual'!$A:$A,$K229))</f>
        <v>643</v>
      </c>
      <c r="D229" s="64" t="str">
        <f>IF($K229="","",TRIM(INDEX('Detalle individual'!$B:$B,$K229)))</f>
        <v>LISSETTE MARICELA SANCHEZ MOLINA</v>
      </c>
      <c r="E229" s="64" t="str">
        <f>IF($K229="","",TRIM(INDEX('Detalle individual'!$E:$E,$K229)))</f>
        <v>ASISTENTE DE SEGUROS</v>
      </c>
      <c r="F229" s="64" t="str">
        <f>IF($K229="","",TRIM(INDEX('Detalle individual'!$C:$C,$K229)))</f>
        <v>DEPARTAMENTO DE SEGUROS</v>
      </c>
      <c r="G229" s="64" t="str">
        <f>IF($K229="","",INDEX('Detalle individual'!$D:$D,$K229))</f>
        <v>Gerencia de Negocios</v>
      </c>
      <c r="H229" s="63" t="str">
        <f>IF($K229="","",INDEX('Detalle individual'!$F:$F,$K229))</f>
        <v>Completado</v>
      </c>
      <c r="I229" s="77">
        <f>IF($K229="","",IF(INDEX('Detalle individual'!$F:$F,$K229)="Completado",INDEX('Detalle individual'!$H:$H,$K229),""))</f>
        <v>46309.639328703706</v>
      </c>
      <c r="J229" s="78">
        <f>IF($K229="","",IF(INDEX('Detalle individual'!$F:$F,$K229)="Completado",INDEX('Detalle individual'!$J:$J,$K229),""))</f>
        <v>100</v>
      </c>
      <c r="K229">
        <f>IFERROR(MOD(SMALL('Cálculos'!$Z$5:$Z$297,221),1000),"")</f>
        <v>168</v>
      </c>
    </row>
    <row r="230">
      <c r="B230" s="63">
        <f>IF($K230="","",222)</f>
        <v>222</v>
      </c>
      <c r="C230" s="63" t="str">
        <f>IF($K230="","",INDEX('Detalle individual'!$A:$A,$K230))</f>
        <v>689</v>
      </c>
      <c r="D230" s="64" t="str">
        <f>IF($K230="","",TRIM(INDEX('Detalle individual'!$B:$B,$K230)))</f>
        <v>RAUL ERNESTO PALACIOS LANDAVERDE</v>
      </c>
      <c r="E230" s="64" t="str">
        <f>IF($K230="","",TRIM(INDEX('Detalle individual'!$E:$E,$K230)))</f>
        <v>TECNICO DEL SEGURO DE SALUD</v>
      </c>
      <c r="F230" s="64" t="str">
        <f>IF($K230="","",TRIM(INDEX('Detalle individual'!$C:$C,$K230)))</f>
        <v>DEPARTAMENTO DE SEGUROS</v>
      </c>
      <c r="G230" s="64" t="str">
        <f>IF($K230="","",INDEX('Detalle individual'!$D:$D,$K230))</f>
        <v>Gerencia de Negocios</v>
      </c>
      <c r="H230" s="63" t="str">
        <f>IF($K230="","",INDEX('Detalle individual'!$F:$F,$K230))</f>
        <v>Completado</v>
      </c>
      <c r="I230" s="77">
        <f>IF($K230="","",IF(INDEX('Detalle individual'!$F:$F,$K230)="Completado",INDEX('Detalle individual'!$H:$H,$K230),""))</f>
        <v>46296.46570601852</v>
      </c>
      <c r="J230" s="78">
        <f>IF($K230="","",IF(INDEX('Detalle individual'!$F:$F,$K230)="Completado",INDEX('Detalle individual'!$J:$J,$K230),""))</f>
        <v>100</v>
      </c>
      <c r="K230">
        <f>IFERROR(MOD(SMALL('Cálculos'!$Z$5:$Z$297,222),1000),"")</f>
        <v>169</v>
      </c>
    </row>
    <row r="231">
      <c r="B231" s="63">
        <f>IF($K231="","",223)</f>
        <v>223</v>
      </c>
      <c r="C231" s="63" t="str">
        <f>IF($K231="","",INDEX('Detalle individual'!$A:$A,$K231))</f>
        <v>792</v>
      </c>
      <c r="D231" s="64" t="str">
        <f>IF($K231="","",TRIM(INDEX('Detalle individual'!$B:$B,$K231)))</f>
        <v>JENNYFER AYLIN ESCOBAR ZAMORA</v>
      </c>
      <c r="E231" s="64" t="str">
        <f>IF($K231="","",TRIM(INDEX('Detalle individual'!$E:$E,$K231)))</f>
        <v>COORDINADOR COMERCIAL DE SEGUROS</v>
      </c>
      <c r="F231" s="64" t="str">
        <f>IF($K231="","",TRIM(INDEX('Detalle individual'!$C:$C,$K231)))</f>
        <v>DEPARTAMENTO DE SEGUROS</v>
      </c>
      <c r="G231" s="64" t="str">
        <f>IF($K231="","",INDEX('Detalle individual'!$D:$D,$K231))</f>
        <v>Gerencia de Negocios</v>
      </c>
      <c r="H231" s="63" t="str">
        <f>IF($K231="","",INDEX('Detalle individual'!$F:$F,$K231))</f>
        <v>Completado</v>
      </c>
      <c r="I231" s="77">
        <f>IF($K231="","",IF(INDEX('Detalle individual'!$F:$F,$K231)="Completado",INDEX('Detalle individual'!$H:$H,$K231),""))</f>
        <v>46309.485625</v>
      </c>
      <c r="J231" s="78">
        <f>IF($K231="","",IF(INDEX('Detalle individual'!$F:$F,$K231)="Completado",INDEX('Detalle individual'!$J:$J,$K231),""))</f>
        <v>100</v>
      </c>
      <c r="K231">
        <f>IFERROR(MOD(SMALL('Cálculos'!$Z$5:$Z$297,223),1000),"")</f>
        <v>170</v>
      </c>
    </row>
    <row r="232">
      <c r="B232" s="63">
        <f>IF($K232="","",224)</f>
        <v>224</v>
      </c>
      <c r="C232" s="63" t="str">
        <f>IF($K232="","",INDEX('Detalle individual'!$A:$A,$K232))</f>
        <v>793</v>
      </c>
      <c r="D232" s="64" t="str">
        <f>IF($K232="","",TRIM(INDEX('Detalle individual'!$B:$B,$K232)))</f>
        <v>KRIZIA BETSABE FLORES MARTINEZ</v>
      </c>
      <c r="E232" s="64" t="str">
        <f>IF($K232="","",TRIM(INDEX('Detalle individual'!$E:$E,$K232)))</f>
        <v>JEFE DE SEGUROS</v>
      </c>
      <c r="F232" s="64" t="str">
        <f>IF($K232="","",TRIM(INDEX('Detalle individual'!$C:$C,$K232)))</f>
        <v>DEPARTAMENTO DE SEGUROS</v>
      </c>
      <c r="G232" s="64" t="str">
        <f>IF($K232="","",INDEX('Detalle individual'!$D:$D,$K232))</f>
        <v>Gerencia de Negocios</v>
      </c>
      <c r="H232" s="63" t="str">
        <f>IF($K232="","",INDEX('Detalle individual'!$F:$F,$K232))</f>
        <v>Completado</v>
      </c>
      <c r="I232" s="77">
        <f>IF($K232="","",IF(INDEX('Detalle individual'!$F:$F,$K232)="Completado",INDEX('Detalle individual'!$H:$H,$K232),""))</f>
        <v>46297.49109953704</v>
      </c>
      <c r="J232" s="78">
        <f>IF($K232="","",IF(INDEX('Detalle individual'!$F:$F,$K232)="Completado",INDEX('Detalle individual'!$J:$J,$K232),""))</f>
        <v>90</v>
      </c>
      <c r="K232">
        <f>IFERROR(MOD(SMALL('Cálculos'!$Z$5:$Z$297,224),1000),"")</f>
        <v>171</v>
      </c>
    </row>
    <row r="233">
      <c r="B233" s="63">
        <f>IF($K233="","",225)</f>
        <v>225</v>
      </c>
      <c r="C233" s="63" t="str">
        <f>IF($K233="","",INDEX('Detalle individual'!$A:$A,$K233))</f>
        <v>805</v>
      </c>
      <c r="D233" s="64" t="str">
        <f>IF($K233="","",TRIM(INDEX('Detalle individual'!$B:$B,$K233)))</f>
        <v>JUANA HAZEL GARCIA COREAS</v>
      </c>
      <c r="E233" s="64" t="str">
        <f>IF($K233="","",TRIM(INDEX('Detalle individual'!$E:$E,$K233)))</f>
        <v>EJECUTIVO DE VENTA DE SEGUROS</v>
      </c>
      <c r="F233" s="64" t="str">
        <f>IF($K233="","",TRIM(INDEX('Detalle individual'!$C:$C,$K233)))</f>
        <v>DEPARTAMENTO DE SEGUROS</v>
      </c>
      <c r="G233" s="64" t="str">
        <f>IF($K233="","",INDEX('Detalle individual'!$D:$D,$K233))</f>
        <v>Gerencia de Negocios</v>
      </c>
      <c r="H233" s="63" t="str">
        <f>IF($K233="","",INDEX('Detalle individual'!$F:$F,$K233))</f>
        <v>Completado</v>
      </c>
      <c r="I233" s="77">
        <f>IF($K233="","",IF(INDEX('Detalle individual'!$F:$F,$K233)="Completado",INDEX('Detalle individual'!$H:$H,$K233),""))</f>
        <v>46309.48584490741</v>
      </c>
      <c r="J233" s="78">
        <f>IF($K233="","",IF(INDEX('Detalle individual'!$F:$F,$K233)="Completado",INDEX('Detalle individual'!$J:$J,$K233),""))</f>
        <v>100</v>
      </c>
      <c r="K233">
        <f>IFERROR(MOD(SMALL('Cálculos'!$Z$5:$Z$297,225),1000),"")</f>
        <v>173</v>
      </c>
    </row>
    <row r="234">
      <c r="B234" s="63">
        <f>IF($K234="","",226)</f>
        <v>226</v>
      </c>
      <c r="C234" s="63" t="str">
        <f>IF($K234="","",INDEX('Detalle individual'!$A:$A,$K234))</f>
        <v>869</v>
      </c>
      <c r="D234" s="64" t="str">
        <f>IF($K234="","",TRIM(INDEX('Detalle individual'!$B:$B,$K234)))</f>
        <v>JENNIFER BETSABE MARAVILLA MORENO</v>
      </c>
      <c r="E234" s="64" t="str">
        <f>IF($K234="","",TRIM(INDEX('Detalle individual'!$E:$E,$K234)))</f>
        <v>EJECUTIVO DE VENTA DE SEGUROS</v>
      </c>
      <c r="F234" s="64" t="str">
        <f>IF($K234="","",TRIM(INDEX('Detalle individual'!$C:$C,$K234)))</f>
        <v>DEPARTAMENTO DE SEGUROS</v>
      </c>
      <c r="G234" s="64" t="str">
        <f>IF($K234="","",INDEX('Detalle individual'!$D:$D,$K234))</f>
        <v>Gerencia de Negocios</v>
      </c>
      <c r="H234" s="63" t="str">
        <f>IF($K234="","",INDEX('Detalle individual'!$F:$F,$K234))</f>
        <v>Completado</v>
      </c>
      <c r="I234" s="77">
        <f>IF($K234="","",IF(INDEX('Detalle individual'!$F:$F,$K234)="Completado",INDEX('Detalle individual'!$H:$H,$K234),""))</f>
        <v>46296.68630787037</v>
      </c>
      <c r="J234" s="78">
        <f>IF($K234="","",IF(INDEX('Detalle individual'!$F:$F,$K234)="Completado",INDEX('Detalle individual'!$J:$J,$K234),""))</f>
        <v>100</v>
      </c>
      <c r="K234">
        <f>IFERROR(MOD(SMALL('Cálculos'!$Z$5:$Z$297,226),1000),"")</f>
        <v>174</v>
      </c>
    </row>
    <row r="235">
      <c r="B235" s="63">
        <f>IF($K235="","",227)</f>
        <v>227</v>
      </c>
      <c r="C235" s="63" t="str">
        <f>IF($K235="","",INDEX('Detalle individual'!$A:$A,$K235))</f>
        <v>894</v>
      </c>
      <c r="D235" s="64" t="str">
        <f>IF($K235="","",TRIM(INDEX('Detalle individual'!$B:$B,$K235)))</f>
        <v>HENRY OSWALDO PINEDA GARCIA</v>
      </c>
      <c r="E235" s="64" t="str">
        <f>IF($K235="","",TRIM(INDEX('Detalle individual'!$E:$E,$K235)))</f>
        <v>EJECUTIVO MOVIL DE SEGUROS</v>
      </c>
      <c r="F235" s="64" t="str">
        <f>IF($K235="","",TRIM(INDEX('Detalle individual'!$C:$C,$K235)))</f>
        <v>DEPARTAMENTO DE SEGUROS</v>
      </c>
      <c r="G235" s="64" t="str">
        <f>IF($K235="","",INDEX('Detalle individual'!$D:$D,$K235))</f>
        <v>Gerencia de Negocios</v>
      </c>
      <c r="H235" s="63" t="str">
        <f>IF($K235="","",INDEX('Detalle individual'!$F:$F,$K235))</f>
        <v>Completado</v>
      </c>
      <c r="I235" s="77">
        <f>IF($K235="","",IF(INDEX('Detalle individual'!$F:$F,$K235)="Completado",INDEX('Detalle individual'!$H:$H,$K235),""))</f>
        <v>46296.431875</v>
      </c>
      <c r="J235" s="78">
        <f>IF($K235="","",IF(INDEX('Detalle individual'!$F:$F,$K235)="Completado",INDEX('Detalle individual'!$J:$J,$K235),""))</f>
        <v>100</v>
      </c>
      <c r="K235">
        <f>IFERROR(MOD(SMALL('Cálculos'!$Z$5:$Z$297,227),1000),"")</f>
        <v>175</v>
      </c>
    </row>
    <row r="236">
      <c r="B236" s="63">
        <f>IF($K236="","",228)</f>
        <v>228</v>
      </c>
      <c r="C236" s="63" t="str">
        <f>IF($K236="","",INDEX('Detalle individual'!$A:$A,$K236))</f>
        <v>55</v>
      </c>
      <c r="D236" s="64" t="str">
        <f>IF($K236="","",TRIM(INDEX('Detalle individual'!$B:$B,$K236)))</f>
        <v>LEONEL EDGARDO SALAZAR RAMIREZ</v>
      </c>
      <c r="E236" s="64" t="str">
        <f>IF($K236="","",TRIM(INDEX('Detalle individual'!$E:$E,$K236)))</f>
        <v>MENSAJERO</v>
      </c>
      <c r="F236" s="64" t="str">
        <f>IF($K236="","",TRIM(INDEX('Detalle individual'!$C:$C,$K236)))</f>
        <v>DEPARTAMENTO DE SERVICIOS GENERALES</v>
      </c>
      <c r="G236" s="64" t="str">
        <f>IF($K236="","",INDEX('Detalle individual'!$D:$D,$K236))</f>
        <v>Gerencia Administrativa</v>
      </c>
      <c r="H236" s="63" t="str">
        <f>IF($K236="","",INDEX('Detalle individual'!$F:$F,$K236))</f>
        <v>Completado</v>
      </c>
      <c r="I236" s="77">
        <f>IF($K236="","",IF(INDEX('Detalle individual'!$F:$F,$K236)="Completado",INDEX('Detalle individual'!$H:$H,$K236),""))</f>
        <v>46300.81421296296</v>
      </c>
      <c r="J236" s="78">
        <f>IF($K236="","",IF(INDEX('Detalle individual'!$F:$F,$K236)="Completado",INDEX('Detalle individual'!$J:$J,$K236),""))</f>
        <v>90</v>
      </c>
      <c r="K236">
        <f>IFERROR(MOD(SMALL('Cálculos'!$Z$5:$Z$297,228),1000),"")</f>
        <v>26</v>
      </c>
    </row>
    <row r="237">
      <c r="B237" s="63">
        <f>IF($K237="","",229)</f>
        <v>229</v>
      </c>
      <c r="C237" s="63" t="str">
        <f>IF($K237="","",INDEX('Detalle individual'!$A:$A,$K237))</f>
        <v>222</v>
      </c>
      <c r="D237" s="64" t="str">
        <f>IF($K237="","",TRIM(INDEX('Detalle individual'!$B:$B,$K237)))</f>
        <v>MARIA GUADALUPE MARTINEZ MURCIA</v>
      </c>
      <c r="E237" s="64" t="str">
        <f>IF($K237="","",TRIM(INDEX('Detalle individual'!$E:$E,$K237)))</f>
        <v>AUXILIAR DE COMPRAS</v>
      </c>
      <c r="F237" s="64" t="str">
        <f>IF($K237="","",TRIM(INDEX('Detalle individual'!$C:$C,$K237)))</f>
        <v>DEPARTAMENTO DE SERVICIOS GENERALES</v>
      </c>
      <c r="G237" s="64" t="str">
        <f>IF($K237="","",INDEX('Detalle individual'!$D:$D,$K237))</f>
        <v>Gerencia Administrativa</v>
      </c>
      <c r="H237" s="63" t="str">
        <f>IF($K237="","",INDEX('Detalle individual'!$F:$F,$K237))</f>
        <v>Completado</v>
      </c>
      <c r="I237" s="77">
        <f>IF($K237="","",IF(INDEX('Detalle individual'!$F:$F,$K237)="Completado",INDEX('Detalle individual'!$H:$H,$K237),""))</f>
        <v>46300.665671296294</v>
      </c>
      <c r="J237" s="78">
        <f>IF($K237="","",IF(INDEX('Detalle individual'!$F:$F,$K237)="Completado",INDEX('Detalle individual'!$J:$J,$K237),""))</f>
        <v>100</v>
      </c>
      <c r="K237">
        <f>IFERROR(MOD(SMALL('Cálculos'!$Z$5:$Z$297,229),1000),"")</f>
        <v>27</v>
      </c>
    </row>
    <row r="238">
      <c r="B238" s="63">
        <f>IF($K238="","",230)</f>
        <v>230</v>
      </c>
      <c r="C238" s="63" t="str">
        <f>IF($K238="","",INDEX('Detalle individual'!$A:$A,$K238))</f>
        <v>224</v>
      </c>
      <c r="D238" s="64" t="str">
        <f>IF($K238="","",TRIM(INDEX('Detalle individual'!$B:$B,$K238)))</f>
        <v>JESUS REYES GUZMAN FUENTES</v>
      </c>
      <c r="E238" s="64" t="str">
        <f>IF($K238="","",TRIM(INDEX('Detalle individual'!$E:$E,$K238)))</f>
        <v>MENSAJERO</v>
      </c>
      <c r="F238" s="64" t="str">
        <f>IF($K238="","",TRIM(INDEX('Detalle individual'!$C:$C,$K238)))</f>
        <v>DEPARTAMENTO DE SERVICIOS GENERALES</v>
      </c>
      <c r="G238" s="64" t="str">
        <f>IF($K238="","",INDEX('Detalle individual'!$D:$D,$K238))</f>
        <v>Gerencia Administrativa</v>
      </c>
      <c r="H238" s="63" t="str">
        <f>IF($K238="","",INDEX('Detalle individual'!$F:$F,$K238))</f>
        <v>Completado</v>
      </c>
      <c r="I238" s="77">
        <f>IF($K238="","",IF(INDEX('Detalle individual'!$F:$F,$K238)="Completado",INDEX('Detalle individual'!$H:$H,$K238),""))</f>
        <v>46297.84905092593</v>
      </c>
      <c r="J238" s="78">
        <f>IF($K238="","",IF(INDEX('Detalle individual'!$F:$F,$K238)="Completado",INDEX('Detalle individual'!$J:$J,$K238),""))</f>
        <v>80</v>
      </c>
      <c r="K238">
        <f>IFERROR(MOD(SMALL('Cálculos'!$Z$5:$Z$297,230),1000),"")</f>
        <v>28</v>
      </c>
    </row>
    <row r="239">
      <c r="B239" s="63">
        <f>IF($K239="","",231)</f>
        <v>231</v>
      </c>
      <c r="C239" s="63" t="str">
        <f>IF($K239="","",INDEX('Detalle individual'!$A:$A,$K239))</f>
        <v>387</v>
      </c>
      <c r="D239" s="64" t="str">
        <f>IF($K239="","",TRIM(INDEX('Detalle individual'!$B:$B,$K239)))</f>
        <v>CELINA CECILIA ANZORA BERNAL</v>
      </c>
      <c r="E239" s="64" t="str">
        <f>IF($K239="","",TRIM(INDEX('Detalle individual'!$E:$E,$K239)))</f>
        <v>SERVICIOS VARIOS</v>
      </c>
      <c r="F239" s="64" t="str">
        <f>IF($K239="","",TRIM(INDEX('Detalle individual'!$C:$C,$K239)))</f>
        <v>DEPARTAMENTO DE SERVICIOS GENERALES</v>
      </c>
      <c r="G239" s="64" t="str">
        <f>IF($K239="","",INDEX('Detalle individual'!$D:$D,$K239))</f>
        <v>Gerencia Administrativa</v>
      </c>
      <c r="H239" s="63" t="str">
        <f>IF($K239="","",INDEX('Detalle individual'!$F:$F,$K239))</f>
        <v>Completado</v>
      </c>
      <c r="I239" s="77">
        <f>IF($K239="","",IF(INDEX('Detalle individual'!$F:$F,$K239)="Completado",INDEX('Detalle individual'!$H:$H,$K239),""))</f>
        <v>46298.4184375</v>
      </c>
      <c r="J239" s="78">
        <f>IF($K239="","",IF(INDEX('Detalle individual'!$F:$F,$K239)="Completado",INDEX('Detalle individual'!$J:$J,$K239),""))</f>
        <v>90</v>
      </c>
      <c r="K239">
        <f>IFERROR(MOD(SMALL('Cálculos'!$Z$5:$Z$297,231),1000),"")</f>
        <v>29</v>
      </c>
    </row>
    <row r="240">
      <c r="B240" s="63">
        <f>IF($K240="","",232)</f>
        <v>232</v>
      </c>
      <c r="C240" s="63" t="str">
        <f>IF($K240="","",INDEX('Detalle individual'!$A:$A,$K240))</f>
        <v>430</v>
      </c>
      <c r="D240" s="64" t="str">
        <f>IF($K240="","",TRIM(INDEX('Detalle individual'!$B:$B,$K240)))</f>
        <v>MARIO ROSALES VASQUEZ</v>
      </c>
      <c r="E240" s="64" t="str">
        <f>IF($K240="","",TRIM(INDEX('Detalle individual'!$E:$E,$K240)))</f>
        <v>MENSAJERO</v>
      </c>
      <c r="F240" s="64" t="str">
        <f>IF($K240="","",TRIM(INDEX('Detalle individual'!$C:$C,$K240)))</f>
        <v>DEPARTAMENTO DE SERVICIOS GENERALES</v>
      </c>
      <c r="G240" s="64" t="str">
        <f>IF($K240="","",INDEX('Detalle individual'!$D:$D,$K240))</f>
        <v>Gerencia Administrativa</v>
      </c>
      <c r="H240" s="63" t="str">
        <f>IF($K240="","",INDEX('Detalle individual'!$F:$F,$K240))</f>
        <v>Completado</v>
      </c>
      <c r="I240" s="77">
        <f>IF($K240="","",IF(INDEX('Detalle individual'!$F:$F,$K240)="Completado",INDEX('Detalle individual'!$H:$H,$K240),""))</f>
        <v>46300.40560185185</v>
      </c>
      <c r="J240" s="78">
        <f>IF($K240="","",IF(INDEX('Detalle individual'!$F:$F,$K240)="Completado",INDEX('Detalle individual'!$J:$J,$K240),""))</f>
        <v>100</v>
      </c>
      <c r="K240">
        <f>IFERROR(MOD(SMALL('Cálculos'!$Z$5:$Z$297,232),1000),"")</f>
        <v>30</v>
      </c>
    </row>
    <row r="241">
      <c r="B241" s="63">
        <f>IF($K241="","",233)</f>
        <v>233</v>
      </c>
      <c r="C241" s="63" t="str">
        <f>IF($K241="","",INDEX('Detalle individual'!$A:$A,$K241))</f>
        <v>436</v>
      </c>
      <c r="D241" s="64" t="str">
        <f>IF($K241="","",TRIM(INDEX('Detalle individual'!$B:$B,$K241)))</f>
        <v>MAURICIO ANTONIO RAMIREZ PEREZ</v>
      </c>
      <c r="E241" s="64" t="str">
        <f>IF($K241="","",TRIM(INDEX('Detalle individual'!$E:$E,$K241)))</f>
        <v>AUXILIAR DE MANTENIMIENTO</v>
      </c>
      <c r="F241" s="64" t="str">
        <f>IF($K241="","",TRIM(INDEX('Detalle individual'!$C:$C,$K241)))</f>
        <v>DEPARTAMENTO DE SERVICIOS GENERALES</v>
      </c>
      <c r="G241" s="64" t="str">
        <f>IF($K241="","",INDEX('Detalle individual'!$D:$D,$K241))</f>
        <v>Gerencia Administrativa</v>
      </c>
      <c r="H241" s="63" t="str">
        <f>IF($K241="","",INDEX('Detalle individual'!$F:$F,$K241))</f>
        <v>Completado</v>
      </c>
      <c r="I241" s="77">
        <f>IF($K241="","",IF(INDEX('Detalle individual'!$F:$F,$K241)="Completado",INDEX('Detalle individual'!$H:$H,$K241),""))</f>
        <v>46306.43788194445</v>
      </c>
      <c r="J241" s="78">
        <f>IF($K241="","",IF(INDEX('Detalle individual'!$F:$F,$K241)="Completado",INDEX('Detalle individual'!$J:$J,$K241),""))</f>
        <v>90</v>
      </c>
      <c r="K241">
        <f>IFERROR(MOD(SMALL('Cálculos'!$Z$5:$Z$297,233),1000),"")</f>
        <v>31</v>
      </c>
    </row>
    <row r="242">
      <c r="B242" s="63">
        <f>IF($K242="","",234)</f>
        <v>234</v>
      </c>
      <c r="C242" s="63" t="str">
        <f>IF($K242="","",INDEX('Detalle individual'!$A:$A,$K242))</f>
        <v>522</v>
      </c>
      <c r="D242" s="64" t="str">
        <f>IF($K242="","",TRIM(INDEX('Detalle individual'!$B:$B,$K242)))</f>
        <v>MARGARITA GUADALUPE HENRIQUEZ ELIAS</v>
      </c>
      <c r="E242" s="64" t="str">
        <f>IF($K242="","",TRIM(INDEX('Detalle individual'!$E:$E,$K242)))</f>
        <v>SERVICIOS VARIOS</v>
      </c>
      <c r="F242" s="64" t="str">
        <f>IF($K242="","",TRIM(INDEX('Detalle individual'!$C:$C,$K242)))</f>
        <v>DEPARTAMENTO DE SERVICIOS GENERALES</v>
      </c>
      <c r="G242" s="64" t="str">
        <f>IF($K242="","",INDEX('Detalle individual'!$D:$D,$K242))</f>
        <v>Gerencia Administrativa</v>
      </c>
      <c r="H242" s="63" t="str">
        <f>IF($K242="","",INDEX('Detalle individual'!$F:$F,$K242))</f>
        <v>Completado</v>
      </c>
      <c r="I242" s="77">
        <f>IF($K242="","",IF(INDEX('Detalle individual'!$F:$F,$K242)="Completado",INDEX('Detalle individual'!$H:$H,$K242),""))</f>
        <v>46297.85355324074</v>
      </c>
      <c r="J242" s="78">
        <f>IF($K242="","",IF(INDEX('Detalle individual'!$F:$F,$K242)="Completado",INDEX('Detalle individual'!$J:$J,$K242),""))</f>
        <v>85</v>
      </c>
      <c r="K242">
        <f>IFERROR(MOD(SMALL('Cálculos'!$Z$5:$Z$297,234),1000),"")</f>
        <v>32</v>
      </c>
    </row>
    <row r="243">
      <c r="B243" s="63">
        <f>IF($K243="","",235)</f>
        <v>235</v>
      </c>
      <c r="C243" s="63" t="str">
        <f>IF($K243="","",INDEX('Detalle individual'!$A:$A,$K243))</f>
        <v>587</v>
      </c>
      <c r="D243" s="64" t="str">
        <f>IF($K243="","",TRIM(INDEX('Detalle individual'!$B:$B,$K243)))</f>
        <v>JOSE ROSALIO GARCIA SOTO</v>
      </c>
      <c r="E243" s="64" t="str">
        <f>IF($K243="","",TRIM(INDEX('Detalle individual'!$E:$E,$K243)))</f>
        <v>JARDINERO</v>
      </c>
      <c r="F243" s="64" t="str">
        <f>IF($K243="","",TRIM(INDEX('Detalle individual'!$C:$C,$K243)))</f>
        <v>DEPARTAMENTO DE SERVICIOS GENERALES</v>
      </c>
      <c r="G243" s="64" t="str">
        <f>IF($K243="","",INDEX('Detalle individual'!$D:$D,$K243))</f>
        <v>Gerencia Administrativa</v>
      </c>
      <c r="H243" s="63" t="str">
        <f>IF($K243="","",INDEX('Detalle individual'!$F:$F,$K243))</f>
        <v>Completado</v>
      </c>
      <c r="I243" s="77">
        <f>IF($K243="","",IF(INDEX('Detalle individual'!$F:$F,$K243)="Completado",INDEX('Detalle individual'!$H:$H,$K243),""))</f>
        <v>46298.41559027778</v>
      </c>
      <c r="J243" s="78">
        <f>IF($K243="","",IF(INDEX('Detalle individual'!$F:$F,$K243)="Completado",INDEX('Detalle individual'!$J:$J,$K243),""))</f>
        <v>90</v>
      </c>
      <c r="K243">
        <f>IFERROR(MOD(SMALL('Cálculos'!$Z$5:$Z$297,235),1000),"")</f>
        <v>33</v>
      </c>
    </row>
    <row r="244">
      <c r="B244" s="63">
        <f>IF($K244="","",236)</f>
        <v>236</v>
      </c>
      <c r="C244" s="63" t="str">
        <f>IF($K244="","",INDEX('Detalle individual'!$A:$A,$K244))</f>
        <v>599</v>
      </c>
      <c r="D244" s="64" t="str">
        <f>IF($K244="","",TRIM(INDEX('Detalle individual'!$B:$B,$K244)))</f>
        <v>MAIRA ELIZABETH PEREZ LEIVA</v>
      </c>
      <c r="E244" s="64" t="str">
        <f>IF($K244="","",TRIM(INDEX('Detalle individual'!$E:$E,$K244)))</f>
        <v>JEFE DE SERVICIOS GENERALES</v>
      </c>
      <c r="F244" s="64" t="str">
        <f>IF($K244="","",TRIM(INDEX('Detalle individual'!$C:$C,$K244)))</f>
        <v>DEPARTAMENTO DE SERVICIOS GENERALES</v>
      </c>
      <c r="G244" s="64" t="str">
        <f>IF($K244="","",INDEX('Detalle individual'!$D:$D,$K244))</f>
        <v>Gerencia Administrativa</v>
      </c>
      <c r="H244" s="63" t="str">
        <f>IF($K244="","",INDEX('Detalle individual'!$F:$F,$K244))</f>
        <v>Completado</v>
      </c>
      <c r="I244" s="77">
        <f>IF($K244="","",IF(INDEX('Detalle individual'!$F:$F,$K244)="Completado",INDEX('Detalle individual'!$H:$H,$K244),""))</f>
        <v>46300.748703703706</v>
      </c>
      <c r="J244" s="78">
        <f>IF($K244="","",IF(INDEX('Detalle individual'!$F:$F,$K244)="Completado",INDEX('Detalle individual'!$J:$J,$K244),""))</f>
        <v>100</v>
      </c>
      <c r="K244">
        <f>IFERROR(MOD(SMALL('Cálculos'!$Z$5:$Z$297,236),1000),"")</f>
        <v>34</v>
      </c>
    </row>
    <row r="245">
      <c r="B245" s="63">
        <f>IF($K245="","",237)</f>
        <v>237</v>
      </c>
      <c r="C245" s="63" t="str">
        <f>IF($K245="","",INDEX('Detalle individual'!$A:$A,$K245))</f>
        <v>684</v>
      </c>
      <c r="D245" s="64" t="str">
        <f>IF($K245="","",TRIM(INDEX('Detalle individual'!$B:$B,$K245)))</f>
        <v>ILIANA CAROLINA FLAMENCO FLORES</v>
      </c>
      <c r="E245" s="64" t="str">
        <f>IF($K245="","",TRIM(INDEX('Detalle individual'!$E:$E,$K245)))</f>
        <v>SERVICIOS VARIOS</v>
      </c>
      <c r="F245" s="64" t="str">
        <f>IF($K245="","",TRIM(INDEX('Detalle individual'!$C:$C,$K245)))</f>
        <v>DEPARTAMENTO DE SERVICIOS GENERALES</v>
      </c>
      <c r="G245" s="64" t="str">
        <f>IF($K245="","",INDEX('Detalle individual'!$D:$D,$K245))</f>
        <v>Gerencia Administrativa</v>
      </c>
      <c r="H245" s="63" t="str">
        <f>IF($K245="","",INDEX('Detalle individual'!$F:$F,$K245))</f>
        <v>Completado</v>
      </c>
      <c r="I245" s="77">
        <f>IF($K245="","",IF(INDEX('Detalle individual'!$F:$F,$K245)="Completado",INDEX('Detalle individual'!$H:$H,$K245),""))</f>
        <v>46298.300208333334</v>
      </c>
      <c r="J245" s="78">
        <f>IF($K245="","",IF(INDEX('Detalle individual'!$F:$F,$K245)="Completado",INDEX('Detalle individual'!$J:$J,$K245),""))</f>
        <v>80</v>
      </c>
      <c r="K245">
        <f>IFERROR(MOD(SMALL('Cálculos'!$Z$5:$Z$297,237),1000),"")</f>
        <v>35</v>
      </c>
    </row>
    <row r="246">
      <c r="B246" s="63">
        <f>IF($K246="","",238)</f>
        <v>238</v>
      </c>
      <c r="C246" s="63" t="str">
        <f>IF($K246="","",INDEX('Detalle individual'!$A:$A,$K246))</f>
        <v>803</v>
      </c>
      <c r="D246" s="64" t="str">
        <f>IF($K246="","",TRIM(INDEX('Detalle individual'!$B:$B,$K246)))</f>
        <v>CHRISTIAN GEORGE FIGUEROA BLANCO</v>
      </c>
      <c r="E246" s="64" t="str">
        <f>IF($K246="","",TRIM(INDEX('Detalle individual'!$E:$E,$K246)))</f>
        <v>MENSAJERO</v>
      </c>
      <c r="F246" s="64" t="str">
        <f>IF($K246="","",TRIM(INDEX('Detalle individual'!$C:$C,$K246)))</f>
        <v>DEPARTAMENTO DE SERVICIOS GENERALES</v>
      </c>
      <c r="G246" s="64" t="str">
        <f>IF($K246="","",INDEX('Detalle individual'!$D:$D,$K246))</f>
        <v>Gerencia Administrativa</v>
      </c>
      <c r="H246" s="63" t="str">
        <f>IF($K246="","",INDEX('Detalle individual'!$F:$F,$K246))</f>
        <v>Completado</v>
      </c>
      <c r="I246" s="77">
        <f>IF($K246="","",IF(INDEX('Detalle individual'!$F:$F,$K246)="Completado",INDEX('Detalle individual'!$H:$H,$K246),""))</f>
        <v>46300.70883101852</v>
      </c>
      <c r="J246" s="78">
        <f>IF($K246="","",IF(INDEX('Detalle individual'!$F:$F,$K246)="Completado",INDEX('Detalle individual'!$J:$J,$K246),""))</f>
        <v>60</v>
      </c>
      <c r="K246">
        <f>IFERROR(MOD(SMALL('Cálculos'!$Z$5:$Z$297,238),1000),"")</f>
        <v>36</v>
      </c>
    </row>
    <row r="247">
      <c r="B247" s="63">
        <f>IF($K247="","",239)</f>
        <v>239</v>
      </c>
      <c r="C247" s="63" t="str">
        <f>IF($K247="","",INDEX('Detalle individual'!$A:$A,$K247))</f>
        <v>830</v>
      </c>
      <c r="D247" s="64" t="str">
        <f>IF($K247="","",TRIM(INDEX('Detalle individual'!$B:$B,$K247)))</f>
        <v>GERMAN ALBERTO CAMPOS TORRES</v>
      </c>
      <c r="E247" s="64" t="str">
        <f>IF($K247="","",TRIM(INDEX('Detalle individual'!$E:$E,$K247)))</f>
        <v>TECNICO EN MANTENIMIENTO</v>
      </c>
      <c r="F247" s="64" t="str">
        <f>IF($K247="","",TRIM(INDEX('Detalle individual'!$C:$C,$K247)))</f>
        <v>DEPARTAMENTO DE SERVICIOS GENERALES</v>
      </c>
      <c r="G247" s="64" t="str">
        <f>IF($K247="","",INDEX('Detalle individual'!$D:$D,$K247))</f>
        <v>Gerencia Administrativa</v>
      </c>
      <c r="H247" s="63" t="str">
        <f>IF($K247="","",INDEX('Detalle individual'!$F:$F,$K247))</f>
        <v>Completado</v>
      </c>
      <c r="I247" s="77">
        <f>IF($K247="","",IF(INDEX('Detalle individual'!$F:$F,$K247)="Completado",INDEX('Detalle individual'!$H:$H,$K247),""))</f>
        <v>46307.402291666665</v>
      </c>
      <c r="J247" s="78">
        <f>IF($K247="","",IF(INDEX('Detalle individual'!$F:$F,$K247)="Completado",INDEX('Detalle individual'!$J:$J,$K247),""))</f>
        <v>100</v>
      </c>
      <c r="K247">
        <f>IFERROR(MOD(SMALL('Cálculos'!$Z$5:$Z$297,239),1000),"")</f>
        <v>37</v>
      </c>
    </row>
    <row r="248">
      <c r="B248" s="63">
        <f>IF($K248="","",240)</f>
        <v>240</v>
      </c>
      <c r="C248" s="63" t="str">
        <f>IF($K248="","",INDEX('Detalle individual'!$A:$A,$K248))</f>
        <v>852</v>
      </c>
      <c r="D248" s="64" t="str">
        <f>IF($K248="","",TRIM(INDEX('Detalle individual'!$B:$B,$K248)))</f>
        <v>JONATHAN ENRIQUE AQUINO SANCHEZ</v>
      </c>
      <c r="E248" s="64" t="str">
        <f>IF($K248="","",TRIM(INDEX('Detalle individual'!$E:$E,$K248)))</f>
        <v>SERVICIOS VARIOS</v>
      </c>
      <c r="F248" s="64" t="str">
        <f>IF($K248="","",TRIM(INDEX('Detalle individual'!$C:$C,$K248)))</f>
        <v>DEPARTAMENTO DE SERVICIOS GENERALES</v>
      </c>
      <c r="G248" s="64" t="str">
        <f>IF($K248="","",INDEX('Detalle individual'!$D:$D,$K248))</f>
        <v>Gerencia Administrativa</v>
      </c>
      <c r="H248" s="63" t="str">
        <f>IF($K248="","",INDEX('Detalle individual'!$F:$F,$K248))</f>
        <v>Completado</v>
      </c>
      <c r="I248" s="77">
        <f>IF($K248="","",IF(INDEX('Detalle individual'!$F:$F,$K248)="Completado",INDEX('Detalle individual'!$H:$H,$K248),""))</f>
        <v>46300.53921296296</v>
      </c>
      <c r="J248" s="78">
        <f>IF($K248="","",IF(INDEX('Detalle individual'!$F:$F,$K248)="Completado",INDEX('Detalle individual'!$J:$J,$K248),""))</f>
        <v>90</v>
      </c>
      <c r="K248">
        <f>IFERROR(MOD(SMALL('Cálculos'!$Z$5:$Z$297,240),1000),"")</f>
        <v>38</v>
      </c>
    </row>
    <row r="249">
      <c r="B249" s="63">
        <f>IF($K249="","",241)</f>
        <v>241</v>
      </c>
      <c r="C249" s="63" t="str">
        <f>IF($K249="","",INDEX('Detalle individual'!$A:$A,$K249))</f>
        <v>875</v>
      </c>
      <c r="D249" s="64" t="str">
        <f>IF($K249="","",TRIM(INDEX('Detalle individual'!$B:$B,$K249)))</f>
        <v>BELLY EMERSON RIVERA ASCENCIO</v>
      </c>
      <c r="E249" s="64" t="str">
        <f>IF($K249="","",TRIM(INDEX('Detalle individual'!$E:$E,$K249)))</f>
        <v>SERVICIOS VARIOS</v>
      </c>
      <c r="F249" s="64" t="str">
        <f>IF($K249="","",TRIM(INDEX('Detalle individual'!$C:$C,$K249)))</f>
        <v>DEPARTAMENTO DE SERVICIOS GENERALES</v>
      </c>
      <c r="G249" s="64" t="str">
        <f>IF($K249="","",INDEX('Detalle individual'!$D:$D,$K249))</f>
        <v>Gerencia Administrativa</v>
      </c>
      <c r="H249" s="63" t="str">
        <f>IF($K249="","",INDEX('Detalle individual'!$F:$F,$K249))</f>
        <v>Completado</v>
      </c>
      <c r="I249" s="77">
        <f>IF($K249="","",IF(INDEX('Detalle individual'!$F:$F,$K249)="Completado",INDEX('Detalle individual'!$H:$H,$K249),""))</f>
        <v>46298.41583333333</v>
      </c>
      <c r="J249" s="78">
        <f>IF($K249="","",IF(INDEX('Detalle individual'!$F:$F,$K249)="Completado",INDEX('Detalle individual'!$J:$J,$K249),""))</f>
        <v>100</v>
      </c>
      <c r="K249">
        <f>IFERROR(MOD(SMALL('Cálculos'!$Z$5:$Z$297,241),1000),"")</f>
        <v>39</v>
      </c>
    </row>
    <row r="250">
      <c r="B250" s="63">
        <f>IF($K250="","",242)</f>
        <v>242</v>
      </c>
      <c r="C250" s="63" t="str">
        <f>IF($K250="","",INDEX('Detalle individual'!$A:$A,$K250))</f>
        <v>926</v>
      </c>
      <c r="D250" s="64" t="str">
        <f>IF($K250="","",TRIM(INDEX('Detalle individual'!$B:$B,$K250)))</f>
        <v>ANDRES VLADIMIR LUNA GUEVARA</v>
      </c>
      <c r="E250" s="64" t="str">
        <f>IF($K250="","",TRIM(INDEX('Detalle individual'!$E:$E,$K250)))</f>
        <v>MENSAJERO</v>
      </c>
      <c r="F250" s="64" t="str">
        <f>IF($K250="","",TRIM(INDEX('Detalle individual'!$C:$C,$K250)))</f>
        <v>DEPARTAMENTO DE SERVICIOS GENERALES</v>
      </c>
      <c r="G250" s="64" t="str">
        <f>IF($K250="","",INDEX('Detalle individual'!$D:$D,$K250))</f>
        <v>Gerencia Administrativa</v>
      </c>
      <c r="H250" s="63" t="str">
        <f>IF($K250="","",INDEX('Detalle individual'!$F:$F,$K250))</f>
        <v>Completado</v>
      </c>
      <c r="I250" s="77">
        <f>IF($K250="","",IF(INDEX('Detalle individual'!$F:$F,$K250)="Completado",INDEX('Detalle individual'!$H:$H,$K250),""))</f>
        <v>46300.60789351852</v>
      </c>
      <c r="J250" s="78">
        <f>IF($K250="","",IF(INDEX('Detalle individual'!$F:$F,$K250)="Completado",INDEX('Detalle individual'!$J:$J,$K250),""))</f>
        <v>90</v>
      </c>
      <c r="K250">
        <f>IFERROR(MOD(SMALL('Cálculos'!$Z$5:$Z$297,242),1000),"")</f>
        <v>40</v>
      </c>
    </row>
    <row r="251">
      <c r="B251" s="63">
        <f>IF($K251="","",243)</f>
        <v>243</v>
      </c>
      <c r="C251" s="63" t="str">
        <f>IF($K251="","",INDEX('Detalle individual'!$A:$A,$K251))</f>
        <v>959</v>
      </c>
      <c r="D251" s="64" t="str">
        <f>IF($K251="","",TRIM(INDEX('Detalle individual'!$B:$B,$K251)))</f>
        <v>XIOMARA JEANNETTE ESCOBAR PORTILLO</v>
      </c>
      <c r="E251" s="64" t="str">
        <f>IF($K251="","",TRIM(INDEX('Detalle individual'!$E:$E,$K251)))</f>
        <v>SERVICIOS VARIOS</v>
      </c>
      <c r="F251" s="64" t="str">
        <f>IF($K251="","",TRIM(INDEX('Detalle individual'!$C:$C,$K251)))</f>
        <v>DEPARTAMENTO DE SERVICIOS GENERALES</v>
      </c>
      <c r="G251" s="64" t="str">
        <f>IF($K251="","",INDEX('Detalle individual'!$D:$D,$K251))</f>
        <v>Gerencia Administrativa</v>
      </c>
      <c r="H251" s="63" t="str">
        <f>IF($K251="","",INDEX('Detalle individual'!$F:$F,$K251))</f>
        <v>Completado</v>
      </c>
      <c r="I251" s="77">
        <f>IF($K251="","",IF(INDEX('Detalle individual'!$F:$F,$K251)="Completado",INDEX('Detalle individual'!$H:$H,$K251),""))</f>
        <v>46297.78946759259</v>
      </c>
      <c r="J251" s="78">
        <f>IF($K251="","",IF(INDEX('Detalle individual'!$F:$F,$K251)="Completado",INDEX('Detalle individual'!$J:$J,$K251),""))</f>
        <v>90</v>
      </c>
      <c r="K251">
        <f>IFERROR(MOD(SMALL('Cálculos'!$Z$5:$Z$297,243),1000),"")</f>
        <v>41</v>
      </c>
    </row>
    <row r="252">
      <c r="B252" s="63">
        <f>IF($K252="","",244)</f>
        <v>244</v>
      </c>
      <c r="C252" s="63" t="str">
        <f>IF($K252="","",INDEX('Detalle individual'!$A:$A,$K252))</f>
        <v>972</v>
      </c>
      <c r="D252" s="64" t="str">
        <f>IF($K252="","",TRIM(INDEX('Detalle individual'!$B:$B,$K252)))</f>
        <v>GEOVANNY GABRIEL RODRIGUEZ SOLORZANO</v>
      </c>
      <c r="E252" s="64" t="str">
        <f>IF($K252="","",TRIM(INDEX('Detalle individual'!$E:$E,$K252)))</f>
        <v>AUXILIAR DE ACTIVO FIJO Y ALMACEN</v>
      </c>
      <c r="F252" s="64" t="str">
        <f>IF($K252="","",TRIM(INDEX('Detalle individual'!$C:$C,$K252)))</f>
        <v>DEPARTAMENTO DE SERVICIOS GENERALES</v>
      </c>
      <c r="G252" s="64" t="str">
        <f>IF($K252="","",INDEX('Detalle individual'!$D:$D,$K252))</f>
        <v>Gerencia Administrativa</v>
      </c>
      <c r="H252" s="63" t="str">
        <f>IF($K252="","",INDEX('Detalle individual'!$F:$F,$K252))</f>
        <v>Completado</v>
      </c>
      <c r="I252" s="77">
        <f>IF($K252="","",IF(INDEX('Detalle individual'!$F:$F,$K252)="Completado",INDEX('Detalle individual'!$H:$H,$K252),""))</f>
        <v>46304.520787037036</v>
      </c>
      <c r="J252" s="78">
        <f>IF($K252="","",IF(INDEX('Detalle individual'!$F:$F,$K252)="Completado",INDEX('Detalle individual'!$J:$J,$K252),""))</f>
        <v>90</v>
      </c>
      <c r="K252">
        <f>IFERROR(MOD(SMALL('Cálculos'!$Z$5:$Z$297,244),1000),"")</f>
        <v>42</v>
      </c>
    </row>
    <row r="253">
      <c r="B253" s="63">
        <f>IF($K253="","",245)</f>
        <v>245</v>
      </c>
      <c r="C253" s="63" t="str">
        <f>IF($K253="","",INDEX('Detalle individual'!$A:$A,$K253))</f>
        <v>34</v>
      </c>
      <c r="D253" s="64" t="str">
        <f>IF($K253="","",TRIM(INDEX('Detalle individual'!$B:$B,$K253)))</f>
        <v>YENIS MARILU ESCOBAR SORTO</v>
      </c>
      <c r="E253" s="64" t="str">
        <f>IF($K253="","",TRIM(INDEX('Detalle individual'!$E:$E,$K253)))</f>
        <v>EJECUTIVO DE SOLUCIONES FINANCIERAS</v>
      </c>
      <c r="F253" s="64" t="str">
        <f>IF($K253="","",TRIM(INDEX('Detalle individual'!$C:$C,$K253)))</f>
        <v>DEPARTAMENTO DE SOLUCIONES FINANCIERAS</v>
      </c>
      <c r="G253" s="64" t="str">
        <f>IF($K253="","",INDEX('Detalle individual'!$D:$D,$K253))</f>
        <v>Gerencia de Operaciones</v>
      </c>
      <c r="H253" s="63" t="str">
        <f>IF($K253="","",INDEX('Detalle individual'!$F:$F,$K253))</f>
        <v>Completado</v>
      </c>
      <c r="I253" s="77">
        <f>IF($K253="","",IF(INDEX('Detalle individual'!$F:$F,$K253)="Completado",INDEX('Detalle individual'!$H:$H,$K253),""))</f>
        <v>46309.354155092595</v>
      </c>
      <c r="J253" s="78">
        <f>IF($K253="","",IF(INDEX('Detalle individual'!$F:$F,$K253)="Completado",INDEX('Detalle individual'!$J:$J,$K253),""))</f>
        <v>70</v>
      </c>
      <c r="K253">
        <f>IFERROR(MOD(SMALL('Cálculos'!$Z$5:$Z$297,245),1000),"")</f>
        <v>59</v>
      </c>
    </row>
    <row r="254">
      <c r="B254" s="63">
        <f>IF($K254="","",246)</f>
        <v>246</v>
      </c>
      <c r="C254" s="63" t="str">
        <f>IF($K254="","",INDEX('Detalle individual'!$A:$A,$K254))</f>
        <v>182</v>
      </c>
      <c r="D254" s="64" t="str">
        <f>IF($K254="","",TRIM(INDEX('Detalle individual'!$B:$B,$K254)))</f>
        <v>ROSA ELIZABETH RIVAS AGUILUZ</v>
      </c>
      <c r="E254" s="64" t="str">
        <f>IF($K254="","",TRIM(INDEX('Detalle individual'!$E:$E,$K254)))</f>
        <v>EJECUTIVO DE SOLUCIONES FINANCIERAS</v>
      </c>
      <c r="F254" s="64" t="str">
        <f>IF($K254="","",TRIM(INDEX('Detalle individual'!$C:$C,$K254)))</f>
        <v>DEPARTAMENTO DE SOLUCIONES FINANCIERAS</v>
      </c>
      <c r="G254" s="64" t="str">
        <f>IF($K254="","",INDEX('Detalle individual'!$D:$D,$K254))</f>
        <v>Gerencia de Operaciones</v>
      </c>
      <c r="H254" s="63" t="str">
        <f>IF($K254="","",INDEX('Detalle individual'!$F:$F,$K254))</f>
        <v>Completado</v>
      </c>
      <c r="I254" s="77">
        <f>IF($K254="","",IF(INDEX('Detalle individual'!$F:$F,$K254)="Completado",INDEX('Detalle individual'!$H:$H,$K254),""))</f>
        <v>46307.56962962963</v>
      </c>
      <c r="J254" s="78">
        <f>IF($K254="","",IF(INDEX('Detalle individual'!$F:$F,$K254)="Completado",INDEX('Detalle individual'!$J:$J,$K254),""))</f>
        <v>70</v>
      </c>
      <c r="K254">
        <f>IFERROR(MOD(SMALL('Cálculos'!$Z$5:$Z$297,246),1000),"")</f>
        <v>60</v>
      </c>
    </row>
    <row r="255">
      <c r="B255" s="63">
        <f>IF($K255="","",247)</f>
        <v>247</v>
      </c>
      <c r="C255" s="63" t="str">
        <f>IF($K255="","",INDEX('Detalle individual'!$A:$A,$K255))</f>
        <v>263</v>
      </c>
      <c r="D255" s="64" t="str">
        <f>IF($K255="","",TRIM(INDEX('Detalle individual'!$B:$B,$K255)))</f>
        <v>XOCHILT VERONICA NOUBLEAU</v>
      </c>
      <c r="E255" s="64" t="str">
        <f>IF($K255="","",TRIM(INDEX('Detalle individual'!$E:$E,$K255)))</f>
        <v>EJECUTIVO DE SOLUCIONES FINANCIERAS</v>
      </c>
      <c r="F255" s="64" t="str">
        <f>IF($K255="","",TRIM(INDEX('Detalle individual'!$C:$C,$K255)))</f>
        <v>DEPARTAMENTO DE SOLUCIONES FINANCIERAS</v>
      </c>
      <c r="G255" s="64" t="str">
        <f>IF($K255="","",INDEX('Detalle individual'!$D:$D,$K255))</f>
        <v>Gerencia de Operaciones</v>
      </c>
      <c r="H255" s="63" t="str">
        <f>IF($K255="","",INDEX('Detalle individual'!$F:$F,$K255))</f>
        <v>Completado</v>
      </c>
      <c r="I255" s="77">
        <f>IF($K255="","",IF(INDEX('Detalle individual'!$F:$F,$K255)="Completado",INDEX('Detalle individual'!$H:$H,$K255),""))</f>
        <v>46307.60011574074</v>
      </c>
      <c r="J255" s="78">
        <f>IF($K255="","",IF(INDEX('Detalle individual'!$F:$F,$K255)="Completado",INDEX('Detalle individual'!$J:$J,$K255),""))</f>
        <v>100</v>
      </c>
      <c r="K255">
        <f>IFERROR(MOD(SMALL('Cálculos'!$Z$5:$Z$297,247),1000),"")</f>
        <v>61</v>
      </c>
    </row>
    <row r="256">
      <c r="B256" s="63">
        <f>IF($K256="","",248)</f>
        <v>248</v>
      </c>
      <c r="C256" s="63" t="str">
        <f>IF($K256="","",INDEX('Detalle individual'!$A:$A,$K256))</f>
        <v>289</v>
      </c>
      <c r="D256" s="64" t="str">
        <f>IF($K256="","",TRIM(INDEX('Detalle individual'!$B:$B,$K256)))</f>
        <v>ANA SILVIA MARTINEZ RODRIGUEZ</v>
      </c>
      <c r="E256" s="64" t="str">
        <f>IF($K256="","",TRIM(INDEX('Detalle individual'!$E:$E,$K256)))</f>
        <v>EJECUTIVO DE SOLUCIONES FINANCIERAS</v>
      </c>
      <c r="F256" s="64" t="str">
        <f>IF($K256="","",TRIM(INDEX('Detalle individual'!$C:$C,$K256)))</f>
        <v>DEPARTAMENTO DE SOLUCIONES FINANCIERAS</v>
      </c>
      <c r="G256" s="64" t="str">
        <f>IF($K256="","",INDEX('Detalle individual'!$D:$D,$K256))</f>
        <v>Gerencia de Operaciones</v>
      </c>
      <c r="H256" s="63" t="str">
        <f>IF($K256="","",INDEX('Detalle individual'!$F:$F,$K256))</f>
        <v>Completado</v>
      </c>
      <c r="I256" s="77">
        <f>IF($K256="","",IF(INDEX('Detalle individual'!$F:$F,$K256)="Completado",INDEX('Detalle individual'!$H:$H,$K256),""))</f>
        <v>46305.41322916667</v>
      </c>
      <c r="J256" s="78">
        <f>IF($K256="","",IF(INDEX('Detalle individual'!$F:$F,$K256)="Completado",INDEX('Detalle individual'!$J:$J,$K256),""))</f>
        <v>100</v>
      </c>
      <c r="K256">
        <f>IFERROR(MOD(SMALL('Cálculos'!$Z$5:$Z$297,248),1000),"")</f>
        <v>62</v>
      </c>
    </row>
    <row r="257">
      <c r="B257" s="63">
        <f>IF($K257="","",249)</f>
        <v>249</v>
      </c>
      <c r="C257" s="63" t="str">
        <f>IF($K257="","",INDEX('Detalle individual'!$A:$A,$K257))</f>
        <v>298</v>
      </c>
      <c r="D257" s="64" t="str">
        <f>IF($K257="","",TRIM(INDEX('Detalle individual'!$B:$B,$K257)))</f>
        <v>SANDRA GUADALUPE ROQUE SANCHEZ</v>
      </c>
      <c r="E257" s="64" t="str">
        <f>IF($K257="","",TRIM(INDEX('Detalle individual'!$E:$E,$K257)))</f>
        <v>EJECUTIVO DE SOLUCIONES FINANCIERAS</v>
      </c>
      <c r="F257" s="64" t="str">
        <f>IF($K257="","",TRIM(INDEX('Detalle individual'!$C:$C,$K257)))</f>
        <v>DEPARTAMENTO DE SOLUCIONES FINANCIERAS</v>
      </c>
      <c r="G257" s="64" t="str">
        <f>IF($K257="","",INDEX('Detalle individual'!$D:$D,$K257))</f>
        <v>Gerencia de Operaciones</v>
      </c>
      <c r="H257" s="63" t="str">
        <f>IF($K257="","",INDEX('Detalle individual'!$F:$F,$K257))</f>
        <v>Completado</v>
      </c>
      <c r="I257" s="77">
        <f>IF($K257="","",IF(INDEX('Detalle individual'!$F:$F,$K257)="Completado",INDEX('Detalle individual'!$H:$H,$K257),""))</f>
        <v>46307.58479166667</v>
      </c>
      <c r="J257" s="78">
        <f>IF($K257="","",IF(INDEX('Detalle individual'!$F:$F,$K257)="Completado",INDEX('Detalle individual'!$J:$J,$K257),""))</f>
        <v>80</v>
      </c>
      <c r="K257">
        <f>IFERROR(MOD(SMALL('Cálculos'!$Z$5:$Z$297,249),1000),"")</f>
        <v>63</v>
      </c>
    </row>
    <row r="258">
      <c r="B258" s="63">
        <f>IF($K258="","",250)</f>
        <v>250</v>
      </c>
      <c r="C258" s="63" t="str">
        <f>IF($K258="","",INDEX('Detalle individual'!$A:$A,$K258))</f>
        <v>439</v>
      </c>
      <c r="D258" s="64" t="str">
        <f>IF($K258="","",TRIM(INDEX('Detalle individual'!$B:$B,$K258)))</f>
        <v>ILIANA DESIREE ALFARO</v>
      </c>
      <c r="E258" s="64" t="str">
        <f>IF($K258="","",TRIM(INDEX('Detalle individual'!$E:$E,$K258)))</f>
        <v>EJECUTIVO DE SOLUCIONES FINANCIERAS</v>
      </c>
      <c r="F258" s="64" t="str">
        <f>IF($K258="","",TRIM(INDEX('Detalle individual'!$C:$C,$K258)))</f>
        <v>DEPARTAMENTO DE SOLUCIONES FINANCIERAS</v>
      </c>
      <c r="G258" s="64" t="str">
        <f>IF($K258="","",INDEX('Detalle individual'!$D:$D,$K258))</f>
        <v>Gerencia de Operaciones</v>
      </c>
      <c r="H258" s="63" t="str">
        <f>IF($K258="","",INDEX('Detalle individual'!$F:$F,$K258))</f>
        <v>Completado</v>
      </c>
      <c r="I258" s="77">
        <f>IF($K258="","",IF(INDEX('Detalle individual'!$F:$F,$K258)="Completado",INDEX('Detalle individual'!$H:$H,$K258),""))</f>
        <v>46304.38547453703</v>
      </c>
      <c r="J258" s="78">
        <f>IF($K258="","",IF(INDEX('Detalle individual'!$F:$F,$K258)="Completado",INDEX('Detalle individual'!$J:$J,$K258),""))</f>
        <v>80</v>
      </c>
      <c r="K258">
        <f>IFERROR(MOD(SMALL('Cálculos'!$Z$5:$Z$297,250),1000),"")</f>
        <v>64</v>
      </c>
    </row>
    <row r="259">
      <c r="B259" s="63">
        <f>IF($K259="","",251)</f>
        <v>251</v>
      </c>
      <c r="C259" s="63" t="str">
        <f>IF($K259="","",INDEX('Detalle individual'!$A:$A,$K259))</f>
        <v>472</v>
      </c>
      <c r="D259" s="64" t="str">
        <f>IF($K259="","",TRIM(INDEX('Detalle individual'!$B:$B,$K259)))</f>
        <v>CARLOS ROBERTO AGUILAR SANTOS</v>
      </c>
      <c r="E259" s="64" t="str">
        <f>IF($K259="","",TRIM(INDEX('Detalle individual'!$E:$E,$K259)))</f>
        <v>JEFE DE SOLUCIONES FINANCIERAS</v>
      </c>
      <c r="F259" s="64" t="str">
        <f>IF($K259="","",TRIM(INDEX('Detalle individual'!$C:$C,$K259)))</f>
        <v>DEPARTAMENTO DE SOLUCIONES FINANCIERAS</v>
      </c>
      <c r="G259" s="64" t="str">
        <f>IF($K259="","",INDEX('Detalle individual'!$D:$D,$K259))</f>
        <v>Gerencia de Operaciones</v>
      </c>
      <c r="H259" s="63" t="str">
        <f>IF($K259="","",INDEX('Detalle individual'!$F:$F,$K259))</f>
        <v>Completado</v>
      </c>
      <c r="I259" s="77">
        <f>IF($K259="","",IF(INDEX('Detalle individual'!$F:$F,$K259)="Completado",INDEX('Detalle individual'!$H:$H,$K259),""))</f>
        <v>46304.37534722222</v>
      </c>
      <c r="J259" s="78">
        <f>IF($K259="","",IF(INDEX('Detalle individual'!$F:$F,$K259)="Completado",INDEX('Detalle individual'!$J:$J,$K259),""))</f>
        <v>100</v>
      </c>
      <c r="K259">
        <f>IFERROR(MOD(SMALL('Cálculos'!$Z$5:$Z$297,251),1000),"")</f>
        <v>65</v>
      </c>
    </row>
    <row r="260">
      <c r="B260" s="63">
        <f>IF($K260="","",252)</f>
        <v>252</v>
      </c>
      <c r="C260" s="63" t="str">
        <f>IF($K260="","",INDEX('Detalle individual'!$A:$A,$K260))</f>
        <v>528</v>
      </c>
      <c r="D260" s="64" t="str">
        <f>IF($K260="","",TRIM(INDEX('Detalle individual'!$B:$B,$K260)))</f>
        <v>ANA GRISELDA SIGÜENZA MARTINEZ</v>
      </c>
      <c r="E260" s="64" t="str">
        <f>IF($K260="","",TRIM(INDEX('Detalle individual'!$E:$E,$K260)))</f>
        <v>AUXILIAR DE DEPARTAMENTO DE SOLUCIONES FINANCIERAS</v>
      </c>
      <c r="F260" s="64" t="str">
        <f>IF($K260="","",TRIM(INDEX('Detalle individual'!$C:$C,$K260)))</f>
        <v>DEPARTAMENTO DE SOLUCIONES FINANCIERAS</v>
      </c>
      <c r="G260" s="64" t="str">
        <f>IF($K260="","",INDEX('Detalle individual'!$D:$D,$K260))</f>
        <v>Gerencia de Operaciones</v>
      </c>
      <c r="H260" s="63" t="str">
        <f>IF($K260="","",INDEX('Detalle individual'!$F:$F,$K260))</f>
        <v>Completado</v>
      </c>
      <c r="I260" s="77">
        <f>IF($K260="","",IF(INDEX('Detalle individual'!$F:$F,$K260)="Completado",INDEX('Detalle individual'!$H:$H,$K260),""))</f>
        <v>46305.54105324074</v>
      </c>
      <c r="J260" s="78">
        <f>IF($K260="","",IF(INDEX('Detalle individual'!$F:$F,$K260)="Completado",INDEX('Detalle individual'!$J:$J,$K260),""))</f>
        <v>100</v>
      </c>
      <c r="K260">
        <f>IFERROR(MOD(SMALL('Cálculos'!$Z$5:$Z$297,252),1000),"")</f>
        <v>66</v>
      </c>
    </row>
    <row r="261">
      <c r="B261" s="63">
        <f>IF($K261="","",253)</f>
        <v>253</v>
      </c>
      <c r="C261" s="63" t="str">
        <f>IF($K261="","",INDEX('Detalle individual'!$A:$A,$K261))</f>
        <v>573</v>
      </c>
      <c r="D261" s="64" t="str">
        <f>IF($K261="","",TRIM(INDEX('Detalle individual'!$B:$B,$K261)))</f>
        <v>JUAN PABLO HENRIQUEZ RAMIREZ</v>
      </c>
      <c r="E261" s="64" t="str">
        <f>IF($K261="","",TRIM(INDEX('Detalle individual'!$E:$E,$K261)))</f>
        <v>EJECUTIVO DE SOLUCIONES FINANCIERAS</v>
      </c>
      <c r="F261" s="64" t="str">
        <f>IF($K261="","",TRIM(INDEX('Detalle individual'!$C:$C,$K261)))</f>
        <v>DEPARTAMENTO DE SOLUCIONES FINANCIERAS</v>
      </c>
      <c r="G261" s="64" t="str">
        <f>IF($K261="","",INDEX('Detalle individual'!$D:$D,$K261))</f>
        <v>Gerencia de Operaciones</v>
      </c>
      <c r="H261" s="63" t="str">
        <f>IF($K261="","",INDEX('Detalle individual'!$F:$F,$K261))</f>
        <v>Completado</v>
      </c>
      <c r="I261" s="77">
        <f>IF($K261="","",IF(INDEX('Detalle individual'!$F:$F,$K261)="Completado",INDEX('Detalle individual'!$H:$H,$K261),""))</f>
        <v>46309.38841435185</v>
      </c>
      <c r="J261" s="78">
        <f>IF($K261="","",IF(INDEX('Detalle individual'!$F:$F,$K261)="Completado",INDEX('Detalle individual'!$J:$J,$K261),""))</f>
        <v>90</v>
      </c>
      <c r="K261">
        <f>IFERROR(MOD(SMALL('Cálculos'!$Z$5:$Z$297,253),1000),"")</f>
        <v>67</v>
      </c>
    </row>
    <row r="262">
      <c r="B262" s="63">
        <f>IF($K262="","",254)</f>
        <v>254</v>
      </c>
      <c r="C262" s="63" t="str">
        <f>IF($K262="","",INDEX('Detalle individual'!$A:$A,$K262))</f>
        <v>948</v>
      </c>
      <c r="D262" s="64" t="str">
        <f>IF($K262="","",TRIM(INDEX('Detalle individual'!$B:$B,$K262)))</f>
        <v>NELSON KILDER QUIJADA ECHEVERRIA</v>
      </c>
      <c r="E262" s="64" t="str">
        <f>IF($K262="","",TRIM(INDEX('Detalle individual'!$E:$E,$K262)))</f>
        <v>ASISTENTE TECNICO DE TALENTO HUMANO</v>
      </c>
      <c r="F262" s="64" t="str">
        <f>IF($K262="","",TRIM(INDEX('Detalle individual'!$C:$C,$K262)))</f>
        <v>DEPARTAMENTO DE TALENTO HUMANO</v>
      </c>
      <c r="G262" s="64" t="str">
        <f>IF($K262="","",INDEX('Detalle individual'!$D:$D,$K262))</f>
        <v>Gerencia Administrativa</v>
      </c>
      <c r="H262" s="63" t="str">
        <f>IF($K262="","",INDEX('Detalle individual'!$F:$F,$K262))</f>
        <v>Completado</v>
      </c>
      <c r="I262" s="77">
        <f>IF($K262="","",IF(INDEX('Detalle individual'!$F:$F,$K262)="Completado",INDEX('Detalle individual'!$H:$H,$K262),""))</f>
        <v>46304.406006944446</v>
      </c>
      <c r="J262" s="78">
        <f>IF($K262="","",IF(INDEX('Detalle individual'!$F:$F,$K262)="Completado",INDEX('Detalle individual'!$J:$J,$K262),""))</f>
        <v>100</v>
      </c>
      <c r="K262">
        <f>IFERROR(MOD(SMALL('Cálculos'!$Z$5:$Z$297,254),1000),"")</f>
        <v>50</v>
      </c>
    </row>
    <row r="263">
      <c r="B263" s="63">
        <f>IF($K263="","",255)</f>
        <v>255</v>
      </c>
      <c r="C263" s="63" t="str">
        <f>IF($K263="","",INDEX('Detalle individual'!$A:$A,$K263))</f>
        <v>962</v>
      </c>
      <c r="D263" s="64" t="str">
        <f>IF($K263="","",TRIM(INDEX('Detalle individual'!$B:$B,$K263)))</f>
        <v>HELEN GLORIBEL PLATERO SANCHEZ</v>
      </c>
      <c r="E263" s="64" t="str">
        <f>IF($K263="","",TRIM(INDEX('Detalle individual'!$E:$E,$K263)))</f>
        <v>ANALISTA DE DESARROLLO ORGANIZACIONAL</v>
      </c>
      <c r="F263" s="64" t="str">
        <f>IF($K263="","",TRIM(INDEX('Detalle individual'!$C:$C,$K263)))</f>
        <v>DEPARTAMENTO DE TALENTO HUMANO</v>
      </c>
      <c r="G263" s="64" t="str">
        <f>IF($K263="","",INDEX('Detalle individual'!$D:$D,$K263))</f>
        <v>Gerencia Administrativa</v>
      </c>
      <c r="H263" s="63" t="str">
        <f>IF($K263="","",INDEX('Detalle individual'!$F:$F,$K263))</f>
        <v>Completado</v>
      </c>
      <c r="I263" s="77">
        <f>IF($K263="","",IF(INDEX('Detalle individual'!$F:$F,$K263)="Completado",INDEX('Detalle individual'!$H:$H,$K263),""))</f>
        <v>46304.52142361111</v>
      </c>
      <c r="J263" s="78">
        <f>IF($K263="","",IF(INDEX('Detalle individual'!$F:$F,$K263)="Completado",INDEX('Detalle individual'!$J:$J,$K263),""))</f>
        <v>90</v>
      </c>
      <c r="K263">
        <f>IFERROR(MOD(SMALL('Cálculos'!$Z$5:$Z$297,255),1000),"")</f>
        <v>51</v>
      </c>
    </row>
    <row r="264">
      <c r="B264" s="63">
        <f>IF($K264="","",256)</f>
        <v>256</v>
      </c>
      <c r="C264" s="63" t="str">
        <f>IF($K264="","",INDEX('Detalle individual'!$A:$A,$K264))</f>
        <v>459</v>
      </c>
      <c r="D264" s="64" t="str">
        <f>IF($K264="","",TRIM(INDEX('Detalle individual'!$B:$B,$K264)))</f>
        <v>LUIS ALEXANDER RAMIREZ MONTALVO</v>
      </c>
      <c r="E264" s="64" t="str">
        <f>IF($K264="","",TRIM(INDEX('Detalle individual'!$E:$E,$K264)))</f>
        <v>ASISTENTE TECNICO DE EMISION DE TARJETA</v>
      </c>
      <c r="F264" s="64" t="str">
        <f>IF($K264="","",TRIM(INDEX('Detalle individual'!$C:$C,$K264)))</f>
        <v>DEPARTAMENTO DE TARJETA DE CREDITO Y DEBITO</v>
      </c>
      <c r="G264" s="64" t="str">
        <f>IF($K264="","",INDEX('Detalle individual'!$D:$D,$K264))</f>
        <v>Gerencia de Operaciones</v>
      </c>
      <c r="H264" s="63" t="str">
        <f>IF($K264="","",INDEX('Detalle individual'!$F:$F,$K264))</f>
        <v>Completado</v>
      </c>
      <c r="I264" s="77">
        <f>IF($K264="","",IF(INDEX('Detalle individual'!$F:$F,$K264)="Completado",INDEX('Detalle individual'!$H:$H,$K264),""))</f>
        <v>46304.57939814815</v>
      </c>
      <c r="J264" s="78">
        <f>IF($K264="","",IF(INDEX('Detalle individual'!$F:$F,$K264)="Completado",INDEX('Detalle individual'!$J:$J,$K264),""))</f>
        <v>95</v>
      </c>
      <c r="K264">
        <f>IFERROR(MOD(SMALL('Cálculos'!$Z$5:$Z$297,256),1000),"")</f>
        <v>71</v>
      </c>
    </row>
    <row r="265">
      <c r="B265" s="63">
        <f>IF($K265="","",257)</f>
        <v>257</v>
      </c>
      <c r="C265" s="63" t="str">
        <f>IF($K265="","",INDEX('Detalle individual'!$A:$A,$K265))</f>
        <v>725</v>
      </c>
      <c r="D265" s="64" t="str">
        <f>IF($K265="","",TRIM(INDEX('Detalle individual'!$B:$B,$K265)))</f>
        <v>ANA BEATRIZ QUINTEROS AVELAR</v>
      </c>
      <c r="E265" s="64" t="str">
        <f>IF($K265="","",TRIM(INDEX('Detalle individual'!$E:$E,$K265)))</f>
        <v>ASISTENTE TECNICO DE OPERACIONES DE TARJETAS</v>
      </c>
      <c r="F265" s="64" t="str">
        <f>IF($K265="","",TRIM(INDEX('Detalle individual'!$C:$C,$K265)))</f>
        <v>DEPARTAMENTO DE TARJETA DE CREDITO Y DEBITO</v>
      </c>
      <c r="G265" s="64" t="str">
        <f>IF($K265="","",INDEX('Detalle individual'!$D:$D,$K265))</f>
        <v>Gerencia de Operaciones</v>
      </c>
      <c r="H265" s="63" t="str">
        <f>IF($K265="","",INDEX('Detalle individual'!$F:$F,$K265))</f>
        <v>Completado</v>
      </c>
      <c r="I265" s="77">
        <f>IF($K265="","",IF(INDEX('Detalle individual'!$F:$F,$K265)="Completado",INDEX('Detalle individual'!$H:$H,$K265),""))</f>
        <v>46309.65164351852</v>
      </c>
      <c r="J265" s="78">
        <f>IF($K265="","",IF(INDEX('Detalle individual'!$F:$F,$K265)="Completado",INDEX('Detalle individual'!$J:$J,$K265),""))</f>
        <v>100</v>
      </c>
      <c r="K265">
        <f>IFERROR(MOD(SMALL('Cálculos'!$Z$5:$Z$297,257),1000),"")</f>
        <v>72</v>
      </c>
    </row>
    <row r="266">
      <c r="B266" s="63">
        <f>IF($K266="","",258)</f>
        <v>258</v>
      </c>
      <c r="C266" s="63" t="str">
        <f>IF($K266="","",INDEX('Detalle individual'!$A:$A,$K266))</f>
        <v>952</v>
      </c>
      <c r="D266" s="64" t="str">
        <f>IF($K266="","",TRIM(INDEX('Detalle individual'!$B:$B,$K266)))</f>
        <v>ANDREA CAROLINA RUMUALDO MARTINEZ</v>
      </c>
      <c r="E266" s="64" t="str">
        <f>IF($K266="","",TRIM(INDEX('Detalle individual'!$E:$E,$K266)))</f>
        <v>AUXILIAR DE CONTROL DE CALIDAD</v>
      </c>
      <c r="F266" s="64" t="str">
        <f>IF($K266="","",TRIM(INDEX('Detalle individual'!$C:$C,$K266)))</f>
        <v>DEPARTAMENTO DE TARJETA DE CREDITO Y DEBITO</v>
      </c>
      <c r="G266" s="64" t="str">
        <f>IF($K266="","",INDEX('Detalle individual'!$D:$D,$K266))</f>
        <v>Gerencia de Operaciones</v>
      </c>
      <c r="H266" s="63" t="str">
        <f>IF($K266="","",INDEX('Detalle individual'!$F:$F,$K266))</f>
        <v>Completado</v>
      </c>
      <c r="I266" s="77">
        <f>IF($K266="","",IF(INDEX('Detalle individual'!$F:$F,$K266)="Completado",INDEX('Detalle individual'!$H:$H,$K266),""))</f>
        <v>46296.65724537037</v>
      </c>
      <c r="J266" s="78">
        <f>IF($K266="","",IF(INDEX('Detalle individual'!$F:$F,$K266)="Completado",INDEX('Detalle individual'!$J:$J,$K266),""))</f>
        <v>100</v>
      </c>
      <c r="K266">
        <f>IFERROR(MOD(SMALL('Cálculos'!$Z$5:$Z$297,258),1000),"")</f>
        <v>73</v>
      </c>
    </row>
    <row r="267">
      <c r="B267" s="63">
        <f>IF($K267="","",259)</f>
        <v>259</v>
      </c>
      <c r="C267" s="63" t="str">
        <f>IF($K267="","",INDEX('Detalle individual'!$A:$A,$K267))</f>
        <v>980</v>
      </c>
      <c r="D267" s="64" t="str">
        <f>IF($K267="","",TRIM(INDEX('Detalle individual'!$B:$B,$K267)))</f>
        <v>FATIMA ELIZABETH LEMUS RODRIGUEZ</v>
      </c>
      <c r="E267" s="64" t="str">
        <f>IF($K267="","",TRIM(INDEX('Detalle individual'!$E:$E,$K267)))</f>
        <v>AUXILIAR DE EMISION DE TARJETA</v>
      </c>
      <c r="F267" s="64" t="str">
        <f>IF($K267="","",TRIM(INDEX('Detalle individual'!$C:$C,$K267)))</f>
        <v>DEPARTAMENTO DE TARJETA DE CREDITO Y DEBITO</v>
      </c>
      <c r="G267" s="64" t="str">
        <f>IF($K267="","",INDEX('Detalle individual'!$D:$D,$K267))</f>
        <v>Gerencia de Operaciones</v>
      </c>
      <c r="H267" s="63" t="str">
        <f>IF($K267="","",INDEX('Detalle individual'!$F:$F,$K267))</f>
        <v>Completado</v>
      </c>
      <c r="I267" s="77">
        <f>IF($K267="","",IF(INDEX('Detalle individual'!$F:$F,$K267)="Completado",INDEX('Detalle individual'!$H:$H,$K267),""))</f>
        <v>46296.71346064815</v>
      </c>
      <c r="J267" s="78">
        <f>IF($K267="","",IF(INDEX('Detalle individual'!$F:$F,$K267)="Completado",INDEX('Detalle individual'!$J:$J,$K267),""))</f>
        <v>100</v>
      </c>
      <c r="K267">
        <f>IFERROR(MOD(SMALL('Cálculos'!$Z$5:$Z$297,259),1000),"")</f>
        <v>74</v>
      </c>
    </row>
    <row r="268">
      <c r="B268" s="63">
        <f>IF($K268="","",260)</f>
        <v>260</v>
      </c>
      <c r="C268" s="63" t="str">
        <f>IF($K268="","",INDEX('Detalle individual'!$A:$A,$K268))</f>
        <v>442</v>
      </c>
      <c r="D268" s="64" t="str">
        <f>IF($K268="","",TRIM(INDEX('Detalle individual'!$B:$B,$K268)))</f>
        <v>JUAN JOSE CAÑAS COMAYAGUA</v>
      </c>
      <c r="E268" s="64" t="str">
        <f>IF($K268="","",TRIM(INDEX('Detalle individual'!$E:$E,$K268)))</f>
        <v>JEFE DE DEPARTAMENTO LEGAL</v>
      </c>
      <c r="F268" s="64" t="str">
        <f>IF($K268="","",TRIM(INDEX('Detalle individual'!$C:$C,$K268)))</f>
        <v>DEPARTAMENTO LEGAL</v>
      </c>
      <c r="G268" s="64" t="str">
        <f>IF($K268="","",INDEX('Detalle individual'!$D:$D,$K268))</f>
        <v>Gerencia Legal y Cumplimiento Normativo</v>
      </c>
      <c r="H268" s="63" t="str">
        <f>IF($K268="","",INDEX('Detalle individual'!$F:$F,$K268))</f>
        <v>Completado</v>
      </c>
      <c r="I268" s="77">
        <f>IF($K268="","",IF(INDEX('Detalle individual'!$F:$F,$K268)="Completado",INDEX('Detalle individual'!$H:$H,$K268),""))</f>
        <v>46306.60649305556</v>
      </c>
      <c r="J268" s="78">
        <f>IF($K268="","",IF(INDEX('Detalle individual'!$F:$F,$K268)="Completado",INDEX('Detalle individual'!$J:$J,$K268),""))</f>
        <v>100</v>
      </c>
      <c r="K268">
        <f>IFERROR(MOD(SMALL('Cálculos'!$Z$5:$Z$297,260),1000),"")</f>
        <v>288</v>
      </c>
    </row>
    <row r="269">
      <c r="B269" s="63">
        <f>IF($K269="","",261)</f>
        <v>261</v>
      </c>
      <c r="C269" s="63" t="str">
        <f>IF($K269="","",INDEX('Detalle individual'!$A:$A,$K269))</f>
        <v>592</v>
      </c>
      <c r="D269" s="64" t="str">
        <f>IF($K269="","",TRIM(INDEX('Detalle individual'!$B:$B,$K269)))</f>
        <v>CARLOS RENE CASTILLO GAMEZ</v>
      </c>
      <c r="E269" s="64" t="str">
        <f>IF($K269="","",TRIM(INDEX('Detalle individual'!$E:$E,$K269)))</f>
        <v>ASISTENTE TECNICO LEGAL</v>
      </c>
      <c r="F269" s="64" t="str">
        <f>IF($K269="","",TRIM(INDEX('Detalle individual'!$C:$C,$K269)))</f>
        <v>DEPARTAMENTO LEGAL</v>
      </c>
      <c r="G269" s="64" t="str">
        <f>IF($K269="","",INDEX('Detalle individual'!$D:$D,$K269))</f>
        <v>Gerencia Legal y Cumplimiento Normativo</v>
      </c>
      <c r="H269" s="63" t="str">
        <f>IF($K269="","",INDEX('Detalle individual'!$F:$F,$K269))</f>
        <v>Completado</v>
      </c>
      <c r="I269" s="77">
        <f>IF($K269="","",IF(INDEX('Detalle individual'!$F:$F,$K269)="Completado",INDEX('Detalle individual'!$H:$H,$K269),""))</f>
        <v>46308.62107638889</v>
      </c>
      <c r="J269" s="78">
        <f>IF($K269="","",IF(INDEX('Detalle individual'!$F:$F,$K269)="Completado",INDEX('Detalle individual'!$J:$J,$K269),""))</f>
        <v>100</v>
      </c>
      <c r="K269">
        <f>IFERROR(MOD(SMALL('Cálculos'!$Z$5:$Z$297,261),1000),"")</f>
        <v>289</v>
      </c>
    </row>
    <row r="270">
      <c r="B270" s="63">
        <f>IF($K270="","",262)</f>
        <v>262</v>
      </c>
      <c r="C270" s="63" t="str">
        <f>IF($K270="","",INDEX('Detalle individual'!$A:$A,$K270))</f>
        <v>814</v>
      </c>
      <c r="D270" s="64" t="str">
        <f>IF($K270="","",TRIM(INDEX('Detalle individual'!$B:$B,$K270)))</f>
        <v>ANDREA RAQUEL MONTOYA ALARCON</v>
      </c>
      <c r="E270" s="64" t="str">
        <f>IF($K270="","",TRIM(INDEX('Detalle individual'!$E:$E,$K270)))</f>
        <v>AUXILIAR JURIDICO DE ESCRITURACION</v>
      </c>
      <c r="F270" s="64" t="str">
        <f>IF($K270="","",TRIM(INDEX('Detalle individual'!$C:$C,$K270)))</f>
        <v>DEPARTAMENTO LEGAL</v>
      </c>
      <c r="G270" s="64" t="str">
        <f>IF($K270="","",INDEX('Detalle individual'!$D:$D,$K270))</f>
        <v>Gerencia Legal y Cumplimiento Normativo</v>
      </c>
      <c r="H270" s="63" t="str">
        <f>IF($K270="","",INDEX('Detalle individual'!$F:$F,$K270))</f>
        <v>Completado</v>
      </c>
      <c r="I270" s="77">
        <f>IF($K270="","",IF(INDEX('Detalle individual'!$F:$F,$K270)="Completado",INDEX('Detalle individual'!$H:$H,$K270),""))</f>
        <v>46307.421319444446</v>
      </c>
      <c r="J270" s="78">
        <f>IF($K270="","",IF(INDEX('Detalle individual'!$F:$F,$K270)="Completado",INDEX('Detalle individual'!$J:$J,$K270),""))</f>
        <v>100</v>
      </c>
      <c r="K270">
        <f>IFERROR(MOD(SMALL('Cálculos'!$Z$5:$Z$297,262),1000),"")</f>
        <v>290</v>
      </c>
    </row>
    <row r="271">
      <c r="B271" s="63">
        <f>IF($K271="","",263)</f>
        <v>263</v>
      </c>
      <c r="C271" s="63" t="str">
        <f>IF($K271="","",INDEX('Detalle individual'!$A:$A,$K271))</f>
        <v>831</v>
      </c>
      <c r="D271" s="64" t="str">
        <f>IF($K271="","",TRIM(INDEX('Detalle individual'!$B:$B,$K271)))</f>
        <v>NICOLLE ALEXANDRA MARINERO GALLARDO</v>
      </c>
      <c r="E271" s="64" t="str">
        <f>IF($K271="","",TRIM(INDEX('Detalle individual'!$E:$E,$K271)))</f>
        <v>AUXILIAR JURIDICO NOTARIAL</v>
      </c>
      <c r="F271" s="64" t="str">
        <f>IF($K271="","",TRIM(INDEX('Detalle individual'!$C:$C,$K271)))</f>
        <v>DEPARTAMENTO LEGAL</v>
      </c>
      <c r="G271" s="64" t="str">
        <f>IF($K271="","",INDEX('Detalle individual'!$D:$D,$K271))</f>
        <v>Gerencia Legal y Cumplimiento Normativo</v>
      </c>
      <c r="H271" s="63" t="str">
        <f>IF($K271="","",INDEX('Detalle individual'!$F:$F,$K271))</f>
        <v>Completado</v>
      </c>
      <c r="I271" s="77">
        <f>IF($K271="","",IF(INDEX('Detalle individual'!$F:$F,$K271)="Completado",INDEX('Detalle individual'!$H:$H,$K271),""))</f>
        <v>46307.4125462963</v>
      </c>
      <c r="J271" s="78">
        <f>IF($K271="","",IF(INDEX('Detalle individual'!$F:$F,$K271)="Completado",INDEX('Detalle individual'!$J:$J,$K271),""))</f>
        <v>90</v>
      </c>
      <c r="K271">
        <f>IFERROR(MOD(SMALL('Cálculos'!$Z$5:$Z$297,263),1000),"")</f>
        <v>291</v>
      </c>
    </row>
    <row r="272">
      <c r="B272" s="63">
        <f>IF($K272="","",264)</f>
        <v>264</v>
      </c>
      <c r="C272" s="63" t="str">
        <f>IF($K272="","",INDEX('Detalle individual'!$A:$A,$K272))</f>
        <v>843</v>
      </c>
      <c r="D272" s="64" t="str">
        <f>IF($K272="","",TRIM(INDEX('Detalle individual'!$B:$B,$K272)))</f>
        <v>DANIELA MARIA FUENTES MEDINA</v>
      </c>
      <c r="E272" s="64" t="str">
        <f>IF($K272="","",TRIM(INDEX('Detalle individual'!$E:$E,$K272)))</f>
        <v>AUXILIAR JURIDICO DE CONTRATACION</v>
      </c>
      <c r="F272" s="64" t="str">
        <f>IF($K272="","",TRIM(INDEX('Detalle individual'!$C:$C,$K272)))</f>
        <v>DEPARTAMENTO LEGAL</v>
      </c>
      <c r="G272" s="64" t="str">
        <f>IF($K272="","",INDEX('Detalle individual'!$D:$D,$K272))</f>
        <v>Gerencia Legal y Cumplimiento Normativo</v>
      </c>
      <c r="H272" s="63" t="str">
        <f>IF($K272="","",INDEX('Detalle individual'!$F:$F,$K272))</f>
        <v>Completado</v>
      </c>
      <c r="I272" s="77">
        <f>IF($K272="","",IF(INDEX('Detalle individual'!$F:$F,$K272)="Completado",INDEX('Detalle individual'!$H:$H,$K272),""))</f>
        <v>46307.39480324074</v>
      </c>
      <c r="J272" s="78">
        <f>IF($K272="","",IF(INDEX('Detalle individual'!$F:$F,$K272)="Completado",INDEX('Detalle individual'!$J:$J,$K272),""))</f>
        <v>100</v>
      </c>
      <c r="K272">
        <f>IFERROR(MOD(SMALL('Cálculos'!$Z$5:$Z$297,264),1000),"")</f>
        <v>292</v>
      </c>
    </row>
    <row r="273">
      <c r="B273" s="63">
        <f>IF($K273="","",265)</f>
        <v>265</v>
      </c>
      <c r="C273" s="63" t="str">
        <f>IF($K273="","",INDEX('Detalle individual'!$A:$A,$K273))</f>
        <v>893</v>
      </c>
      <c r="D273" s="64" t="str">
        <f>IF($K273="","",TRIM(INDEX('Detalle individual'!$B:$B,$K273)))</f>
        <v>ALEJANDRA MARIA GONZALEZ BENAVIDES</v>
      </c>
      <c r="E273" s="64" t="str">
        <f>IF($K273="","",TRIM(INDEX('Detalle individual'!$E:$E,$K273)))</f>
        <v>AUXILIAR JURIDICO JUDICIAL</v>
      </c>
      <c r="F273" s="64" t="str">
        <f>IF($K273="","",TRIM(INDEX('Detalle individual'!$C:$C,$K273)))</f>
        <v>DEPARTAMENTO LEGAL</v>
      </c>
      <c r="G273" s="64" t="str">
        <f>IF($K273="","",INDEX('Detalle individual'!$D:$D,$K273))</f>
        <v>Gerencia Legal y Cumplimiento Normativo</v>
      </c>
      <c r="H273" s="63" t="str">
        <f>IF($K273="","",INDEX('Detalle individual'!$F:$F,$K273))</f>
        <v>Completado</v>
      </c>
      <c r="I273" s="77">
        <f>IF($K273="","",IF(INDEX('Detalle individual'!$F:$F,$K273)="Completado",INDEX('Detalle individual'!$H:$H,$K273),""))</f>
        <v>46304.703680555554</v>
      </c>
      <c r="J273" s="78">
        <f>IF($K273="","",IF(INDEX('Detalle individual'!$F:$F,$K273)="Completado",INDEX('Detalle individual'!$J:$J,$K273),""))</f>
        <v>100</v>
      </c>
      <c r="K273">
        <f>IFERROR(MOD(SMALL('Cálculos'!$Z$5:$Z$297,265),1000),"")</f>
        <v>293</v>
      </c>
    </row>
    <row r="274">
      <c r="B274" s="63">
        <f>IF($K274="","",266)</f>
        <v>266</v>
      </c>
      <c r="C274" s="63" t="str">
        <f>IF($K274="","",INDEX('Detalle individual'!$A:$A,$K274))</f>
        <v>905</v>
      </c>
      <c r="D274" s="64" t="str">
        <f>IF($K274="","",TRIM(INDEX('Detalle individual'!$B:$B,$K274)))</f>
        <v>CHRISTIAN ENRIQUE CAMPOS PRIVADO</v>
      </c>
      <c r="E274" s="64" t="str">
        <f>IF($K274="","",TRIM(INDEX('Detalle individual'!$E:$E,$K274)))</f>
        <v>ASISTENTE TECNICO LEGAL</v>
      </c>
      <c r="F274" s="64" t="str">
        <f>IF($K274="","",TRIM(INDEX('Detalle individual'!$C:$C,$K274)))</f>
        <v>DEPARTAMENTO LEGAL</v>
      </c>
      <c r="G274" s="64" t="str">
        <f>IF($K274="","",INDEX('Detalle individual'!$D:$D,$K274))</f>
        <v>Gerencia Legal y Cumplimiento Normativo</v>
      </c>
      <c r="H274" s="63" t="str">
        <f>IF($K274="","",INDEX('Detalle individual'!$F:$F,$K274))</f>
        <v>Completado</v>
      </c>
      <c r="I274" s="77">
        <f>IF($K274="","",IF(INDEX('Detalle individual'!$F:$F,$K274)="Completado",INDEX('Detalle individual'!$H:$H,$K274),""))</f>
        <v>46307.645</v>
      </c>
      <c r="J274" s="78">
        <f>IF($K274="","",IF(INDEX('Detalle individual'!$F:$F,$K274)="Completado",INDEX('Detalle individual'!$J:$J,$K274),""))</f>
        <v>100</v>
      </c>
      <c r="K274">
        <f>IFERROR(MOD(SMALL('Cálculos'!$Z$5:$Z$297,266),1000),"")</f>
        <v>294</v>
      </c>
    </row>
    <row r="275">
      <c r="B275" s="63">
        <f>IF($K275="","",267)</f>
        <v>267</v>
      </c>
      <c r="C275" s="63" t="str">
        <f>IF($K275="","",INDEX('Detalle individual'!$A:$A,$K275))</f>
        <v>929</v>
      </c>
      <c r="D275" s="64" t="str">
        <f>IF($K275="","",TRIM(INDEX('Detalle individual'!$B:$B,$K275)))</f>
        <v>GABRIELA LOURDES AREVALO SANCHEZ</v>
      </c>
      <c r="E275" s="64" t="str">
        <f>IF($K275="","",TRIM(INDEX('Detalle individual'!$E:$E,$K275)))</f>
        <v>AUXILIAR JURIDICO DE CONTRATACION</v>
      </c>
      <c r="F275" s="64" t="str">
        <f>IF($K275="","",TRIM(INDEX('Detalle individual'!$C:$C,$K275)))</f>
        <v>DEPARTAMENTO LEGAL</v>
      </c>
      <c r="G275" s="64" t="str">
        <f>IF($K275="","",INDEX('Detalle individual'!$D:$D,$K275))</f>
        <v>Gerencia Legal y Cumplimiento Normativo</v>
      </c>
      <c r="H275" s="63" t="str">
        <f>IF($K275="","",INDEX('Detalle individual'!$F:$F,$K275))</f>
        <v>Completado</v>
      </c>
      <c r="I275" s="77">
        <f>IF($K275="","",IF(INDEX('Detalle individual'!$F:$F,$K275)="Completado",INDEX('Detalle individual'!$H:$H,$K275),""))</f>
        <v>46300.628483796296</v>
      </c>
      <c r="J275" s="78">
        <f>IF($K275="","",IF(INDEX('Detalle individual'!$F:$F,$K275)="Completado",INDEX('Detalle individual'!$J:$J,$K275),""))</f>
        <v>90</v>
      </c>
      <c r="K275">
        <f>IFERROR(MOD(SMALL('Cálculos'!$Z$5:$Z$297,267),1000),"")</f>
        <v>295</v>
      </c>
    </row>
    <row r="276">
      <c r="B276" s="63">
        <f>IF($K276="","",268)</f>
        <v>268</v>
      </c>
      <c r="C276" s="63" t="str">
        <f>IF($K276="","",INDEX('Detalle individual'!$A:$A,$K276))</f>
        <v>349</v>
      </c>
      <c r="D276" s="64" t="str">
        <f>IF($K276="","",TRIM(INDEX('Detalle individual'!$B:$B,$K276)))</f>
        <v>CARLA EUGENIA HERNANDEZ MENJIVAR</v>
      </c>
      <c r="E276" s="64" t="str">
        <f>IF($K276="","",TRIM(INDEX('Detalle individual'!$E:$E,$K276)))</f>
        <v>GERENTE ADMINISTRATIVA</v>
      </c>
      <c r="F276" s="64" t="str">
        <f>IF($K276="","",TRIM(INDEX('Detalle individual'!$C:$C,$K276)))</f>
        <v>GERENCIA ADMINISTRATIVA</v>
      </c>
      <c r="G276" s="64" t="str">
        <f>IF($K276="","",INDEX('Detalle individual'!$D:$D,$K276))</f>
        <v>Gerencia Administrativa</v>
      </c>
      <c r="H276" s="63" t="str">
        <f>IF($K276="","",INDEX('Detalle individual'!$F:$F,$K276))</f>
        <v>Completado</v>
      </c>
      <c r="I276" s="77">
        <f>IF($K276="","",IF(INDEX('Detalle individual'!$F:$F,$K276)="Completado",INDEX('Detalle individual'!$H:$H,$K276),""))</f>
        <v>46297.63836805556</v>
      </c>
      <c r="J276" s="78">
        <f>IF($K276="","",IF(INDEX('Detalle individual'!$F:$F,$K276)="Completado",INDEX('Detalle individual'!$J:$J,$K276),""))</f>
        <v>100</v>
      </c>
      <c r="K276">
        <f>IFERROR(MOD(SMALL('Cálculos'!$Z$5:$Z$297,268),1000),"")</f>
        <v>6</v>
      </c>
    </row>
    <row r="277">
      <c r="B277" s="63">
        <f>IF($K277="","",269)</f>
        <v>269</v>
      </c>
      <c r="C277" s="63" t="str">
        <f>IF($K277="","",INDEX('Detalle individual'!$A:$A,$K277))</f>
        <v>45</v>
      </c>
      <c r="D277" s="64" t="str">
        <f>IF($K277="","",TRIM(INDEX('Detalle individual'!$B:$B,$K277)))</f>
        <v>MARTA LILLIAN VIGIL QUIJANO</v>
      </c>
      <c r="E277" s="64" t="str">
        <f>IF($K277="","",TRIM(INDEX('Detalle individual'!$E:$E,$K277)))</f>
        <v>ASISTENTE ADMINISTRATIVO DE GERENCIA ADMINISTRATIVA</v>
      </c>
      <c r="F277" s="64" t="str">
        <f>IF($K277="","",TRIM(INDEX('Detalle individual'!$C:$C,$K277)))</f>
        <v>GERENCIA ADMINISTRATIVA</v>
      </c>
      <c r="G277" s="64" t="str">
        <f>IF($K277="","",INDEX('Detalle individual'!$D:$D,$K277))</f>
        <v>Gerencia Administrativa</v>
      </c>
      <c r="H277" s="63" t="str">
        <f>IF($K277="","",INDEX('Detalle individual'!$F:$F,$K277))</f>
        <v>Completado</v>
      </c>
      <c r="I277" s="77">
        <f>IF($K277="","",IF(INDEX('Detalle individual'!$F:$F,$K277)="Completado",INDEX('Detalle individual'!$H:$H,$K277),""))</f>
        <v>46307.43666666667</v>
      </c>
      <c r="J277" s="78">
        <f>IF($K277="","",IF(INDEX('Detalle individual'!$F:$F,$K277)="Completado",INDEX('Detalle individual'!$J:$J,$K277),""))</f>
        <v>100</v>
      </c>
      <c r="K277">
        <f>IFERROR(MOD(SMALL('Cálculos'!$Z$5:$Z$297,269),1000),"")</f>
        <v>25</v>
      </c>
    </row>
    <row r="278">
      <c r="B278" s="63">
        <f>IF($K278="","",270)</f>
        <v>270</v>
      </c>
      <c r="C278" s="63" t="str">
        <f>IF($K278="","",INDEX('Detalle individual'!$A:$A,$K278))</f>
        <v>524</v>
      </c>
      <c r="D278" s="64" t="str">
        <f>IF($K278="","",TRIM(INDEX('Detalle individual'!$B:$B,$K278)))</f>
        <v>JOSE AUGUSTO DE LA O GALLEGOS</v>
      </c>
      <c r="E278" s="64" t="str">
        <f>IF($K278="","",TRIM(INDEX('Detalle individual'!$E:$E,$K278)))</f>
        <v>GERENTE DE FINANZAS Y PLANIFICACION</v>
      </c>
      <c r="F278" s="64" t="str">
        <f>IF($K278="","",TRIM(INDEX('Detalle individual'!$C:$C,$K278)))</f>
        <v>GERENCIA DE FINANZAS Y PLANIFICACIÓN</v>
      </c>
      <c r="G278" s="64" t="str">
        <f>IF($K278="","",INDEX('Detalle individual'!$D:$D,$K278))</f>
        <v>Gerencia de Finanzas y Planificación</v>
      </c>
      <c r="H278" s="63" t="str">
        <f>IF($K278="","",INDEX('Detalle individual'!$F:$F,$K278))</f>
        <v>Completado</v>
      </c>
      <c r="I278" s="77">
        <f>IF($K278="","",IF(INDEX('Detalle individual'!$F:$F,$K278)="Completado",INDEX('Detalle individual'!$H:$H,$K278),""))</f>
        <v>46296.429560185185</v>
      </c>
      <c r="J278" s="78">
        <f>IF($K278="","",IF(INDEX('Detalle individual'!$F:$F,$K278)="Completado",INDEX('Detalle individual'!$J:$J,$K278),""))</f>
        <v>100</v>
      </c>
      <c r="K278">
        <f>IFERROR(MOD(SMALL('Cálculos'!$Z$5:$Z$297,270),1000),"")</f>
        <v>8</v>
      </c>
    </row>
    <row r="279">
      <c r="B279" s="63">
        <f>IF($K279="","",271)</f>
        <v>271</v>
      </c>
      <c r="C279" s="63" t="str">
        <f>IF($K279="","",INDEX('Detalle individual'!$A:$A,$K279))</f>
        <v>942</v>
      </c>
      <c r="D279" s="64" t="str">
        <f>IF($K279="","",TRIM(INDEX('Detalle individual'!$B:$B,$K279)))</f>
        <v>PAULA MARIA CALDERON PEREZ</v>
      </c>
      <c r="E279" s="64" t="str">
        <f>IF($K279="","",TRIM(INDEX('Detalle individual'!$E:$E,$K279)))</f>
        <v>ASISTENTE DE GERENCIA DE FINANZAS</v>
      </c>
      <c r="F279" s="64" t="str">
        <f>IF($K279="","",TRIM(INDEX('Detalle individual'!$C:$C,$K279)))</f>
        <v>GERENCIA DE FINANZAS Y PLANIFICACIÓN</v>
      </c>
      <c r="G279" s="64" t="str">
        <f>IF($K279="","",INDEX('Detalle individual'!$D:$D,$K279))</f>
        <v>Gerencia de Finanzas y Planificación</v>
      </c>
      <c r="H279" s="63" t="str">
        <f>IF($K279="","",INDEX('Detalle individual'!$F:$F,$K279))</f>
        <v>Completado</v>
      </c>
      <c r="I279" s="77">
        <f>IF($K279="","",IF(INDEX('Detalle individual'!$F:$F,$K279)="Completado",INDEX('Detalle individual'!$H:$H,$K279),""))</f>
        <v>46305.470555555556</v>
      </c>
      <c r="J279" s="78">
        <f>IF($K279="","",IF(INDEX('Detalle individual'!$F:$F,$K279)="Completado",INDEX('Detalle individual'!$J:$J,$K279),""))</f>
        <v>100</v>
      </c>
      <c r="K279">
        <f>IFERROR(MOD(SMALL('Cálculos'!$Z$5:$Z$297,271),1000),"")</f>
        <v>84</v>
      </c>
    </row>
    <row r="280">
      <c r="B280" s="63">
        <f>IF($K280="","",272)</f>
        <v>272</v>
      </c>
      <c r="C280" s="63" t="str">
        <f>IF($K280="","",INDEX('Detalle individual'!$A:$A,$K280))</f>
        <v>583</v>
      </c>
      <c r="D280" s="64" t="str">
        <f>IF($K280="","",TRIM(INDEX('Detalle individual'!$B:$B,$K280)))</f>
        <v>HECTOR JOSE MENJIVAR SOMOZA</v>
      </c>
      <c r="E280" s="64" t="str">
        <f>IF($K280="","",TRIM(INDEX('Detalle individual'!$E:$E,$K280)))</f>
        <v>ANALISTA DE INTELIGENCIA DE NEGOCIOS</v>
      </c>
      <c r="F280" s="64" t="str">
        <f>IF($K280="","",TRIM(INDEX('Detalle individual'!$C:$C,$K280)))</f>
        <v>GERENCIA DE NEGOCIOS</v>
      </c>
      <c r="G280" s="64" t="str">
        <f>IF($K280="","",INDEX('Detalle individual'!$D:$D,$K280))</f>
        <v>Gerencia de Negocios</v>
      </c>
      <c r="H280" s="63" t="str">
        <f>IF($K280="","",INDEX('Detalle individual'!$F:$F,$K280))</f>
        <v>Completado</v>
      </c>
      <c r="I280" s="77">
        <f>IF($K280="","",IF(INDEX('Detalle individual'!$F:$F,$K280)="Completado",INDEX('Detalle individual'!$H:$H,$K280),""))</f>
        <v>46296.48710648148</v>
      </c>
      <c r="J280" s="78">
        <f>IF($K280="","",IF(INDEX('Detalle individual'!$F:$F,$K280)="Completado",INDEX('Detalle individual'!$J:$J,$K280),""))</f>
        <v>100</v>
      </c>
      <c r="K280">
        <f>IFERROR(MOD(SMALL('Cálculos'!$Z$5:$Z$297,272),1000),"")</f>
        <v>136</v>
      </c>
    </row>
    <row r="281">
      <c r="B281" s="63">
        <f>IF($K281="","",273)</f>
        <v>273</v>
      </c>
      <c r="C281" s="63" t="str">
        <f>IF($K281="","",INDEX('Detalle individual'!$A:$A,$K281))</f>
        <v>633</v>
      </c>
      <c r="D281" s="64" t="str">
        <f>IF($K281="","",TRIM(INDEX('Detalle individual'!$B:$B,$K281)))</f>
        <v>VICTOR ADONAY PEREZ CASTILLO</v>
      </c>
      <c r="E281" s="64" t="str">
        <f>IF($K281="","",TRIM(INDEX('Detalle individual'!$E:$E,$K281)))</f>
        <v>ASISTENTE PARA CANALES ELECTRONICOS Y OPERACIONES EN AGENCIA</v>
      </c>
      <c r="F281" s="64" t="str">
        <f>IF($K281="","",TRIM(INDEX('Detalle individual'!$C:$C,$K281)))</f>
        <v>GERENCIA DE NEGOCIOS</v>
      </c>
      <c r="G281" s="64" t="str">
        <f>IF($K281="","",INDEX('Detalle individual'!$D:$D,$K281))</f>
        <v>Gerencia de Negocios</v>
      </c>
      <c r="H281" s="63" t="str">
        <f>IF($K281="","",INDEX('Detalle individual'!$F:$F,$K281))</f>
        <v>Completado</v>
      </c>
      <c r="I281" s="77">
        <f>IF($K281="","",IF(INDEX('Detalle individual'!$F:$F,$K281)="Completado",INDEX('Detalle individual'!$H:$H,$K281),""))</f>
        <v>46296.453680555554</v>
      </c>
      <c r="J281" s="78">
        <f>IF($K281="","",IF(INDEX('Detalle individual'!$F:$F,$K281)="Completado",INDEX('Detalle individual'!$J:$J,$K281),""))</f>
        <v>100</v>
      </c>
      <c r="K281">
        <f>IFERROR(MOD(SMALL('Cálculos'!$Z$5:$Z$297,273),1000),"")</f>
        <v>137</v>
      </c>
    </row>
    <row r="282">
      <c r="B282" s="63">
        <f>IF($K282="","",274)</f>
        <v>274</v>
      </c>
      <c r="C282" s="63" t="str">
        <f>IF($K282="","",INDEX('Detalle individual'!$A:$A,$K282))</f>
        <v>782</v>
      </c>
      <c r="D282" s="64" t="str">
        <f>IF($K282="","",TRIM(INDEX('Detalle individual'!$B:$B,$K282)))</f>
        <v>WANDA ILIANA MORENO QUINTEROS</v>
      </c>
      <c r="E282" s="64" t="str">
        <f>IF($K282="","",TRIM(INDEX('Detalle individual'!$E:$E,$K282)))</f>
        <v>ADMINISTRADOR DE PLATAFORMAS Y TRANSFORMACION DIGITAL DE CRE</v>
      </c>
      <c r="F282" s="64" t="str">
        <f>IF($K282="","",TRIM(INDEX('Detalle individual'!$C:$C,$K282)))</f>
        <v>GERENCIA DE NEGOCIOS</v>
      </c>
      <c r="G282" s="64" t="str">
        <f>IF($K282="","",INDEX('Detalle individual'!$D:$D,$K282))</f>
        <v>Gerencia de Negocios</v>
      </c>
      <c r="H282" s="63" t="str">
        <f>IF($K282="","",INDEX('Detalle individual'!$F:$F,$K282))</f>
        <v>Completado</v>
      </c>
      <c r="I282" s="77">
        <f>IF($K282="","",IF(INDEX('Detalle individual'!$F:$F,$K282)="Completado",INDEX('Detalle individual'!$H:$H,$K282),""))</f>
        <v>46301.440300925926</v>
      </c>
      <c r="J282" s="78">
        <f>IF($K282="","",IF(INDEX('Detalle individual'!$F:$F,$K282)="Completado",INDEX('Detalle individual'!$J:$J,$K282),""))</f>
        <v>100</v>
      </c>
      <c r="K282">
        <f>IFERROR(MOD(SMALL('Cálculos'!$Z$5:$Z$297,274),1000),"")</f>
        <v>138</v>
      </c>
    </row>
    <row r="283">
      <c r="B283" s="63">
        <f>IF($K283="","",275)</f>
        <v>275</v>
      </c>
      <c r="C283" s="63" t="str">
        <f>IF($K283="","",INDEX('Detalle individual'!$A:$A,$K283))</f>
        <v>393</v>
      </c>
      <c r="D283" s="64" t="str">
        <f>IF($K283="","",TRIM(INDEX('Detalle individual'!$B:$B,$K283)))</f>
        <v>FLOR MARISELA TORRES VELASQUEZ</v>
      </c>
      <c r="E283" s="64" t="str">
        <f>IF($K283="","",TRIM(INDEX('Detalle individual'!$E:$E,$K283)))</f>
        <v>LIDER DE PROYECTOS TECNOLOGICOS</v>
      </c>
      <c r="F283" s="64" t="str">
        <f>IF($K283="","",TRIM(INDEX('Detalle individual'!$C:$C,$K283)))</f>
        <v>GERENCIA DE SISTEMAS</v>
      </c>
      <c r="G283" s="64" t="str">
        <f>IF($K283="","",INDEX('Detalle individual'!$D:$D,$K283))</f>
        <v>Gerencia de Sistemas</v>
      </c>
      <c r="H283" s="63" t="str">
        <f>IF($K283="","",INDEX('Detalle individual'!$F:$F,$K283))</f>
        <v>Completado</v>
      </c>
      <c r="I283" s="77">
        <f>IF($K283="","",IF(INDEX('Detalle individual'!$F:$F,$K283)="Completado",INDEX('Detalle individual'!$H:$H,$K283),""))</f>
        <v>46307.48341435185</v>
      </c>
      <c r="J283" s="78">
        <f>IF($K283="","",IF(INDEX('Detalle individual'!$F:$F,$K283)="Completado",INDEX('Detalle individual'!$J:$J,$K283),""))</f>
        <v>100</v>
      </c>
      <c r="K283">
        <f>IFERROR(MOD(SMALL('Cálculos'!$Z$5:$Z$297,275),1000),"")</f>
        <v>101</v>
      </c>
    </row>
    <row r="284">
      <c r="B284" s="63">
        <f>IF($K284="","",276)</f>
        <v>276</v>
      </c>
      <c r="C284" s="63" t="str">
        <f>IF($K284="","",INDEX('Detalle individual'!$A:$A,$K284))</f>
        <v>804</v>
      </c>
      <c r="D284" s="64" t="str">
        <f>IF($K284="","",TRIM(INDEX('Detalle individual'!$B:$B,$K284)))</f>
        <v>FERMIN ABIEL VIERA LINARES</v>
      </c>
      <c r="E284" s="64" t="str">
        <f>IF($K284="","",TRIM(INDEX('Detalle individual'!$E:$E,$K284)))</f>
        <v>ANALISTA DE CAMBIOS Y SEGURIDAD</v>
      </c>
      <c r="F284" s="64" t="str">
        <f>IF($K284="","",TRIM(INDEX('Detalle individual'!$C:$C,$K284)))</f>
        <v>GERENCIA DE SISTEMAS</v>
      </c>
      <c r="G284" s="64" t="str">
        <f>IF($K284="","",INDEX('Detalle individual'!$D:$D,$K284))</f>
        <v>Gerencia de Sistemas</v>
      </c>
      <c r="H284" s="63" t="str">
        <f>IF($K284="","",INDEX('Detalle individual'!$F:$F,$K284))</f>
        <v>Completado</v>
      </c>
      <c r="I284" s="77">
        <f>IF($K284="","",IF(INDEX('Detalle individual'!$F:$F,$K284)="Completado",INDEX('Detalle individual'!$H:$H,$K284),""))</f>
        <v>46304.407905092594</v>
      </c>
      <c r="J284" s="78">
        <f>IF($K284="","",IF(INDEX('Detalle individual'!$F:$F,$K284)="Completado",INDEX('Detalle individual'!$J:$J,$K284),""))</f>
        <v>100</v>
      </c>
      <c r="K284">
        <f>IFERROR(MOD(SMALL('Cálculos'!$Z$5:$Z$297,276),1000),"")</f>
        <v>102</v>
      </c>
    </row>
    <row r="285">
      <c r="B285" s="63">
        <f>IF($K285="","",277)</f>
        <v>277</v>
      </c>
      <c r="C285" s="63" t="str">
        <f>IF($K285="","",INDEX('Detalle individual'!$A:$A,$K285))</f>
        <v>883</v>
      </c>
      <c r="D285" s="64" t="str">
        <f>IF($K285="","",TRIM(INDEX('Detalle individual'!$B:$B,$K285)))</f>
        <v>ISMAEL HUMBERTO GUERRERO FLORES</v>
      </c>
      <c r="E285" s="64" t="str">
        <f>IF($K285="","",TRIM(INDEX('Detalle individual'!$E:$E,$K285)))</f>
        <v>ADMINISTRADOR DE SEGURIDAD INFORMATICA</v>
      </c>
      <c r="F285" s="64" t="str">
        <f>IF($K285="","",TRIM(INDEX('Detalle individual'!$C:$C,$K285)))</f>
        <v>GERENCIA DE SISTEMAS</v>
      </c>
      <c r="G285" s="64" t="str">
        <f>IF($K285="","",INDEX('Detalle individual'!$D:$D,$K285))</f>
        <v>Gerencia de Sistemas</v>
      </c>
      <c r="H285" s="63" t="str">
        <f>IF($K285="","",INDEX('Detalle individual'!$F:$F,$K285))</f>
        <v>Completado</v>
      </c>
      <c r="I285" s="77">
        <f>IF($K285="","",IF(INDEX('Detalle individual'!$F:$F,$K285)="Completado",INDEX('Detalle individual'!$H:$H,$K285),""))</f>
        <v>46300.58474537037</v>
      </c>
      <c r="J285" s="78">
        <f>IF($K285="","",IF(INDEX('Detalle individual'!$F:$F,$K285)="Completado",INDEX('Detalle individual'!$J:$J,$K285),""))</f>
        <v>95</v>
      </c>
      <c r="K285">
        <f>IFERROR(MOD(SMALL('Cálculos'!$Z$5:$Z$297,277),1000),"")</f>
        <v>103</v>
      </c>
    </row>
    <row r="286">
      <c r="B286" s="63">
        <f>IF($K286="","",278)</f>
        <v>278</v>
      </c>
      <c r="C286" s="63" t="str">
        <f>IF($K286="","",INDEX('Detalle individual'!$A:$A,$K286))</f>
        <v>17</v>
      </c>
      <c r="D286" s="64" t="str">
        <f>IF($K286="","",TRIM(INDEX('Detalle individual'!$B:$B,$K286)))</f>
        <v>ANTONIA SARAI BELTRAN CARBALLO</v>
      </c>
      <c r="E286" s="64" t="str">
        <f>IF($K286="","",TRIM(INDEX('Detalle individual'!$E:$E,$K286)))</f>
        <v>ASISTENTE ADMINISTRATIVO DE GERENCIA GENERAL</v>
      </c>
      <c r="F286" s="64" t="str">
        <f>IF($K286="","",TRIM(INDEX('Detalle individual'!$C:$C,$K286)))</f>
        <v>GERENCIA GENERAL</v>
      </c>
      <c r="G286" s="64" t="str">
        <f>IF($K286="","",INDEX('Detalle individual'!$D:$D,$K286))</f>
        <v>Gerencia General</v>
      </c>
      <c r="H286" s="63" t="str">
        <f>IF($K286="","",INDEX('Detalle individual'!$F:$F,$K286))</f>
        <v>Completado</v>
      </c>
      <c r="I286" s="77">
        <f>IF($K286="","",IF(INDEX('Detalle individual'!$F:$F,$K286)="Completado",INDEX('Detalle individual'!$H:$H,$K286),""))</f>
        <v>46305.40980324074</v>
      </c>
      <c r="J286" s="78">
        <f>IF($K286="","",IF(INDEX('Detalle individual'!$F:$F,$K286)="Completado",INDEX('Detalle individual'!$J:$J,$K286),""))</f>
        <v>100</v>
      </c>
      <c r="K286">
        <f>IFERROR(MOD(SMALL('Cálculos'!$Z$5:$Z$297,278),1000),"")</f>
        <v>13</v>
      </c>
    </row>
    <row r="287">
      <c r="B287" s="63">
        <f>IF($K287="","",279)</f>
        <v>279</v>
      </c>
      <c r="C287" s="63" t="str">
        <f>IF($K287="","",INDEX('Detalle individual'!$A:$A,$K287))</f>
        <v>570</v>
      </c>
      <c r="D287" s="64" t="str">
        <f>IF($K287="","",TRIM(INDEX('Detalle individual'!$B:$B,$K287)))</f>
        <v>ANDREA VICTORIA MAYORGA RODRIGUEZ</v>
      </c>
      <c r="E287" s="64" t="str">
        <f>IF($K287="","",TRIM(INDEX('Detalle individual'!$E:$E,$K287)))</f>
        <v>GERENTE LEGAL Y DE CUMPLIMIENTO NORMATIVO</v>
      </c>
      <c r="F287" s="64" t="str">
        <f>IF($K287="","",TRIM(INDEX('Detalle individual'!$C:$C,$K287)))</f>
        <v>GERENCIA LEGAL Y DE CUMPLIMIENTO NORMATIVO</v>
      </c>
      <c r="G287" s="64" t="str">
        <f>IF($K287="","",INDEX('Detalle individual'!$D:$D,$K287))</f>
        <v>Gerencia Legal y Cumplimiento Normativo</v>
      </c>
      <c r="H287" s="63" t="str">
        <f>IF($K287="","",INDEX('Detalle individual'!$F:$F,$K287))</f>
        <v>Completado</v>
      </c>
      <c r="I287" s="77">
        <f>IF($K287="","",IF(INDEX('Detalle individual'!$F:$F,$K287)="Completado",INDEX('Detalle individual'!$H:$H,$K287),""))</f>
        <v>46304.69452546296</v>
      </c>
      <c r="J287" s="78">
        <f>IF($K287="","",IF(INDEX('Detalle individual'!$F:$F,$K287)="Completado",INDEX('Detalle individual'!$J:$J,$K287),""))</f>
        <v>100</v>
      </c>
      <c r="K287">
        <f>IFERROR(MOD(SMALL('Cálculos'!$Z$5:$Z$297,279),1000),"")</f>
        <v>12</v>
      </c>
    </row>
    <row r="288">
      <c r="B288" s="63">
        <f>IF($K288="","",280)</f>
        <v>280</v>
      </c>
      <c r="C288" s="63" t="str">
        <f>IF($K288="","",INDEX('Detalle individual'!$A:$A,$K288))</f>
        <v>862</v>
      </c>
      <c r="D288" s="64" t="str">
        <f>IF($K288="","",TRIM(INDEX('Detalle individual'!$B:$B,$K288)))</f>
        <v>GEORGI ROBERTO CASTILLO CHACON</v>
      </c>
      <c r="E288" s="64" t="str">
        <f>IF($K288="","",TRIM(INDEX('Detalle individual'!$E:$E,$K288)))</f>
        <v>GERENTE DE OFICIALIA DE CUMPLIMIENTO</v>
      </c>
      <c r="F288" s="64" t="str">
        <f>IF($K288="","",TRIM(INDEX('Detalle individual'!$C:$C,$K288)))</f>
        <v>OFICIALIA DE CUMPLIMIENTO</v>
      </c>
      <c r="G288" s="64" t="str">
        <f>IF($K288="","",INDEX('Detalle individual'!$D:$D,$K288))</f>
        <v>Gerencia de Oficialía de Cumplimiento</v>
      </c>
      <c r="H288" s="63" t="str">
        <f>IF($K288="","",INDEX('Detalle individual'!$F:$F,$K288))</f>
        <v>Completado</v>
      </c>
      <c r="I288" s="77">
        <f>IF($K288="","",IF(INDEX('Detalle individual'!$F:$F,$K288)="Completado",INDEX('Detalle individual'!$H:$H,$K288),""))</f>
        <v>46296.47738425926</v>
      </c>
      <c r="J288" s="78">
        <f>IF($K288="","",IF(INDEX('Detalle individual'!$F:$F,$K288)="Completado",INDEX('Detalle individual'!$J:$J,$K288),""))</f>
        <v>100</v>
      </c>
      <c r="K288">
        <f>IFERROR(MOD(SMALL('Cálculos'!$Z$5:$Z$297,280),1000),"")</f>
        <v>10</v>
      </c>
    </row>
    <row r="289">
      <c r="B289" s="63">
        <f>IF($K289="","",281)</f>
        <v>281</v>
      </c>
      <c r="C289" s="63" t="str">
        <f>IF($K289="","",INDEX('Detalle individual'!$A:$A,$K289))</f>
        <v>443</v>
      </c>
      <c r="D289" s="64" t="str">
        <f>IF($K289="","",TRIM(INDEX('Detalle individual'!$B:$B,$K289)))</f>
        <v>JOSSELINE LIZBETH VENTURA RIVAS</v>
      </c>
      <c r="E289" s="64" t="str">
        <f>IF($K289="","",TRIM(INDEX('Detalle individual'!$E:$E,$K289)))</f>
        <v>ANALISTA DE CUMPLIMIENTO</v>
      </c>
      <c r="F289" s="64" t="str">
        <f>IF($K289="","",TRIM(INDEX('Detalle individual'!$C:$C,$K289)))</f>
        <v>OFICIALIA DE CUMPLIMIENTO</v>
      </c>
      <c r="G289" s="64" t="str">
        <f>IF($K289="","",INDEX('Detalle individual'!$D:$D,$K289))</f>
        <v>Gerencia de Oficialía de Cumplimiento</v>
      </c>
      <c r="H289" s="63" t="str">
        <f>IF($K289="","",INDEX('Detalle individual'!$F:$F,$K289))</f>
        <v>Completado</v>
      </c>
      <c r="I289" s="77">
        <f>IF($K289="","",IF(INDEX('Detalle individual'!$F:$F,$K289)="Completado",INDEX('Detalle individual'!$H:$H,$K289),""))</f>
        <v>46296.491481481484</v>
      </c>
      <c r="J289" s="78">
        <f>IF($K289="","",IF(INDEX('Detalle individual'!$F:$F,$K289)="Completado",INDEX('Detalle individual'!$J:$J,$K289),""))</f>
        <v>100</v>
      </c>
      <c r="K289">
        <f>IFERROR(MOD(SMALL('Cálculos'!$Z$5:$Z$297,281),1000),"")</f>
        <v>130</v>
      </c>
    </row>
    <row r="290">
      <c r="B290" s="63">
        <f>IF($K290="","",282)</f>
        <v>282</v>
      </c>
      <c r="C290" s="63" t="str">
        <f>IF($K290="","",INDEX('Detalle individual'!$A:$A,$K290))</f>
        <v>860</v>
      </c>
      <c r="D290" s="64" t="str">
        <f>IF($K290="","",TRIM(INDEX('Detalle individual'!$B:$B,$K290)))</f>
        <v>JOHANNA LISSETH ROMERO RIVAS</v>
      </c>
      <c r="E290" s="64" t="str">
        <f>IF($K290="","",TRIM(INDEX('Detalle individual'!$E:$E,$K290)))</f>
        <v>ANALISTA DE OFICIALIA DE CUMPLIMIENTO Y OFICIAL DE CUMPLIMIE</v>
      </c>
      <c r="F290" s="64" t="str">
        <f>IF($K290="","",TRIM(INDEX('Detalle individual'!$C:$C,$K290)))</f>
        <v>OFICIALIA DE CUMPLIMIENTO</v>
      </c>
      <c r="G290" s="64" t="str">
        <f>IF($K290="","",INDEX('Detalle individual'!$D:$D,$K290))</f>
        <v>Gerencia de Oficialía de Cumplimiento</v>
      </c>
      <c r="H290" s="63" t="str">
        <f>IF($K290="","",INDEX('Detalle individual'!$F:$F,$K290))</f>
        <v>Completado</v>
      </c>
      <c r="I290" s="77">
        <f>IF($K290="","",IF(INDEX('Detalle individual'!$F:$F,$K290)="Completado",INDEX('Detalle individual'!$H:$H,$K290),""))</f>
        <v>46296.48637731482</v>
      </c>
      <c r="J290" s="78">
        <f>IF($K290="","",IF(INDEX('Detalle individual'!$F:$F,$K290)="Completado",INDEX('Detalle individual'!$J:$J,$K290),""))</f>
        <v>100</v>
      </c>
      <c r="K290">
        <f>IFERROR(MOD(SMALL('Cálculos'!$Z$5:$Z$297,282),1000),"")</f>
        <v>131</v>
      </c>
    </row>
    <row r="291">
      <c r="B291" s="63">
        <f>IF($K291="","",283)</f>
        <v>283</v>
      </c>
      <c r="C291" s="63" t="str">
        <f>IF($K291="","",INDEX('Detalle individual'!$A:$A,$K291))</f>
        <v>914</v>
      </c>
      <c r="D291" s="64" t="str">
        <f>IF($K291="","",TRIM(INDEX('Detalle individual'!$B:$B,$K291)))</f>
        <v>FIDEL ISAIAS CASTELLON CALVIO</v>
      </c>
      <c r="E291" s="64" t="str">
        <f>IF($K291="","",TRIM(INDEX('Detalle individual'!$E:$E,$K291)))</f>
        <v>ADMINISTRADOR DE MONITOR PLUS Y ANALISTA DE CUMPLIMIENTO</v>
      </c>
      <c r="F291" s="64" t="str">
        <f>IF($K291="","",TRIM(INDEX('Detalle individual'!$C:$C,$K291)))</f>
        <v>OFICIALIA DE CUMPLIMIENTO</v>
      </c>
      <c r="G291" s="64" t="str">
        <f>IF($K291="","",INDEX('Detalle individual'!$D:$D,$K291))</f>
        <v>Gerencia de Oficialía de Cumplimiento</v>
      </c>
      <c r="H291" s="63" t="str">
        <f>IF($K291="","",INDEX('Detalle individual'!$F:$F,$K291))</f>
        <v>Completado</v>
      </c>
      <c r="I291" s="77">
        <f>IF($K291="","",IF(INDEX('Detalle individual'!$F:$F,$K291)="Completado",INDEX('Detalle individual'!$H:$H,$K291),""))</f>
        <v>46296.47803240741</v>
      </c>
      <c r="J291" s="78">
        <f>IF($K291="","",IF(INDEX('Detalle individual'!$F:$F,$K291)="Completado",INDEX('Detalle individual'!$J:$J,$K291),""))</f>
        <v>100</v>
      </c>
      <c r="K291">
        <f>IFERROR(MOD(SMALL('Cálculos'!$Z$5:$Z$297,283),1000),"")</f>
        <v>132</v>
      </c>
    </row>
    <row r="292">
      <c r="B292" s="63">
        <f>IF($K292="","",284)</f>
        <v>284</v>
      </c>
      <c r="C292" s="63" t="str">
        <f>IF($K292="","",INDEX('Detalle individual'!$A:$A,$K292))</f>
        <v>983</v>
      </c>
      <c r="D292" s="64" t="str">
        <f>IF($K292="","",TRIM(INDEX('Detalle individual'!$B:$B,$K292)))</f>
        <v>LILIAN LISET MAGAÑA SANTOS</v>
      </c>
      <c r="E292" s="64" t="str">
        <f>IF($K292="","",TRIM(INDEX('Detalle individual'!$E:$E,$K292)))</f>
        <v>PASANTE</v>
      </c>
      <c r="F292" s="64" t="str">
        <f>IF($K292="","",TRIM(INDEX('Detalle individual'!$C:$C,$K292)))</f>
        <v>OFICIALIA DE CUMPLIMIENTO</v>
      </c>
      <c r="G292" s="64" t="str">
        <f>IF($K292="","",INDEX('Detalle individual'!$D:$D,$K292))</f>
        <v>Gerencia de Oficialía de Cumplimiento</v>
      </c>
      <c r="H292" s="63" t="str">
        <f>IF($K292="","",INDEX('Detalle individual'!$F:$F,$K292))</f>
        <v>Completado</v>
      </c>
      <c r="I292" s="77">
        <f>IF($K292="","",IF(INDEX('Detalle individual'!$F:$F,$K292)="Completado",INDEX('Detalle individual'!$H:$H,$K292),""))</f>
        <v>46296.49747685185</v>
      </c>
      <c r="J292" s="78">
        <f>IF($K292="","",IF(INDEX('Detalle individual'!$F:$F,$K292)="Completado",INDEX('Detalle individual'!$J:$J,$K292),""))</f>
        <v>100</v>
      </c>
      <c r="K292">
        <f>IFERROR(MOD(SMALL('Cálculos'!$Z$5:$Z$297,284),1000),"")</f>
        <v>133</v>
      </c>
    </row>
    <row r="293">
      <c r="B293" s="63">
        <f>IF($K293="","",285)</f>
        <v>285</v>
      </c>
      <c r="C293" s="63" t="str">
        <f>IF($K293="","",INDEX('Detalle individual'!$A:$A,$K293))</f>
        <v>984</v>
      </c>
      <c r="D293" s="64" t="str">
        <f>IF($K293="","",TRIM(INDEX('Detalle individual'!$B:$B,$K293)))</f>
        <v>NICO EDUARDO CIUDAD REAL MOOIJ</v>
      </c>
      <c r="E293" s="64" t="str">
        <f>IF($K293="","",TRIM(INDEX('Detalle individual'!$E:$E,$K293)))</f>
        <v>PASANTE</v>
      </c>
      <c r="F293" s="64" t="str">
        <f>IF($K293="","",TRIM(INDEX('Detalle individual'!$C:$C,$K293)))</f>
        <v>OFICIALIA DE CUMPLIMIENTO</v>
      </c>
      <c r="G293" s="64" t="str">
        <f>IF($K293="","",INDEX('Detalle individual'!$D:$D,$K293))</f>
        <v>Gerencia de Oficialía de Cumplimiento</v>
      </c>
      <c r="H293" s="63" t="str">
        <f>IF($K293="","",INDEX('Detalle individual'!$F:$F,$K293))</f>
        <v>Completado</v>
      </c>
      <c r="I293" s="77">
        <f>IF($K293="","",IF(INDEX('Detalle individual'!$F:$F,$K293)="Completado",INDEX('Detalle individual'!$H:$H,$K293),""))</f>
        <v>46296.48002314815</v>
      </c>
      <c r="J293" s="78">
        <f>IF($K293="","",IF(INDEX('Detalle individual'!$F:$F,$K293)="Completado",INDEX('Detalle individual'!$J:$J,$K293),""))</f>
        <v>100</v>
      </c>
      <c r="K293">
        <f>IFERROR(MOD(SMALL('Cálculos'!$Z$5:$Z$297,285),1000),"")</f>
        <v>134</v>
      </c>
    </row>
    <row r="294">
      <c r="B294" s="63">
        <f>IF($K294="","",286)</f>
        <v>286</v>
      </c>
      <c r="C294" s="63" t="str">
        <f>IF($K294="","",INDEX('Detalle individual'!$A:$A,$K294))</f>
        <v>985</v>
      </c>
      <c r="D294" s="64" t="str">
        <f>IF($K294="","",TRIM(INDEX('Detalle individual'!$B:$B,$K294)))</f>
        <v>JORGE MATEO GUTIERREZ FLORES</v>
      </c>
      <c r="E294" s="64" t="str">
        <f>IF($K294="","",TRIM(INDEX('Detalle individual'!$E:$E,$K294)))</f>
        <v>PASANTE</v>
      </c>
      <c r="F294" s="64" t="str">
        <f>IF($K294="","",TRIM(INDEX('Detalle individual'!$C:$C,$K294)))</f>
        <v>OFICIALIA DE CUMPLIMIENTO</v>
      </c>
      <c r="G294" s="64" t="str">
        <f>IF($K294="","",INDEX('Detalle individual'!$D:$D,$K294))</f>
        <v>Gerencia de Oficialía de Cumplimiento</v>
      </c>
      <c r="H294" s="63" t="str">
        <f>IF($K294="","",INDEX('Detalle individual'!$F:$F,$K294))</f>
        <v>Completado</v>
      </c>
      <c r="I294" s="77">
        <f>IF($K294="","",IF(INDEX('Detalle individual'!$F:$F,$K294)="Completado",INDEX('Detalle individual'!$H:$H,$K294),""))</f>
        <v>46296.4949537037</v>
      </c>
      <c r="J294" s="78">
        <f>IF($K294="","",IF(INDEX('Detalle individual'!$F:$F,$K294)="Completado",INDEX('Detalle individual'!$J:$J,$K294),""))</f>
        <v>100</v>
      </c>
      <c r="K294">
        <f>IFERROR(MOD(SMALL('Cálculos'!$Z$5:$Z$297,286),1000),"")</f>
        <v>135</v>
      </c>
    </row>
    <row r="295">
      <c r="B295" s="63">
        <f>IF($K295="","",287)</f>
        <v>287</v>
      </c>
      <c r="C295" s="63" t="str">
        <f>IF($K295="","",INDEX('Detalle individual'!$A:$A,$K295))</f>
        <v>710</v>
      </c>
      <c r="D295" s="64" t="str">
        <f>IF($K295="","",TRIM(INDEX('Detalle individual'!$B:$B,$K295)))</f>
        <v>MARIA AZUCENA BONILLA RIVERA</v>
      </c>
      <c r="E295" s="64" t="str">
        <f>IF($K295="","",TRIM(INDEX('Detalle individual'!$E:$E,$K295)))</f>
        <v>OFICIAL DE SEGURIDAD DE LA INFORMACION</v>
      </c>
      <c r="F295" s="64" t="str">
        <f>IF($K295="","",TRIM(INDEX('Detalle individual'!$C:$C,$K295)))</f>
        <v>OFICIALIA DE SEGURIDAD DE LA INFORMACION</v>
      </c>
      <c r="G295" s="64" t="str">
        <f>IF($K295="","",INDEX('Detalle individual'!$D:$D,$K295))</f>
        <v>Gerencia General</v>
      </c>
      <c r="H295" s="63" t="str">
        <f>IF($K295="","",INDEX('Detalle individual'!$F:$F,$K295))</f>
        <v>Completado</v>
      </c>
      <c r="I295" s="77">
        <f>IF($K295="","",IF(INDEX('Detalle individual'!$F:$F,$K295)="Completado",INDEX('Detalle individual'!$H:$H,$K295),""))</f>
        <v>46296.448969907404</v>
      </c>
      <c r="J295" s="78">
        <f>IF($K295="","",IF(INDEX('Detalle individual'!$F:$F,$K295)="Completado",INDEX('Detalle individual'!$J:$J,$K295),""))</f>
        <v>100</v>
      </c>
      <c r="K295">
        <f>IFERROR(MOD(SMALL('Cálculos'!$Z$5:$Z$297,287),1000),"")</f>
        <v>21</v>
      </c>
    </row>
    <row r="296">
      <c r="B296" s="63">
        <f>IF($K296="","",288)</f>
        <v>288</v>
      </c>
      <c r="C296" s="63" t="str">
        <f>IF($K296="","",INDEX('Detalle individual'!$A:$A,$K296))</f>
        <v>907</v>
      </c>
      <c r="D296" s="64" t="str">
        <f>IF($K296="","",TRIM(INDEX('Detalle individual'!$B:$B,$K296)))</f>
        <v>JENNIFER GEORGINA ALVARADO HERNANDEZ</v>
      </c>
      <c r="E296" s="64" t="str">
        <f>IF($K296="","",TRIM(INDEX('Detalle individual'!$E:$E,$K296)))</f>
        <v>ANALISTA DE MONITOREO DEL FRAUDE DIGITAL</v>
      </c>
      <c r="F296" s="64" t="str">
        <f>IF($K296="","",TRIM(INDEX('Detalle individual'!$C:$C,$K296)))</f>
        <v>OFICIALIA DE SEGURIDAD DE LA INFORMACION</v>
      </c>
      <c r="G296" s="64" t="str">
        <f>IF($K296="","",INDEX('Detalle individual'!$D:$D,$K296))</f>
        <v>Gerencia General</v>
      </c>
      <c r="H296" s="63" t="str">
        <f>IF($K296="","",INDEX('Detalle individual'!$F:$F,$K296))</f>
        <v>Completado</v>
      </c>
      <c r="I296" s="77">
        <f>IF($K296="","",IF(INDEX('Detalle individual'!$F:$F,$K296)="Completado",INDEX('Detalle individual'!$H:$H,$K296),""))</f>
        <v>46296.44850694444</v>
      </c>
      <c r="J296" s="78">
        <f>IF($K296="","",IF(INDEX('Detalle individual'!$F:$F,$K296)="Completado",INDEX('Detalle individual'!$J:$J,$K296),""))</f>
        <v>85</v>
      </c>
      <c r="K296">
        <f>IFERROR(MOD(SMALL('Cálculos'!$Z$5:$Z$297,288),1000),"")</f>
        <v>22</v>
      </c>
    </row>
    <row r="297">
      <c r="B297" s="63">
        <f>IF($K297="","",289)</f>
        <v>289</v>
      </c>
      <c r="C297" s="63" t="str">
        <f>IF($K297="","",INDEX('Detalle individual'!$A:$A,$K297))</f>
        <v>918</v>
      </c>
      <c r="D297" s="64" t="str">
        <f>IF($K297="","",TRIM(INDEX('Detalle individual'!$B:$B,$K297)))</f>
        <v>MARVIN ALONSO FRANCO RAMIREZ</v>
      </c>
      <c r="E297" s="64" t="str">
        <f>IF($K297="","",TRIM(INDEX('Detalle individual'!$E:$E,$K297)))</f>
        <v>ANALISTA DE SEGURIDAD DE LA INFORMACION</v>
      </c>
      <c r="F297" s="64" t="str">
        <f>IF($K297="","",TRIM(INDEX('Detalle individual'!$C:$C,$K297)))</f>
        <v>OFICIALIA DE SEGURIDAD DE LA INFORMACION</v>
      </c>
      <c r="G297" s="64" t="str">
        <f>IF($K297="","",INDEX('Detalle individual'!$D:$D,$K297))</f>
        <v>Gerencia General</v>
      </c>
      <c r="H297" s="63" t="str">
        <f>IF($K297="","",INDEX('Detalle individual'!$F:$F,$K297))</f>
        <v>Completado</v>
      </c>
      <c r="I297" s="77">
        <f>IF($K297="","",IF(INDEX('Detalle individual'!$F:$F,$K297)="Completado",INDEX('Detalle individual'!$H:$H,$K297),""))</f>
        <v>46296.44851851852</v>
      </c>
      <c r="J297" s="78">
        <f>IF($K297="","",IF(INDEX('Detalle individual'!$F:$F,$K297)="Completado",INDEX('Detalle individual'!$J:$J,$K297),""))</f>
        <v>100</v>
      </c>
      <c r="K297">
        <f>IFERROR(MOD(SMALL('Cálculos'!$Z$5:$Z$297,289),1000),"")</f>
        <v>23</v>
      </c>
    </row>
    <row r="298">
      <c r="B298" s="63">
        <f>IF($K298="","",290)</f>
        <v>290</v>
      </c>
      <c r="C298" s="63" t="str">
        <f>IF($K298="","",INDEX('Detalle individual'!$A:$A,$K298))</f>
        <v>950</v>
      </c>
      <c r="D298" s="64" t="str">
        <f>IF($K298="","",TRIM(INDEX('Detalle individual'!$B:$B,$K298)))</f>
        <v>VALERIA MICHELLE QUINTANILLA FLORES</v>
      </c>
      <c r="E298" s="64" t="str">
        <f>IF($K298="","",TRIM(INDEX('Detalle individual'!$E:$E,$K298)))</f>
        <v>ANALISTA TECNICO DE PROTECCION DE DATOS</v>
      </c>
      <c r="F298" s="64" t="str">
        <f>IF($K298="","",TRIM(INDEX('Detalle individual'!$C:$C,$K298)))</f>
        <v>OFICIALIA DE SEGURIDAD DE LA INFORMACION</v>
      </c>
      <c r="G298" s="64" t="str">
        <f>IF($K298="","",INDEX('Detalle individual'!$D:$D,$K298))</f>
        <v>Gerencia General</v>
      </c>
      <c r="H298" s="63" t="str">
        <f>IF($K298="","",INDEX('Detalle individual'!$F:$F,$K298))</f>
        <v>Completado</v>
      </c>
      <c r="I298" s="77">
        <f>IF($K298="","",IF(INDEX('Detalle individual'!$F:$F,$K298)="Completado",INDEX('Detalle individual'!$H:$H,$K298),""))</f>
        <v>46296.44909722222</v>
      </c>
      <c r="J298" s="78">
        <f>IF($K298="","",IF(INDEX('Detalle individual'!$F:$F,$K298)="Completado",INDEX('Detalle individual'!$J:$J,$K298),""))</f>
        <v>100</v>
      </c>
      <c r="K298">
        <f>IFERROR(MOD(SMALL('Cálculos'!$Z$5:$Z$297,290),1000),"")</f>
        <v>24</v>
      </c>
    </row>
    <row r="299">
      <c r="B299" s="63">
        <f>IF($K299="","",291)</f>
        <v>291</v>
      </c>
      <c r="C299" s="63" t="str">
        <f>IF($K299="","",INDEX('Detalle individual'!$A:$A,$K299))</f>
        <v>215</v>
      </c>
      <c r="D299" s="64" t="str">
        <f>IF($K299="","",TRIM(INDEX('Detalle individual'!$B:$B,$K299)))</f>
        <v>LUIS MARCELO CRUZ VIGIL</v>
      </c>
      <c r="E299" s="64" t="str">
        <f>IF($K299="","",TRIM(INDEX('Detalle individual'!$E:$E,$K299)))</f>
        <v>SUB GERENTE DE CANALES</v>
      </c>
      <c r="F299" s="64" t="str">
        <f>IF($K299="","",TRIM(INDEX('Detalle individual'!$C:$C,$K299)))</f>
        <v>SUB GERENCIA DE CANALES</v>
      </c>
      <c r="G299" s="64" t="str">
        <f>IF($K299="","",INDEX('Detalle individual'!$D:$D,$K299))</f>
        <v>Gerencia de Negocios</v>
      </c>
      <c r="H299" s="63" t="str">
        <f>IF($K299="","",INDEX('Detalle individual'!$F:$F,$K299))</f>
        <v>Completado</v>
      </c>
      <c r="I299" s="77">
        <f>IF($K299="","",IF(INDEX('Detalle individual'!$F:$F,$K299)="Completado",INDEX('Detalle individual'!$H:$H,$K299),""))</f>
        <v>46300.41096064815</v>
      </c>
      <c r="J299" s="78">
        <f>IF($K299="","",IF(INDEX('Detalle individual'!$F:$F,$K299)="Completado",INDEX('Detalle individual'!$J:$J,$K299),""))</f>
        <v>100</v>
      </c>
      <c r="K299">
        <f>IFERROR(MOD(SMALL('Cálculos'!$Z$5:$Z$297,291),1000),"")</f>
        <v>184</v>
      </c>
    </row>
    <row r="300">
      <c r="B300" s="63">
        <f>IF($K300="","",292)</f>
        <v>292</v>
      </c>
      <c r="C300" s="63" t="str">
        <f>IF($K300="","",INDEX('Detalle individual'!$A:$A,$K300))</f>
        <v>585</v>
      </c>
      <c r="D300" s="64" t="str">
        <f>IF($K300="","",TRIM(INDEX('Detalle individual'!$B:$B,$K300)))</f>
        <v>NANCY ROCIO MENJIVAR RIVAS</v>
      </c>
      <c r="E300" s="64" t="str">
        <f>IF($K300="","",TRIM(INDEX('Detalle individual'!$E:$E,$K300)))</f>
        <v>EJECUTIVO MOVIL DE SEGUROS</v>
      </c>
      <c r="F300" s="64" t="str">
        <f>IF($K300="","",TRIM(INDEX('Detalle individual'!$C:$C,$K300)))</f>
        <v>SUB GERENCIA DE CANALES</v>
      </c>
      <c r="G300" s="64" t="str">
        <f>IF($K300="","",INDEX('Detalle individual'!$D:$D,$K300))</f>
        <v>Gerencia de Negocios</v>
      </c>
      <c r="H300" s="63" t="str">
        <f>IF($K300="","",INDEX('Detalle individual'!$F:$F,$K300))</f>
        <v>Completado</v>
      </c>
      <c r="I300" s="77">
        <f>IF($K300="","",IF(INDEX('Detalle individual'!$F:$F,$K300)="Completado",INDEX('Detalle individual'!$H:$H,$K300),""))</f>
        <v>46302.479097222225</v>
      </c>
      <c r="J300" s="78">
        <f>IF($K300="","",IF(INDEX('Detalle individual'!$F:$F,$K300)="Completado",INDEX('Detalle individual'!$J:$J,$K300),""))</f>
        <v>100</v>
      </c>
      <c r="K300">
        <f>IFERROR(MOD(SMALL('Cálculos'!$Z$5:$Z$297,292),1000),"")</f>
        <v>186</v>
      </c>
    </row>
    <row r="301">
      <c r="B301" s="63">
        <f>IF($K301="","",293)</f>
        <v>293</v>
      </c>
      <c r="C301" s="63" t="str">
        <f>IF($K301="","",INDEX('Detalle individual'!$A:$A,$K301))</f>
        <v>968</v>
      </c>
      <c r="D301" s="64" t="str">
        <f>IF($K301="","",TRIM(INDEX('Detalle individual'!$B:$B,$K301)))</f>
        <v>SAMUEL ALBERTO SALGUERO RODRIGUEZ</v>
      </c>
      <c r="E301" s="64" t="str">
        <f>IF($K301="","",TRIM(INDEX('Detalle individual'!$E:$E,$K301)))</f>
        <v>CAJERO MOVIL</v>
      </c>
      <c r="F301" s="64" t="str">
        <f>IF($K301="","",TRIM(INDEX('Detalle individual'!$C:$C,$K301)))</f>
        <v>SUB GERENCIA DE CANALES</v>
      </c>
      <c r="G301" s="64" t="str">
        <f>IF($K301="","",INDEX('Detalle individual'!$D:$D,$K301))</f>
        <v>Gerencia de Negocios</v>
      </c>
      <c r="H301" s="63" t="str">
        <f>IF($K301="","",INDEX('Detalle individual'!$F:$F,$K301))</f>
        <v>Completado</v>
      </c>
      <c r="I301" s="77">
        <f>IF($K301="","",IF(INDEX('Detalle individual'!$F:$F,$K301)="Completado",INDEX('Detalle individual'!$H:$H,$K301),""))</f>
        <v>46309.38234953704</v>
      </c>
      <c r="J301" s="78">
        <f>IF($K301="","",IF(INDEX('Detalle individual'!$F:$F,$K301)="Completado",INDEX('Detalle individual'!$J:$J,$K301),""))</f>
        <v>90</v>
      </c>
      <c r="K301">
        <f>IFERROR(MOD(SMALL('Cálculos'!$Z$5:$Z$297,293),1000),"")</f>
        <v>190</v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H9:H301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1" stopIfTrue="1">
      <formula>$H9="Pendiente"</formula>
    </cfRule>
  </conditionalFormatting>
  <conditionalFormatting sqref="B9:J301">
    <cfRule type="expression" priority="4" dxfId="2">
      <formula>AND($K9&lt;&gt;"",MOD(ROW(),2)=0)</formula>
    </cfRule>
    <cfRule type="expression" priority="5" dxfId="3">
      <formula>$K9&lt;&gt;""</formula>
    </cfRule>
  </conditionalFormatting>
  <dataValidations count="3">
    <dataValidation sqref="D4" showDropDown="0" showInputMessage="0" showErrorMessage="0" allowBlank="0" errorTitle="Valor no válido" error="Seleccione un valor de la lista." promptTitle="Gerencia" prompt="Haga clic en la flecha para elegir." type="list">
      <formula1>'Cálculos'!$V$5:$V$15</formula1>
    </dataValidation>
    <dataValidation sqref="D5" showDropDown="0" showInputMessage="0" showErrorMessage="0" allowBlank="0" errorTitle="Valor no válido" error="Seleccione un valor de la lista." promptTitle="Departamento" prompt="Haga clic en la flecha para elegir." type="list">
      <formula1>'Cálculos'!$W$5:$W$49</formula1>
    </dataValidation>
    <dataValidation sqref="D6" showDropDown="0" showInputMessage="0" showErrorMessage="0" allowBlank="0" errorTitle="Valor no válido" error="Seleccione un valor de la lista." promptTitle="Estado" prompt="Haga clic en la flecha para elegir." type="list">
      <formula1>'Cálculos'!$X$5:$X$7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23" customWidth="1" min="4" max="4"/>
    <col width="20" customWidth="1" min="5" max="5"/>
  </cols>
  <sheetData>
    <row r="1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>
      <c r="A5" s="18" t="inlineStr">
        <is>
          <t>1° Lugar</t>
        </is>
      </c>
      <c r="B5" s="5" t="inlineStr">
        <is>
          <t>DEPARTAMENTO DE PROCESOS</t>
        </is>
      </c>
      <c r="C5" s="4" t="n">
        <v>3</v>
      </c>
      <c r="D5" s="4" t="inlineStr">
        <is>
          <t>2026-10-01 10:35:45</t>
        </is>
      </c>
      <c r="E5" s="7" t="n">
        <v>100</v>
      </c>
    </row>
    <row r="6">
      <c r="A6" s="18" t="inlineStr">
        <is>
          <t>2° Lugar</t>
        </is>
      </c>
      <c r="B6" s="5" t="inlineStr">
        <is>
          <t>OFICIALIA DE SEGURIDAD DE LA INFORMACION</t>
        </is>
      </c>
      <c r="C6" s="4" t="n">
        <v>4</v>
      </c>
      <c r="D6" s="4" t="inlineStr">
        <is>
          <t>2026-10-01 10:46:42</t>
        </is>
      </c>
      <c r="E6" s="7" t="n">
        <v>96.25</v>
      </c>
    </row>
    <row r="7">
      <c r="A7" s="18" t="inlineStr">
        <is>
          <t>3° Lugar</t>
        </is>
      </c>
      <c r="B7" s="5" t="inlineStr">
        <is>
          <t>DEPARTAMENTO DE SEGURIDAD</t>
        </is>
      </c>
      <c r="C7" s="4" t="n">
        <v>2</v>
      </c>
      <c r="D7" s="4" t="inlineStr">
        <is>
          <t>2026-10-01 11:03:27</t>
        </is>
      </c>
      <c r="E7" s="7" t="n">
        <v>95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INICIO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Henry Oswaldo Pineda García</t>
        </is>
      </c>
      <c r="C5" s="5" t="inlineStr">
        <is>
          <t>Seguros</t>
        </is>
      </c>
      <c r="D5" s="4" t="inlineStr">
        <is>
          <t>2026-10-01 10:14:02</t>
        </is>
      </c>
      <c r="E5" s="4" t="inlineStr">
        <is>
          <t>2026-10-01 10:21:54</t>
        </is>
      </c>
      <c r="F5" s="7" t="n">
        <v>7.866666666666666</v>
      </c>
      <c r="G5" s="4" t="n">
        <v>100</v>
      </c>
    </row>
    <row r="6">
      <c r="A6" s="4" t="n">
        <v>2</v>
      </c>
      <c r="B6" s="5" t="inlineStr">
        <is>
          <t>José Augusto De la O Gallegos</t>
        </is>
      </c>
      <c r="C6" s="5" t="inlineStr">
        <is>
          <t>Gerencia de Finanzas y Planificación</t>
        </is>
      </c>
      <c r="D6" s="4" t="inlineStr">
        <is>
          <t>2026-10-01 10:14:58</t>
        </is>
      </c>
      <c r="E6" s="4" t="inlineStr">
        <is>
          <t>2026-10-01 10:18:34</t>
        </is>
      </c>
      <c r="F6" s="7" t="n">
        <v>3.6</v>
      </c>
      <c r="G6" s="4" t="n">
        <v>100</v>
      </c>
    </row>
    <row r="7">
      <c r="A7" s="4" t="n">
        <v>3</v>
      </c>
      <c r="B7" s="5" t="inlineStr">
        <is>
          <t>THELMA ESPERANZA DIGUEROA DE SORTO</t>
        </is>
      </c>
      <c r="C7" s="5" t="inlineStr">
        <is>
          <t>AGENCIA SAN MIGUEL</t>
        </is>
      </c>
      <c r="D7" s="4" t="inlineStr">
        <is>
          <t>2026-10-01 10:26:17</t>
        </is>
      </c>
      <c r="E7" s="4" t="inlineStr">
        <is>
          <t>2026-10-01 10:34:32</t>
        </is>
      </c>
      <c r="F7" s="7" t="n">
        <v>8.25</v>
      </c>
      <c r="G7" s="4" t="n">
        <v>100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FINALIZACIÓN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José Augusto De la O Gallegos</t>
        </is>
      </c>
      <c r="C5" s="5" t="inlineStr">
        <is>
          <t>Gerencia de Finanzas y Planificación</t>
        </is>
      </c>
      <c r="D5" s="4" t="inlineStr">
        <is>
          <t>2026-10-01 10:14:58</t>
        </is>
      </c>
      <c r="E5" s="4" t="inlineStr">
        <is>
          <t>2026-10-01 10:18:34</t>
        </is>
      </c>
      <c r="F5" s="7" t="n">
        <v>3.6</v>
      </c>
      <c r="G5" s="4" t="n">
        <v>100</v>
      </c>
    </row>
    <row r="6">
      <c r="A6" s="4" t="n">
        <v>2</v>
      </c>
      <c r="B6" s="5" t="inlineStr">
        <is>
          <t>Henry Oswaldo Pineda García</t>
        </is>
      </c>
      <c r="C6" s="5" t="inlineStr">
        <is>
          <t>Seguros</t>
        </is>
      </c>
      <c r="D6" s="4" t="inlineStr">
        <is>
          <t>2026-10-01 10:14:02</t>
        </is>
      </c>
      <c r="E6" s="4" t="inlineStr">
        <is>
          <t>2026-10-01 10:21:54</t>
        </is>
      </c>
      <c r="F6" s="7" t="n">
        <v>7.866666666666666</v>
      </c>
      <c r="G6" s="4" t="n">
        <v>100</v>
      </c>
    </row>
    <row r="7">
      <c r="A7" s="4" t="n">
        <v>3</v>
      </c>
      <c r="B7" s="5" t="inlineStr">
        <is>
          <t>Sara Patricia González de Jiménez</t>
        </is>
      </c>
      <c r="C7" s="5" t="inlineStr">
        <is>
          <t>Departamento de Riesgos</t>
        </is>
      </c>
      <c r="D7" s="4" t="inlineStr">
        <is>
          <t>2026-10-01 10:28:49</t>
        </is>
      </c>
      <c r="E7" s="4" t="inlineStr">
        <is>
          <t>2026-10-01 10:31:52</t>
        </is>
      </c>
      <c r="F7" s="7" t="n">
        <v>3.05</v>
      </c>
      <c r="G7" s="4" t="n">
        <v>100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CALIFICACIÓN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Henry Oswaldo Pineda García</t>
        </is>
      </c>
      <c r="C5" s="5" t="inlineStr">
        <is>
          <t>Seguros</t>
        </is>
      </c>
      <c r="D5" s="4" t="inlineStr">
        <is>
          <t>2026-10-01 10:14:02</t>
        </is>
      </c>
      <c r="E5" s="4" t="inlineStr">
        <is>
          <t>2026-10-01 10:21:54</t>
        </is>
      </c>
      <c r="F5" s="7" t="n">
        <v>7.866666666666666</v>
      </c>
      <c r="G5" s="4" t="n">
        <v>100</v>
      </c>
    </row>
    <row r="6">
      <c r="A6" s="4" t="n">
        <v>2</v>
      </c>
      <c r="B6" s="5" t="inlineStr">
        <is>
          <t>José Augusto De la O Gallegos</t>
        </is>
      </c>
      <c r="C6" s="5" t="inlineStr">
        <is>
          <t>Gerencia de Finanzas y Planificación</t>
        </is>
      </c>
      <c r="D6" s="4" t="inlineStr">
        <is>
          <t>2026-10-01 10:14:58</t>
        </is>
      </c>
      <c r="E6" s="4" t="inlineStr">
        <is>
          <t>2026-10-01 10:18:34</t>
        </is>
      </c>
      <c r="F6" s="7" t="n">
        <v>3.6</v>
      </c>
      <c r="G6" s="4" t="n">
        <v>100</v>
      </c>
    </row>
    <row r="7">
      <c r="A7" s="4" t="n">
        <v>3</v>
      </c>
      <c r="B7" s="5" t="inlineStr">
        <is>
          <t>THELMA ESPERANZA DIGUEROA DE SORTO</t>
        </is>
      </c>
      <c r="C7" s="5" t="inlineStr">
        <is>
          <t>AGENCIA SAN MIGUEL</t>
        </is>
      </c>
      <c r="D7" s="4" t="inlineStr">
        <is>
          <t>2026-10-01 10:26:17</t>
        </is>
      </c>
      <c r="E7" s="4" t="inlineStr">
        <is>
          <t>2026-10-01 10:34:32</t>
        </is>
      </c>
      <c r="F7" s="7" t="n">
        <v>8.25</v>
      </c>
      <c r="G7" s="4" t="n">
        <v>100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67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58" customWidth="1" min="3" max="3"/>
    <col width="57" customWidth="1" min="4" max="4"/>
    <col width="43" customWidth="1" min="5" max="5"/>
  </cols>
  <sheetData>
    <row r="1">
      <c r="A1" s="1" t="inlineStr">
        <is>
          <t>LISTADO GENERAL DE COLABORADORES PENDIENTES</t>
        </is>
      </c>
    </row>
    <row r="2">
      <c r="A2" s="2" t="inlineStr">
        <is>
          <t>Colaboradores del listado oficial que aún no han completado la evaluación.</t>
        </is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inlineStr">
        <is>
          <t xml:space="preserve">CARLOS EDUARDO SERVELLON PEREZ </t>
        </is>
      </c>
      <c r="B5" s="4" t="inlineStr">
        <is>
          <t>919</t>
        </is>
      </c>
      <c r="C5" s="5" t="inlineStr">
        <is>
          <t>AUXILIAR DE EDUCACION Y RESPONSABILIDAD SOCIAL</t>
        </is>
      </c>
      <c r="D5" s="5" t="inlineStr">
        <is>
          <t>DEPARTAMENTO DE EDUCACION Y RESPONSABILIDAD SOCIAL</t>
        </is>
      </c>
      <c r="E5" s="5" t="inlineStr">
        <is>
          <t>Gerencia Administrativa</t>
        </is>
      </c>
    </row>
    <row r="6">
      <c r="A6" s="5" t="inlineStr">
        <is>
          <t>ZULEYMA ALEJANDRA VASQUEZ  MARIN</t>
        </is>
      </c>
      <c r="B6" s="4" t="inlineStr">
        <is>
          <t>847</t>
        </is>
      </c>
      <c r="C6" s="5" t="inlineStr">
        <is>
          <t>JEFE DE EDUCACION Y RESPONSABILIDAD SOCIAL</t>
        </is>
      </c>
      <c r="D6" s="5" t="inlineStr">
        <is>
          <t>DEPARTAMENTO DE EDUCACION Y RESPONSABILIDAD SOCIAL</t>
        </is>
      </c>
      <c r="E6" s="5" t="inlineStr">
        <is>
          <t>Gerencia Administrativa</t>
        </is>
      </c>
    </row>
    <row r="7">
      <c r="A7" s="5" t="inlineStr">
        <is>
          <t xml:space="preserve">DORA ALICIA CASTILLO </t>
        </is>
      </c>
      <c r="B7" s="4" t="inlineStr">
        <is>
          <t>65</t>
        </is>
      </c>
      <c r="C7" s="5" t="inlineStr">
        <is>
          <t>JEFE DE TALENTO HUMANO</t>
        </is>
      </c>
      <c r="D7" s="5" t="inlineStr">
        <is>
          <t>DEPARTAMENTO DE TALENTO HUMANO</t>
        </is>
      </c>
      <c r="E7" s="5" t="inlineStr">
        <is>
          <t>Gerencia Administrativa</t>
        </is>
      </c>
    </row>
    <row r="8">
      <c r="A8" s="5" t="inlineStr">
        <is>
          <t xml:space="preserve">NELSON ULISES CAMPOS FLORES </t>
        </is>
      </c>
      <c r="B8" s="4" t="inlineStr">
        <is>
          <t>977</t>
        </is>
      </c>
      <c r="C8" s="5" t="inlineStr">
        <is>
          <t>GERENTE GENERAL</t>
        </is>
      </c>
      <c r="D8" s="5" t="inlineStr">
        <is>
          <t>GERENCIA GENERAL</t>
        </is>
      </c>
      <c r="E8" s="5" t="inlineStr">
        <is>
          <t>Gerencia General</t>
        </is>
      </c>
    </row>
    <row r="9">
      <c r="A9" s="5" t="inlineStr">
        <is>
          <t xml:space="preserve">CLAUDIA MARLENE CABRERA SANCHEZ </t>
        </is>
      </c>
      <c r="B9" s="4" t="inlineStr">
        <is>
          <t>235</t>
        </is>
      </c>
      <c r="C9" s="5" t="inlineStr">
        <is>
          <t>SUPERVISOR DE CONTABILIDAD</t>
        </is>
      </c>
      <c r="D9" s="5" t="inlineStr">
        <is>
          <t>DEPARTAMENTO DE CONTABILIDAD</t>
        </is>
      </c>
      <c r="E9" s="5" t="inlineStr">
        <is>
          <t>Gerencia de Finanzas y Planificación</t>
        </is>
      </c>
    </row>
    <row r="10">
      <c r="A10" s="5" t="inlineStr">
        <is>
          <t xml:space="preserve">MILAGRO TRINIDAD ROMERO MONTERROSA </t>
        </is>
      </c>
      <c r="B10" s="4" t="inlineStr">
        <is>
          <t>571</t>
        </is>
      </c>
      <c r="C10" s="5" t="inlineStr">
        <is>
          <t>ASISTENTE TECNICO DE IMPUESTOS</t>
        </is>
      </c>
      <c r="D10" s="5" t="inlineStr">
        <is>
          <t>DEPARTAMENTO DE CONTABILIDAD</t>
        </is>
      </c>
      <c r="E10" s="5" t="inlineStr">
        <is>
          <t>Gerencia de Finanzas y Planificación</t>
        </is>
      </c>
    </row>
    <row r="11">
      <c r="A11" s="5" t="inlineStr">
        <is>
          <t xml:space="preserve">RUBIA ESTELA LEIVA SIBRIAN </t>
        </is>
      </c>
      <c r="B11" s="4" t="inlineStr">
        <is>
          <t>70</t>
        </is>
      </c>
      <c r="C11" s="5" t="inlineStr">
        <is>
          <t>ASISTENTE TECNICO DE PAGOS</t>
        </is>
      </c>
      <c r="D11" s="5" t="inlineStr">
        <is>
          <t>DEPARTAMENTO DE CONTABILIDAD</t>
        </is>
      </c>
      <c r="E11" s="5" t="inlineStr">
        <is>
          <t>Gerencia de Finanzas y Planificación</t>
        </is>
      </c>
    </row>
    <row r="12">
      <c r="A12" s="5" t="inlineStr">
        <is>
          <t xml:space="preserve">RAFAEL ANDRES MARAVILLA GUERRA </t>
        </is>
      </c>
      <c r="B12" s="4" t="inlineStr">
        <is>
          <t>839</t>
        </is>
      </c>
      <c r="C12" s="5" t="inlineStr">
        <is>
          <t>ASISTENTE DE ANALISIS Y NORMATIVAS</t>
        </is>
      </c>
      <c r="D12" s="5" t="inlineStr">
        <is>
          <t>DEPARTAMENTO DE PLANIFICACIÓN Y ANALISIS</t>
        </is>
      </c>
      <c r="E12" s="5" t="inlineStr">
        <is>
          <t>Gerencia de Finanzas y Planificación</t>
        </is>
      </c>
    </row>
    <row r="13">
      <c r="A13" s="5" t="inlineStr">
        <is>
          <t xml:space="preserve">BLANCA ARACELY MORENO HERNANDEZ </t>
        </is>
      </c>
      <c r="B13" s="4" t="inlineStr">
        <is>
          <t>385</t>
        </is>
      </c>
      <c r="C13" s="5" t="inlineStr">
        <is>
          <t>AUXILIAR DE OPERACIONES Y ATENCION EN  AGENCIA</t>
        </is>
      </c>
      <c r="D13" s="5" t="inlineStr">
        <is>
          <t xml:space="preserve">AGENCIA CENTRAL  </t>
        </is>
      </c>
      <c r="E13" s="5" t="inlineStr">
        <is>
          <t>Gerencia de Negocios</t>
        </is>
      </c>
    </row>
    <row r="14">
      <c r="A14" s="5" t="inlineStr">
        <is>
          <t xml:space="preserve">ELSY GUADALUPE COREA AGUILUZ </t>
        </is>
      </c>
      <c r="B14" s="4" t="inlineStr">
        <is>
          <t>253</t>
        </is>
      </c>
      <c r="C14" s="5" t="inlineStr">
        <is>
          <t>EJECUTIVO DE NEGOCIOS</t>
        </is>
      </c>
      <c r="D14" s="5" t="inlineStr">
        <is>
          <t xml:space="preserve">AGENCIA CENTRAL  </t>
        </is>
      </c>
      <c r="E14" s="5" t="inlineStr">
        <is>
          <t>Gerencia de Negocios</t>
        </is>
      </c>
    </row>
    <row r="15">
      <c r="A15" s="5" t="inlineStr">
        <is>
          <t xml:space="preserve">ESTHER ABIGAIL FLORES GRANDE </t>
        </is>
      </c>
      <c r="B15" s="4" t="inlineStr">
        <is>
          <t>857</t>
        </is>
      </c>
      <c r="C15" s="5" t="inlineStr">
        <is>
          <t>AUXILIAR DE OPERACIONES Y ATENCION EN  AGENCIA</t>
        </is>
      </c>
      <c r="D15" s="5" t="inlineStr">
        <is>
          <t xml:space="preserve">AGENCIA CENTRAL  </t>
        </is>
      </c>
      <c r="E15" s="5" t="inlineStr">
        <is>
          <t>Gerencia de Negocios</t>
        </is>
      </c>
    </row>
    <row r="16">
      <c r="A16" s="5" t="inlineStr">
        <is>
          <t>GRISELDA DEL CARMEN DOMINGUEZ MERINO</t>
        </is>
      </c>
      <c r="B16" s="4" t="inlineStr">
        <is>
          <t>49</t>
        </is>
      </c>
      <c r="C16" s="5" t="inlineStr">
        <is>
          <t>EJECUTIVO DE NEGOCIOS</t>
        </is>
      </c>
      <c r="D16" s="5" t="inlineStr">
        <is>
          <t xml:space="preserve">AGENCIA CENTRAL  </t>
        </is>
      </c>
      <c r="E16" s="5" t="inlineStr">
        <is>
          <t>Gerencia de Negocios</t>
        </is>
      </c>
    </row>
    <row r="17">
      <c r="A17" s="5" t="inlineStr">
        <is>
          <t xml:space="preserve">JAZMIN ABIGAIL VASQUEZ AVELAR </t>
        </is>
      </c>
      <c r="B17" s="4" t="inlineStr">
        <is>
          <t>848</t>
        </is>
      </c>
      <c r="C17" s="5" t="inlineStr">
        <is>
          <t>CAJERO</t>
        </is>
      </c>
      <c r="D17" s="5" t="inlineStr">
        <is>
          <t xml:space="preserve">AGENCIA CENTRAL  </t>
        </is>
      </c>
      <c r="E17" s="5" t="inlineStr">
        <is>
          <t>Gerencia de Negocios</t>
        </is>
      </c>
    </row>
    <row r="18">
      <c r="A18" s="5" t="inlineStr">
        <is>
          <t xml:space="preserve">JOHANA PATRICIA LUNA RAMOS </t>
        </is>
      </c>
      <c r="B18" s="4" t="inlineStr">
        <is>
          <t>739</t>
        </is>
      </c>
      <c r="C18" s="5" t="inlineStr">
        <is>
          <t>CAJERO</t>
        </is>
      </c>
      <c r="D18" s="5" t="inlineStr">
        <is>
          <t xml:space="preserve">AGENCIA CENTRAL  </t>
        </is>
      </c>
      <c r="E18" s="5" t="inlineStr">
        <is>
          <t>Gerencia de Negocios</t>
        </is>
      </c>
    </row>
    <row r="19">
      <c r="A19" s="5" t="inlineStr">
        <is>
          <t xml:space="preserve">KARLA MERCEDES DELEON DELGADO </t>
        </is>
      </c>
      <c r="B19" s="4" t="inlineStr">
        <is>
          <t>440</t>
        </is>
      </c>
      <c r="C19" s="5" t="inlineStr">
        <is>
          <t xml:space="preserve">JEFE DE AGENCIA  </t>
        </is>
      </c>
      <c r="D19" s="5" t="inlineStr">
        <is>
          <t xml:space="preserve">AGENCIA CENTRAL  </t>
        </is>
      </c>
      <c r="E19" s="5" t="inlineStr">
        <is>
          <t>Gerencia de Negocios</t>
        </is>
      </c>
    </row>
    <row r="20">
      <c r="A20" s="5" t="inlineStr">
        <is>
          <t xml:space="preserve">KATHERINE MICHELLE LOPEZ LOPEZ </t>
        </is>
      </c>
      <c r="B20" s="4" t="inlineStr">
        <is>
          <t>768</t>
        </is>
      </c>
      <c r="C20" s="5" t="inlineStr">
        <is>
          <t>AUXILIAR DE OPERACIONES Y ATENCION EN  AGENCIA</t>
        </is>
      </c>
      <c r="D20" s="5" t="inlineStr">
        <is>
          <t xml:space="preserve">AGENCIA CENTRAL  </t>
        </is>
      </c>
      <c r="E20" s="5" t="inlineStr">
        <is>
          <t>Gerencia de Negocios</t>
        </is>
      </c>
    </row>
    <row r="21">
      <c r="A21" s="5" t="inlineStr">
        <is>
          <t xml:space="preserve">LEIDY VANESSA GUZMAN SERVELLON  </t>
        </is>
      </c>
      <c r="B21" s="4" t="inlineStr">
        <is>
          <t>974</t>
        </is>
      </c>
      <c r="C21" s="5" t="inlineStr">
        <is>
          <t>CAJERO</t>
        </is>
      </c>
      <c r="D21" s="5" t="inlineStr">
        <is>
          <t xml:space="preserve">AGENCIA CENTRAL  </t>
        </is>
      </c>
      <c r="E21" s="5" t="inlineStr">
        <is>
          <t>Gerencia de Negocios</t>
        </is>
      </c>
    </row>
    <row r="22">
      <c r="A22" s="5" t="inlineStr">
        <is>
          <t xml:space="preserve">LETICIA ESMERALDA ROSA </t>
        </is>
      </c>
      <c r="B22" s="4" t="inlineStr">
        <is>
          <t>234</t>
        </is>
      </c>
      <c r="C22" s="5" t="inlineStr">
        <is>
          <t>EJECUTIVO DE NEGOCIOS</t>
        </is>
      </c>
      <c r="D22" s="5" t="inlineStr">
        <is>
          <t xml:space="preserve">AGENCIA CENTRAL  </t>
        </is>
      </c>
      <c r="E22" s="5" t="inlineStr">
        <is>
          <t>Gerencia de Negocios</t>
        </is>
      </c>
    </row>
    <row r="23">
      <c r="A23" s="5" t="inlineStr">
        <is>
          <t xml:space="preserve">DORIS ELISA HERNANDEZ </t>
        </is>
      </c>
      <c r="B23" s="4" t="inlineStr">
        <is>
          <t>466</t>
        </is>
      </c>
      <c r="C23" s="5" t="inlineStr">
        <is>
          <t>SERVICIOS VARIOS</t>
        </is>
      </c>
      <c r="D23" s="5" t="inlineStr">
        <is>
          <t xml:space="preserve">AGENCIA COLEGIO MEDICO </t>
        </is>
      </c>
      <c r="E23" s="5" t="inlineStr">
        <is>
          <t>Gerencia de Negocios</t>
        </is>
      </c>
    </row>
    <row r="24">
      <c r="A24" s="5" t="inlineStr">
        <is>
          <t>FLOR IMELDA VILLALOBOS ARDON</t>
        </is>
      </c>
      <c r="B24" s="4" t="inlineStr">
        <is>
          <t>26</t>
        </is>
      </c>
      <c r="C24" s="5" t="inlineStr">
        <is>
          <t>EJECUTIVO DE NEGOCIOS</t>
        </is>
      </c>
      <c r="D24" s="5" t="inlineStr">
        <is>
          <t xml:space="preserve">AGENCIA COLEGIO MEDICO </t>
        </is>
      </c>
      <c r="E24" s="5" t="inlineStr">
        <is>
          <t>Gerencia de Negocios</t>
        </is>
      </c>
    </row>
    <row r="25">
      <c r="A25" s="5" t="inlineStr">
        <is>
          <t xml:space="preserve">ALFREDO ARMANDO RAMOS ESCOBAR </t>
        </is>
      </c>
      <c r="B25" s="4" t="inlineStr">
        <is>
          <t>674</t>
        </is>
      </c>
      <c r="C25" s="5" t="inlineStr">
        <is>
          <t>CAJERO</t>
        </is>
      </c>
      <c r="D25" s="5" t="inlineStr">
        <is>
          <t xml:space="preserve">AGENCIA COLONIA MEDICA  </t>
        </is>
      </c>
      <c r="E25" s="5" t="inlineStr">
        <is>
          <t>Gerencia de Negocios</t>
        </is>
      </c>
    </row>
    <row r="26">
      <c r="A26" s="5" t="inlineStr">
        <is>
          <t>ANA MARGARITA SERRANO RUBIO</t>
        </is>
      </c>
      <c r="B26" s="4" t="inlineStr">
        <is>
          <t>19</t>
        </is>
      </c>
      <c r="C26" s="5" t="inlineStr">
        <is>
          <t>CAJERO</t>
        </is>
      </c>
      <c r="D26" s="5" t="inlineStr">
        <is>
          <t xml:space="preserve">AGENCIA COLONIA MEDICA  </t>
        </is>
      </c>
      <c r="E26" s="5" t="inlineStr">
        <is>
          <t>Gerencia de Negocios</t>
        </is>
      </c>
    </row>
    <row r="27">
      <c r="A27" s="5" t="inlineStr">
        <is>
          <t xml:space="preserve">FLOR DE MARIA ROSALES SORTO </t>
        </is>
      </c>
      <c r="B27" s="4" t="inlineStr">
        <is>
          <t>873</t>
        </is>
      </c>
      <c r="C27" s="5" t="inlineStr">
        <is>
          <t>CAJERO</t>
        </is>
      </c>
      <c r="D27" s="5" t="inlineStr">
        <is>
          <t xml:space="preserve">AGENCIA COLONIA MEDICA  </t>
        </is>
      </c>
      <c r="E27" s="5" t="inlineStr">
        <is>
          <t>Gerencia de Negocios</t>
        </is>
      </c>
    </row>
    <row r="28">
      <c r="A28" s="5" t="inlineStr">
        <is>
          <t xml:space="preserve">FLOR DEL CARMEN GONZALEZ HERNANDEZ </t>
        </is>
      </c>
      <c r="B28" s="4" t="inlineStr">
        <is>
          <t>913</t>
        </is>
      </c>
      <c r="C28" s="5" t="inlineStr">
        <is>
          <t>SERVICIOS VARIOS</t>
        </is>
      </c>
      <c r="D28" s="5" t="inlineStr">
        <is>
          <t xml:space="preserve">AGENCIA COLONIA MEDICA  </t>
        </is>
      </c>
      <c r="E28" s="5" t="inlineStr">
        <is>
          <t>Gerencia de Negocios</t>
        </is>
      </c>
    </row>
    <row r="29">
      <c r="A29" s="5" t="inlineStr">
        <is>
          <t xml:space="preserve">JACQUELINE GUADALUPE CEA ALVARADO </t>
        </is>
      </c>
      <c r="B29" s="4" t="inlineStr">
        <is>
          <t>933</t>
        </is>
      </c>
      <c r="C29" s="5" t="inlineStr">
        <is>
          <t>EJECUTIVO DE NEGOCIOS</t>
        </is>
      </c>
      <c r="D29" s="5" t="inlineStr">
        <is>
          <t xml:space="preserve">AGENCIA COLONIA MEDICA  </t>
        </is>
      </c>
      <c r="E29" s="5" t="inlineStr">
        <is>
          <t>Gerencia de Negocios</t>
        </is>
      </c>
    </row>
    <row r="30">
      <c r="A30" s="5" t="inlineStr">
        <is>
          <t xml:space="preserve">JULIO ENRIQUE  CAMPOS ANDRADE </t>
        </is>
      </c>
      <c r="B30" s="4" t="inlineStr">
        <is>
          <t>624</t>
        </is>
      </c>
      <c r="C30" s="5" t="inlineStr">
        <is>
          <t>EJECUTIVO DE NEGOCIOS</t>
        </is>
      </c>
      <c r="D30" s="5" t="inlineStr">
        <is>
          <t xml:space="preserve">AGENCIA COLONIA MEDICA  </t>
        </is>
      </c>
      <c r="E30" s="5" t="inlineStr">
        <is>
          <t>Gerencia de Negocios</t>
        </is>
      </c>
    </row>
    <row r="31">
      <c r="A31" s="5" t="inlineStr">
        <is>
          <t xml:space="preserve">STEFFANY MARIELOS MIRO HERNANDEZ </t>
        </is>
      </c>
      <c r="B31" s="4" t="inlineStr">
        <is>
          <t>855</t>
        </is>
      </c>
      <c r="C31" s="5" t="inlineStr">
        <is>
          <t>CAJERO</t>
        </is>
      </c>
      <c r="D31" s="5" t="inlineStr">
        <is>
          <t xml:space="preserve">AGENCIA COLONIA MEDICA  </t>
        </is>
      </c>
      <c r="E31" s="5" t="inlineStr">
        <is>
          <t>Gerencia de Negocios</t>
        </is>
      </c>
    </row>
    <row r="32">
      <c r="A32" s="5" t="inlineStr">
        <is>
          <t xml:space="preserve">YESENIA LISSETH BARAHONA VALLE </t>
        </is>
      </c>
      <c r="B32" s="4" t="inlineStr">
        <is>
          <t>891</t>
        </is>
      </c>
      <c r="C32" s="5" t="inlineStr">
        <is>
          <t>AUXILIAR DE ATENCION AL ASOCIADO EN AGENCIA</t>
        </is>
      </c>
      <c r="D32" s="5" t="inlineStr">
        <is>
          <t xml:space="preserve">AGENCIA COLONIA MEDICA  </t>
        </is>
      </c>
      <c r="E32" s="5" t="inlineStr">
        <is>
          <t>Gerencia de Negocios</t>
        </is>
      </c>
    </row>
    <row r="33">
      <c r="A33" s="5" t="inlineStr">
        <is>
          <t>YHANA MILET  VALLE  HERNANDEZ</t>
        </is>
      </c>
      <c r="B33" s="4" t="inlineStr">
        <is>
          <t>735</t>
        </is>
      </c>
      <c r="C33" s="5" t="inlineStr">
        <is>
          <t>CAJERO</t>
        </is>
      </c>
      <c r="D33" s="5" t="inlineStr">
        <is>
          <t xml:space="preserve">AGENCIA COLONIA MEDICA  </t>
        </is>
      </c>
      <c r="E33" s="5" t="inlineStr">
        <is>
          <t>Gerencia de Negocios</t>
        </is>
      </c>
    </row>
    <row r="34">
      <c r="A34" s="5" t="inlineStr">
        <is>
          <t>CLELIA DESIREE CAMPOS COSS</t>
        </is>
      </c>
      <c r="B34" s="4" t="inlineStr">
        <is>
          <t>657</t>
        </is>
      </c>
      <c r="C34" s="5" t="inlineStr">
        <is>
          <t>SERVICIOS VARIOS</t>
        </is>
      </c>
      <c r="D34" s="5" t="inlineStr">
        <is>
          <t xml:space="preserve">AGENCIA MERLIOT  </t>
        </is>
      </c>
      <c r="E34" s="5" t="inlineStr">
        <is>
          <t>Gerencia de Negocios</t>
        </is>
      </c>
    </row>
    <row r="35">
      <c r="A35" s="5" t="inlineStr">
        <is>
          <t xml:space="preserve">ZOILA AYDEE LARIOS  </t>
        </is>
      </c>
      <c r="B35" s="4" t="inlineStr">
        <is>
          <t>59</t>
        </is>
      </c>
      <c r="C35" s="5" t="inlineStr">
        <is>
          <t>SERVICIOS VARIOS</t>
        </is>
      </c>
      <c r="D35" s="5" t="inlineStr">
        <is>
          <t xml:space="preserve">AGENCIA PLAZA MUNDO  </t>
        </is>
      </c>
      <c r="E35" s="5" t="inlineStr">
        <is>
          <t>Gerencia de Negocios</t>
        </is>
      </c>
    </row>
    <row r="36">
      <c r="A36" s="5" t="inlineStr">
        <is>
          <t xml:space="preserve">SANDRA MARINA  BERRIOS SANTOS </t>
        </is>
      </c>
      <c r="B36" s="4" t="inlineStr">
        <is>
          <t>861</t>
        </is>
      </c>
      <c r="C36" s="5" t="inlineStr">
        <is>
          <t>CAJERO</t>
        </is>
      </c>
      <c r="D36" s="5" t="inlineStr">
        <is>
          <t xml:space="preserve">AGENCIA SAN  MIGUEL  </t>
        </is>
      </c>
      <c r="E36" s="5" t="inlineStr">
        <is>
          <t>Gerencia de Negocios</t>
        </is>
      </c>
    </row>
    <row r="37">
      <c r="A37" s="5" t="inlineStr">
        <is>
          <t xml:space="preserve">ANA MARIA GIRON </t>
        </is>
      </c>
      <c r="B37" s="4" t="inlineStr">
        <is>
          <t>168</t>
        </is>
      </c>
      <c r="C37" s="5" t="inlineStr">
        <is>
          <t>EJECUTIVO DE NEGOCIOS</t>
        </is>
      </c>
      <c r="D37" s="5" t="inlineStr">
        <is>
          <t xml:space="preserve">AGENCIA SANTA  ANA  </t>
        </is>
      </c>
      <c r="E37" s="5" t="inlineStr">
        <is>
          <t>Gerencia de Negocios</t>
        </is>
      </c>
    </row>
    <row r="38">
      <c r="A38" s="5" t="inlineStr">
        <is>
          <t xml:space="preserve">IRVIN ADEMIR PERAZA MOLINA </t>
        </is>
      </c>
      <c r="B38" s="4" t="inlineStr">
        <is>
          <t>747</t>
        </is>
      </c>
      <c r="C38" s="5" t="inlineStr">
        <is>
          <t>EJECUTIVO DE SEGUROS</t>
        </is>
      </c>
      <c r="D38" s="5" t="inlineStr">
        <is>
          <t xml:space="preserve">AGENCIA SANTA  ANA  </t>
        </is>
      </c>
      <c r="E38" s="5" t="inlineStr">
        <is>
          <t>Gerencia de Negocios</t>
        </is>
      </c>
    </row>
    <row r="39">
      <c r="A39" s="5" t="inlineStr">
        <is>
          <t xml:space="preserve">JOSE CRISTOBAL LOPEZ ESQUIVEL </t>
        </is>
      </c>
      <c r="B39" s="4" t="inlineStr">
        <is>
          <t>910</t>
        </is>
      </c>
      <c r="C39" s="5" t="inlineStr">
        <is>
          <t>MENSAJERO</t>
        </is>
      </c>
      <c r="D39" s="5" t="inlineStr">
        <is>
          <t xml:space="preserve">AGENCIA SANTA  ANA  </t>
        </is>
      </c>
      <c r="E39" s="5" t="inlineStr">
        <is>
          <t>Gerencia de Negocios</t>
        </is>
      </c>
    </row>
    <row r="40">
      <c r="A40" s="5" t="inlineStr">
        <is>
          <t xml:space="preserve">SOFIA AZMINIA MENA ARGUETA </t>
        </is>
      </c>
      <c r="B40" s="4" t="inlineStr">
        <is>
          <t>840</t>
        </is>
      </c>
      <c r="C40" s="5" t="inlineStr">
        <is>
          <t>CAJERO</t>
        </is>
      </c>
      <c r="D40" s="5" t="inlineStr">
        <is>
          <t xml:space="preserve">AGENCIA SANTA  ANA  </t>
        </is>
      </c>
      <c r="E40" s="5" t="inlineStr">
        <is>
          <t>Gerencia de Negocios</t>
        </is>
      </c>
    </row>
    <row r="41">
      <c r="A41" s="5" t="inlineStr">
        <is>
          <t xml:space="preserve">JESSICA YAMILETH LEIVA VASQUEZ </t>
        </is>
      </c>
      <c r="B41" s="4" t="inlineStr">
        <is>
          <t>575</t>
        </is>
      </c>
      <c r="C41" s="5" t="inlineStr">
        <is>
          <t>EJECUTIVA DE SEGUROS</t>
        </is>
      </c>
      <c r="D41" s="5" t="inlineStr">
        <is>
          <t xml:space="preserve">AGENCIA SONSONATE  </t>
        </is>
      </c>
      <c r="E41" s="5" t="inlineStr">
        <is>
          <t>Gerencia de Negocios</t>
        </is>
      </c>
    </row>
    <row r="42">
      <c r="A42" s="5" t="inlineStr">
        <is>
          <t xml:space="preserve">JOSE ALEXANDER TORRES PEREZ </t>
        </is>
      </c>
      <c r="B42" s="4" t="inlineStr">
        <is>
          <t>448</t>
        </is>
      </c>
      <c r="C42" s="5" t="inlineStr">
        <is>
          <t>MENSAJERO</t>
        </is>
      </c>
      <c r="D42" s="5" t="inlineStr">
        <is>
          <t xml:space="preserve">AGENCIA SONSONATE  </t>
        </is>
      </c>
      <c r="E42" s="5" t="inlineStr">
        <is>
          <t>Gerencia de Negocios</t>
        </is>
      </c>
    </row>
    <row r="43">
      <c r="A43" s="5" t="inlineStr">
        <is>
          <t xml:space="preserve">JOSUE ALEXANDER PEREZ HENRIQUEZ </t>
        </is>
      </c>
      <c r="B43" s="4" t="inlineStr">
        <is>
          <t>559</t>
        </is>
      </c>
      <c r="C43" s="5" t="inlineStr">
        <is>
          <t>EJECUTIVO DE NEGOCIOS</t>
        </is>
      </c>
      <c r="D43" s="5" t="inlineStr">
        <is>
          <t xml:space="preserve">AGENCIA SONSONATE  </t>
        </is>
      </c>
      <c r="E43" s="5" t="inlineStr">
        <is>
          <t>Gerencia de Negocios</t>
        </is>
      </c>
    </row>
    <row r="44">
      <c r="A44" s="5" t="inlineStr">
        <is>
          <t xml:space="preserve">KARLA MARCELA  ESCOBAR TRIGUEROS </t>
        </is>
      </c>
      <c r="B44" s="4" t="inlineStr">
        <is>
          <t>849</t>
        </is>
      </c>
      <c r="C44" s="5" t="inlineStr">
        <is>
          <t>CAJERO</t>
        </is>
      </c>
      <c r="D44" s="5" t="inlineStr">
        <is>
          <t xml:space="preserve">AGENCIA SONSONATE  </t>
        </is>
      </c>
      <c r="E44" s="5" t="inlineStr">
        <is>
          <t>Gerencia de Negocios</t>
        </is>
      </c>
    </row>
    <row r="45">
      <c r="A45" s="5" t="inlineStr">
        <is>
          <t>MARIA ANGELICA ESCOBAR RENDEROS</t>
        </is>
      </c>
      <c r="B45" s="4" t="inlineStr">
        <is>
          <t>287</t>
        </is>
      </c>
      <c r="C45" s="5" t="inlineStr">
        <is>
          <t xml:space="preserve">JEFE DE AGENCIA  </t>
        </is>
      </c>
      <c r="D45" s="5" t="inlineStr">
        <is>
          <t xml:space="preserve">AGENCIA SONSONATE  </t>
        </is>
      </c>
      <c r="E45" s="5" t="inlineStr">
        <is>
          <t>Gerencia de Negocios</t>
        </is>
      </c>
    </row>
    <row r="46">
      <c r="A46" s="5" t="inlineStr">
        <is>
          <t xml:space="preserve">XIOMARA BEATRIZ MARTINEZ SERMEÑO </t>
        </is>
      </c>
      <c r="B46" s="4" t="inlineStr">
        <is>
          <t>526</t>
        </is>
      </c>
      <c r="C46" s="5" t="inlineStr">
        <is>
          <t>SUBJEFE DE  AGENCIA</t>
        </is>
      </c>
      <c r="D46" s="5" t="inlineStr">
        <is>
          <t xml:space="preserve">AGENCIA SONSONATE  </t>
        </is>
      </c>
      <c r="E46" s="5" t="inlineStr">
        <is>
          <t>Gerencia de Negocios</t>
        </is>
      </c>
    </row>
    <row r="47">
      <c r="A47" s="5" t="inlineStr">
        <is>
          <t xml:space="preserve">LUIS ALBERTO MEJIA DELGADO </t>
        </is>
      </c>
      <c r="B47" s="4" t="inlineStr">
        <is>
          <t>835</t>
        </is>
      </c>
      <c r="C47" s="5" t="inlineStr">
        <is>
          <t>EJECUTIVO DE NEGOCIOS</t>
        </is>
      </c>
      <c r="D47" s="5" t="inlineStr">
        <is>
          <t>DEPARTAMENTO COMERCIAL DE TARJETA DE CREDITO Y DEBITO</t>
        </is>
      </c>
      <c r="E47" s="5" t="inlineStr">
        <is>
          <t>Gerencia de Negocios</t>
        </is>
      </c>
    </row>
    <row r="48">
      <c r="A48" s="5" t="inlineStr">
        <is>
          <t xml:space="preserve">ALAN RODRIGO BENITEZ RODRIGUEZ </t>
        </is>
      </c>
      <c r="B48" s="4" t="inlineStr">
        <is>
          <t>981</t>
        </is>
      </c>
      <c r="C48" s="5" t="inlineStr">
        <is>
          <t>PASANTE</t>
        </is>
      </c>
      <c r="D48" s="5" t="inlineStr">
        <is>
          <t>DEPARTAMENTO DE ATENCION A ASOCIADO Y CLIENTE</t>
        </is>
      </c>
      <c r="E48" s="5" t="inlineStr">
        <is>
          <t>Gerencia de Negocios</t>
        </is>
      </c>
    </row>
    <row r="49">
      <c r="A49" s="5" t="inlineStr">
        <is>
          <t>CARMEN MARIA GUTIERREZ ESTRADA</t>
        </is>
      </c>
      <c r="B49" s="4" t="inlineStr">
        <is>
          <t>591</t>
        </is>
      </c>
      <c r="C49" s="5" t="inlineStr">
        <is>
          <t>JEFE DE MERCADEO</t>
        </is>
      </c>
      <c r="D49" s="5" t="inlineStr">
        <is>
          <t xml:space="preserve">DEPARTAMENTO DE MERCADEO </t>
        </is>
      </c>
      <c r="E49" s="5" t="inlineStr">
        <is>
          <t>Gerencia de Negocios</t>
        </is>
      </c>
    </row>
    <row r="50">
      <c r="A50" s="5" t="inlineStr">
        <is>
          <t xml:space="preserve">GERARDO ALEXANDER  MARTINEZ RIVERA </t>
        </is>
      </c>
      <c r="B50" s="4" t="inlineStr">
        <is>
          <t>897</t>
        </is>
      </c>
      <c r="C50" s="5" t="inlineStr">
        <is>
          <t>ANALISTA DE COMUNICACIONES</t>
        </is>
      </c>
      <c r="D50" s="5" t="inlineStr">
        <is>
          <t xml:space="preserve">DEPARTAMENTO DE MERCADEO </t>
        </is>
      </c>
      <c r="E50" s="5" t="inlineStr">
        <is>
          <t>Gerencia de Negocios</t>
        </is>
      </c>
    </row>
    <row r="51">
      <c r="A51" s="5" t="inlineStr">
        <is>
          <t xml:space="preserve">JOSE CARLOS IRENEO HERNANDEZ RODRIGUEZ </t>
        </is>
      </c>
      <c r="B51" s="4" t="inlineStr">
        <is>
          <t>361</t>
        </is>
      </c>
      <c r="C51" s="5" t="inlineStr">
        <is>
          <t>ASISTENTE TECNICO DE MERCADEO</t>
        </is>
      </c>
      <c r="D51" s="5" t="inlineStr">
        <is>
          <t xml:space="preserve">DEPARTAMENTO DE MERCADEO </t>
        </is>
      </c>
      <c r="E51" s="5" t="inlineStr">
        <is>
          <t>Gerencia de Negocios</t>
        </is>
      </c>
    </row>
    <row r="52">
      <c r="A52" s="5" t="inlineStr">
        <is>
          <t xml:space="preserve">LUIS FAUSTONY VASQUEZ CIENFUEGOS </t>
        </is>
      </c>
      <c r="B52" s="4" t="inlineStr">
        <is>
          <t>723</t>
        </is>
      </c>
      <c r="C52" s="5" t="inlineStr">
        <is>
          <t>GESTOR DE DOCUMENTOS</t>
        </is>
      </c>
      <c r="D52" s="5" t="inlineStr">
        <is>
          <t xml:space="preserve">DEPARTAMENTO DE MERCADEO </t>
        </is>
      </c>
      <c r="E52" s="5" t="inlineStr">
        <is>
          <t>Gerencia de Negocios</t>
        </is>
      </c>
    </row>
    <row r="53">
      <c r="A53" s="5" t="inlineStr">
        <is>
          <t xml:space="preserve">MARIA ALEJANDRA BATRES ALVARADO </t>
        </is>
      </c>
      <c r="B53" s="4" t="inlineStr">
        <is>
          <t>895</t>
        </is>
      </c>
      <c r="C53" s="5" t="inlineStr">
        <is>
          <t>DISEÑADOR  GRAFICO</t>
        </is>
      </c>
      <c r="D53" s="5" t="inlineStr">
        <is>
          <t xml:space="preserve">DEPARTAMENTO DE MERCADEO </t>
        </is>
      </c>
      <c r="E53" s="5" t="inlineStr">
        <is>
          <t>Gerencia de Negocios</t>
        </is>
      </c>
    </row>
    <row r="54">
      <c r="A54" s="5" t="inlineStr">
        <is>
          <t xml:space="preserve">ERIKA VANESSA ALEMAN MIJANGO </t>
        </is>
      </c>
      <c r="B54" s="4" t="inlineStr">
        <is>
          <t>802</t>
        </is>
      </c>
      <c r="C54" s="5" t="inlineStr">
        <is>
          <t>EJECUTIVO DE VENTA DE SEGUROS</t>
        </is>
      </c>
      <c r="D54" s="5" t="inlineStr">
        <is>
          <t xml:space="preserve">DEPARTAMENTO DE SEGUROS </t>
        </is>
      </c>
      <c r="E54" s="5" t="inlineStr">
        <is>
          <t>Gerencia de Negocios</t>
        </is>
      </c>
    </row>
    <row r="55">
      <c r="A55" s="5" t="inlineStr">
        <is>
          <t xml:space="preserve">JOSE HUMBERTO BARILLAS BURGOS </t>
        </is>
      </c>
      <c r="B55" s="4" t="inlineStr">
        <is>
          <t>741</t>
        </is>
      </c>
      <c r="C55" s="5" t="inlineStr">
        <is>
          <t>GERENTE DE NEGOCIOS</t>
        </is>
      </c>
      <c r="D55" s="5" t="inlineStr">
        <is>
          <t>GERENCIA DE NEGOCIOS</t>
        </is>
      </c>
      <c r="E55" s="5" t="inlineStr">
        <is>
          <t>Gerencia de Negocios</t>
        </is>
      </c>
    </row>
    <row r="56">
      <c r="A56" s="5" t="inlineStr">
        <is>
          <t xml:space="preserve">JUAN CARLOS AGUILAR ASCENCIO </t>
        </is>
      </c>
      <c r="B56" s="4" t="inlineStr">
        <is>
          <t>581</t>
        </is>
      </c>
      <c r="C56" s="5" t="inlineStr">
        <is>
          <t>CAJERO MOVIL</t>
        </is>
      </c>
      <c r="D56" s="5" t="inlineStr">
        <is>
          <t xml:space="preserve">SUB GERENCIA DE CANALES </t>
        </is>
      </c>
      <c r="E56" s="5" t="inlineStr">
        <is>
          <t>Gerencia de Negocios</t>
        </is>
      </c>
    </row>
    <row r="57">
      <c r="A57" s="5" t="inlineStr">
        <is>
          <t xml:space="preserve">LUIS FERNANDO MORAN GARCIA </t>
        </is>
      </c>
      <c r="B57" s="4" t="inlineStr">
        <is>
          <t>651</t>
        </is>
      </c>
      <c r="C57" s="5" t="inlineStr">
        <is>
          <t>JEFE MOVIL DE AGENCIAS</t>
        </is>
      </c>
      <c r="D57" s="5" t="inlineStr">
        <is>
          <t xml:space="preserve">SUB GERENCIA DE CANALES </t>
        </is>
      </c>
      <c r="E57" s="5" t="inlineStr">
        <is>
          <t>Gerencia de Negocios</t>
        </is>
      </c>
    </row>
    <row r="58">
      <c r="A58" s="5" t="inlineStr">
        <is>
          <t xml:space="preserve">REBECA ABIGAIL VEGA FLORES </t>
        </is>
      </c>
      <c r="B58" s="4" t="inlineStr">
        <is>
          <t>854</t>
        </is>
      </c>
      <c r="C58" s="5" t="inlineStr">
        <is>
          <t>CAJERO MOVIL</t>
        </is>
      </c>
      <c r="D58" s="5" t="inlineStr">
        <is>
          <t xml:space="preserve">SUB GERENCIA DE CANALES </t>
        </is>
      </c>
      <c r="E58" s="5" t="inlineStr">
        <is>
          <t>Gerencia de Negocios</t>
        </is>
      </c>
    </row>
    <row r="59">
      <c r="A59" s="5" t="inlineStr">
        <is>
          <t xml:space="preserve">SANDRA VERONICA ACEVEDO BELTRAN </t>
        </is>
      </c>
      <c r="B59" s="4" t="inlineStr">
        <is>
          <t>713</t>
        </is>
      </c>
      <c r="C59" s="5" t="inlineStr">
        <is>
          <t xml:space="preserve">ASISTENTE PARA CORRESPONSALES FINANCIEROS </t>
        </is>
      </c>
      <c r="D59" s="5" t="inlineStr">
        <is>
          <t xml:space="preserve">SUB GERENCIA DE CANALES </t>
        </is>
      </c>
      <c r="E59" s="5" t="inlineStr">
        <is>
          <t>Gerencia de Negocios</t>
        </is>
      </c>
    </row>
    <row r="60">
      <c r="A60" s="5" t="inlineStr">
        <is>
          <t xml:space="preserve">RICARDO JOSUE CACAO ROVELO </t>
        </is>
      </c>
      <c r="B60" s="4" t="inlineStr">
        <is>
          <t>732</t>
        </is>
      </c>
      <c r="C60" s="5" t="inlineStr">
        <is>
          <t>ANALISTA DE CARTERAS</t>
        </is>
      </c>
      <c r="D60" s="5" t="inlineStr">
        <is>
          <t>ADMINISTRACIÓN DE CARTERAS</t>
        </is>
      </c>
      <c r="E60" s="5" t="inlineStr">
        <is>
          <t>Gerencia de Operaciones</t>
        </is>
      </c>
    </row>
    <row r="61">
      <c r="A61" s="5" t="inlineStr">
        <is>
          <t xml:space="preserve">ALBA BEATRIZ MELENDEZ PRUDENCIO </t>
        </is>
      </c>
      <c r="B61" s="4" t="inlineStr">
        <is>
          <t>885</t>
        </is>
      </c>
      <c r="C61" s="5" t="inlineStr">
        <is>
          <t>ASISTENTE DE RECUPERACION JUDICIAL Y CARTERA CASTIGADA</t>
        </is>
      </c>
      <c r="D61" s="5" t="inlineStr">
        <is>
          <t>DEPARTAMENTO DE SOLUCIONES FINANCIERAS</t>
        </is>
      </c>
      <c r="E61" s="5" t="inlineStr">
        <is>
          <t>Gerencia de Operaciones</t>
        </is>
      </c>
    </row>
    <row r="62">
      <c r="A62" s="5" t="inlineStr">
        <is>
          <t xml:space="preserve">CLAUDIA CAROLINA HERNANDEZ DE PAZ </t>
        </is>
      </c>
      <c r="B62" s="4" t="inlineStr">
        <is>
          <t>389</t>
        </is>
      </c>
      <c r="C62" s="5" t="inlineStr">
        <is>
          <t>ASISTENTE TECNICO DE INTERCAMBIO DE TARJETAS</t>
        </is>
      </c>
      <c r="D62" s="5" t="inlineStr">
        <is>
          <t>DEPARTAMENTO DE TARJETA DE CREDITO Y DEBITO</t>
        </is>
      </c>
      <c r="E62" s="5" t="inlineStr">
        <is>
          <t>Gerencia de Operaciones</t>
        </is>
      </c>
    </row>
    <row r="63">
      <c r="A63" s="5" t="inlineStr">
        <is>
          <t xml:space="preserve">GEOVANNI LIZAMA PORTILLO </t>
        </is>
      </c>
      <c r="B63" s="4" t="inlineStr">
        <is>
          <t>399</t>
        </is>
      </c>
      <c r="C63" s="5" t="inlineStr">
        <is>
          <t>JEFE DE TARJETA  DE CREDITO Y DEBITO</t>
        </is>
      </c>
      <c r="D63" s="5" t="inlineStr">
        <is>
          <t>DEPARTAMENTO DE TARJETA DE CREDITO Y DEBITO</t>
        </is>
      </c>
      <c r="E63" s="5" t="inlineStr">
        <is>
          <t>Gerencia de Operaciones</t>
        </is>
      </c>
    </row>
    <row r="64">
      <c r="A64" s="5" t="inlineStr">
        <is>
          <t xml:space="preserve">ROQUE RAFAEL REYES ESPINAL </t>
        </is>
      </c>
      <c r="B64" s="4" t="inlineStr">
        <is>
          <t>41</t>
        </is>
      </c>
      <c r="C64" s="5" t="inlineStr">
        <is>
          <t>GERENTE DE OPERACIONES</t>
        </is>
      </c>
      <c r="D64" s="5" t="inlineStr">
        <is>
          <t>GERENCIA DE OPERACIONES</t>
        </is>
      </c>
      <c r="E64" s="5" t="inlineStr">
        <is>
          <t>Gerencia de Operaciones</t>
        </is>
      </c>
    </row>
    <row r="65">
      <c r="A65" s="5" t="inlineStr">
        <is>
          <t>ALEJANDRA VERONICA CENTENO  LOPEZ</t>
        </is>
      </c>
      <c r="B65" s="4" t="inlineStr">
        <is>
          <t>899</t>
        </is>
      </c>
      <c r="C65" s="5" t="inlineStr">
        <is>
          <t xml:space="preserve">ANALISTA PROGRAMADOR </t>
        </is>
      </c>
      <c r="D65" s="5" t="inlineStr">
        <is>
          <t>DEPARTAMENTO DE ANALISIS Y PROGRAMACIÓN</t>
        </is>
      </c>
      <c r="E65" s="5" t="inlineStr">
        <is>
          <t>Gerencia de Sistemas</t>
        </is>
      </c>
    </row>
    <row r="66">
      <c r="A66" s="5" t="inlineStr">
        <is>
          <t xml:space="preserve">HUGO MARVIN SERRANO SARAVIA </t>
        </is>
      </c>
      <c r="B66" s="4" t="inlineStr">
        <is>
          <t>90</t>
        </is>
      </c>
      <c r="C66" s="5" t="inlineStr">
        <is>
          <t>OPERADOR DE SISTEMAS</t>
        </is>
      </c>
      <c r="D66" s="5" t="inlineStr">
        <is>
          <t>DEPARTAMENTO DE OPERACIONES Y SOPORTE TECNICO</t>
        </is>
      </c>
      <c r="E66" s="5" t="inlineStr">
        <is>
          <t>Gerencia de Sistemas</t>
        </is>
      </c>
    </row>
    <row r="67">
      <c r="A67" s="5" t="inlineStr">
        <is>
          <t xml:space="preserve">ALEX VIRGILIO  AGUILAR ARIAS  </t>
        </is>
      </c>
      <c r="B67" s="4" t="inlineStr">
        <is>
          <t>878</t>
        </is>
      </c>
      <c r="C67" s="5" t="inlineStr">
        <is>
          <t>GERENTE DE SISTEMAS</t>
        </is>
      </c>
      <c r="D67" s="5" t="inlineStr">
        <is>
          <t>GERENCIA DE SISTEMAS</t>
        </is>
      </c>
      <c r="E67" s="5" t="inlineStr">
        <is>
          <t>Gerencia de Sistemas</t>
        </is>
      </c>
    </row>
  </sheetData>
  <autoFilter ref="A4:E6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6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44" customWidth="1" min="3" max="3"/>
    <col width="32" customWidth="1" min="4" max="4"/>
    <col width="11" customWidth="1" min="5" max="5"/>
    <col width="19" customWidth="1" min="6" max="6"/>
    <col width="19" customWidth="1" min="7" max="7"/>
    <col width="14" customWidth="1" min="8" max="8"/>
    <col width="8" customWidth="1" min="9" max="9"/>
    <col width="16" customWidth="1" min="10" max="10"/>
  </cols>
  <sheetData>
    <row r="1">
      <c r="A1" s="1" t="inlineStr">
        <is>
          <t>HISTORIAL DE INTENTOS — COLABORADORES QUE REALIZARON EL EXAMEN MÁS DE UNA VEZ</t>
        </is>
      </c>
    </row>
    <row r="2">
      <c r="A2" s="2" t="inlineStr">
        <is>
          <t>Se considera la NOTA MÁS ALTA de cada colaborador (si hay empate, el primer intento con esa nota).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Departamento</t>
        </is>
      </c>
      <c r="D4" s="3" t="inlineStr">
        <is>
          <t>Gerencia</t>
        </is>
      </c>
      <c r="E4" s="3" t="inlineStr">
        <is>
          <t>Intento N°</t>
        </is>
      </c>
      <c r="F4" s="3" t="inlineStr">
        <is>
          <t>Hora de inicio</t>
        </is>
      </c>
      <c r="G4" s="3" t="inlineStr">
        <is>
          <t>Hora de finalización</t>
        </is>
      </c>
      <c r="H4" s="3" t="inlineStr">
        <is>
          <t>Duración (min)</t>
        </is>
      </c>
      <c r="I4" s="3" t="inlineStr">
        <is>
          <t>Nota</t>
        </is>
      </c>
      <c r="J4" s="3" t="inlineStr">
        <is>
          <t>Nota considerada</t>
        </is>
      </c>
    </row>
    <row r="5">
      <c r="A5" s="5" t="inlineStr">
        <is>
          <t>830</t>
        </is>
      </c>
      <c r="B5" s="5" t="inlineStr">
        <is>
          <t>GERMAN ALBERTO  CAMPOS TORRES</t>
        </is>
      </c>
      <c r="C5" s="5" t="inlineStr">
        <is>
          <t>DEPARTAMENTO DE SERVICIOS GENERALES</t>
        </is>
      </c>
      <c r="D5" s="5" t="inlineStr">
        <is>
          <t>Gerencia Administrativa</t>
        </is>
      </c>
      <c r="E5" s="5" t="n">
        <v>1</v>
      </c>
      <c r="F5" s="96" t="n">
        <v>46300.39452546297</v>
      </c>
      <c r="G5" s="96" t="n">
        <v>46300.39962962963</v>
      </c>
      <c r="H5" s="97" t="n">
        <v>7.3</v>
      </c>
      <c r="I5" s="5" t="n">
        <v>95</v>
      </c>
      <c r="J5" s="5" t="inlineStr"/>
    </row>
    <row r="6">
      <c r="A6" s="5" t="inlineStr">
        <is>
          <t>830</t>
        </is>
      </c>
      <c r="B6" s="5" t="inlineStr">
        <is>
          <t>GERMAN ALBERTO  CAMPOS TORRES</t>
        </is>
      </c>
      <c r="C6" s="5" t="inlineStr">
        <is>
          <t>DEPARTAMENTO DE SERVICIOS GENERALES</t>
        </is>
      </c>
      <c r="D6" s="5" t="inlineStr">
        <is>
          <t>Gerencia Administrativa</t>
        </is>
      </c>
      <c r="E6" s="5" t="n">
        <v>2</v>
      </c>
      <c r="F6" s="96" t="n">
        <v>46307.39894675926</v>
      </c>
      <c r="G6" s="96" t="n">
        <v>46307.40229166667</v>
      </c>
      <c r="H6" s="97" t="n">
        <v>4.8</v>
      </c>
      <c r="I6" s="5" t="n">
        <v>100</v>
      </c>
      <c r="J6" s="5" t="inlineStr">
        <is>
          <t>Sí</t>
        </is>
      </c>
    </row>
    <row r="7">
      <c r="A7" s="5" t="inlineStr">
        <is>
          <t>430</t>
        </is>
      </c>
      <c r="B7" s="5" t="inlineStr">
        <is>
          <t>MARIO ROSALES VASQUEZ</t>
        </is>
      </c>
      <c r="C7" s="5" t="inlineStr">
        <is>
          <t>DEPARTAMENTO DE SERVICIOS GENERALES</t>
        </is>
      </c>
      <c r="D7" s="5" t="inlineStr">
        <is>
          <t>Gerencia Administrativa</t>
        </is>
      </c>
      <c r="E7" s="5" t="n">
        <v>1</v>
      </c>
      <c r="F7" s="96" t="n">
        <v>46298.33667824074</v>
      </c>
      <c r="G7" s="96" t="n">
        <v>46298.34488425926</v>
      </c>
      <c r="H7" s="97" t="n">
        <v>11.8</v>
      </c>
      <c r="I7" s="5" t="n">
        <v>40</v>
      </c>
      <c r="J7" s="5" t="inlineStr"/>
    </row>
    <row r="8">
      <c r="A8" s="5" t="inlineStr">
        <is>
          <t>430</t>
        </is>
      </c>
      <c r="B8" s="5" t="inlineStr">
        <is>
          <t>MARIO ROSALES VASQUEZ</t>
        </is>
      </c>
      <c r="C8" s="5" t="inlineStr">
        <is>
          <t>DEPARTAMENTO DE SERVICIOS GENERALES</t>
        </is>
      </c>
      <c r="D8" s="5" t="inlineStr">
        <is>
          <t>Gerencia Administrativa</t>
        </is>
      </c>
      <c r="E8" s="5" t="n">
        <v>2</v>
      </c>
      <c r="F8" s="96" t="n">
        <v>46300.39993055556</v>
      </c>
      <c r="G8" s="96" t="n">
        <v>46300.40560185185</v>
      </c>
      <c r="H8" s="97" t="n">
        <v>8.199999999999999</v>
      </c>
      <c r="I8" s="5" t="n">
        <v>100</v>
      </c>
      <c r="J8" s="5" t="inlineStr">
        <is>
          <t>Sí</t>
        </is>
      </c>
    </row>
    <row r="9">
      <c r="A9" s="5" t="inlineStr">
        <is>
          <t>776</t>
        </is>
      </c>
      <c r="B9" s="5" t="inlineStr">
        <is>
          <t>DIEGO GERARDO GUANDIQUE TORRES</t>
        </is>
      </c>
      <c r="C9" s="5" t="inlineStr">
        <is>
          <t>AGENCIA SAN  MIGUEL</t>
        </is>
      </c>
      <c r="D9" s="5" t="inlineStr">
        <is>
          <t>Gerencia de Negocios</t>
        </is>
      </c>
      <c r="E9" s="5" t="n">
        <v>1</v>
      </c>
      <c r="F9" s="96" t="n">
        <v>46296.44304398148</v>
      </c>
      <c r="G9" s="96" t="n">
        <v>46296.44540509259</v>
      </c>
      <c r="H9" s="97" t="n">
        <v>3.4</v>
      </c>
      <c r="I9" s="5" t="n">
        <v>100</v>
      </c>
      <c r="J9" s="5" t="inlineStr">
        <is>
          <t>Sí</t>
        </is>
      </c>
    </row>
    <row r="10">
      <c r="A10" s="5" t="inlineStr">
        <is>
          <t>776</t>
        </is>
      </c>
      <c r="B10" s="5" t="inlineStr">
        <is>
          <t>DIEGO GERARDO GUANDIQUE TORRES</t>
        </is>
      </c>
      <c r="C10" s="5" t="inlineStr">
        <is>
          <t>AGENCIA SAN  MIGUEL</t>
        </is>
      </c>
      <c r="D10" s="5" t="inlineStr">
        <is>
          <t>Gerencia de Negocios</t>
        </is>
      </c>
      <c r="E10" s="5" t="n">
        <v>2</v>
      </c>
      <c r="F10" s="96" t="n">
        <v>46308.46075231482</v>
      </c>
      <c r="G10" s="96" t="n">
        <v>46308.46273148148</v>
      </c>
      <c r="H10" s="97" t="n">
        <v>2.9</v>
      </c>
      <c r="I10" s="5" t="n">
        <v>100</v>
      </c>
      <c r="J10" s="5" t="inlineStr"/>
    </row>
    <row r="11">
      <c r="A11" s="5" t="inlineStr">
        <is>
          <t>456</t>
        </is>
      </c>
      <c r="B11" s="5" t="inlineStr">
        <is>
          <t>LUCIANO DE JESUS SARAVIA BELTRAN</t>
        </is>
      </c>
      <c r="C11" s="5" t="inlineStr">
        <is>
          <t>AGENCIA USULUTAN</t>
        </is>
      </c>
      <c r="D11" s="5" t="inlineStr">
        <is>
          <t>Gerencia de Negocios</t>
        </is>
      </c>
      <c r="E11" s="5" t="n">
        <v>1</v>
      </c>
      <c r="F11" s="96" t="n">
        <v>46301.48697916666</v>
      </c>
      <c r="G11" s="96" t="n">
        <v>46301.49184027778</v>
      </c>
      <c r="H11" s="97" t="n">
        <v>7</v>
      </c>
      <c r="I11" s="5" t="n">
        <v>80</v>
      </c>
      <c r="J11" s="5" t="inlineStr"/>
    </row>
    <row r="12">
      <c r="A12" s="5" t="inlineStr">
        <is>
          <t>456</t>
        </is>
      </c>
      <c r="B12" s="5" t="inlineStr">
        <is>
          <t>LUCIANO DE JESUS SARAVIA BELTRAN</t>
        </is>
      </c>
      <c r="C12" s="5" t="inlineStr">
        <is>
          <t>AGENCIA USULUTAN</t>
        </is>
      </c>
      <c r="D12" s="5" t="inlineStr">
        <is>
          <t>Gerencia de Negocios</t>
        </is>
      </c>
      <c r="E12" s="5" t="n">
        <v>2</v>
      </c>
      <c r="F12" s="96" t="n">
        <v>46301.5078587963</v>
      </c>
      <c r="G12" s="96" t="n">
        <v>46301.51369212963</v>
      </c>
      <c r="H12" s="97" t="n">
        <v>8.4</v>
      </c>
      <c r="I12" s="5" t="n">
        <v>100</v>
      </c>
      <c r="J12" s="5" t="inlineStr">
        <is>
          <t>Sí</t>
        </is>
      </c>
    </row>
    <row r="13">
      <c r="A13" s="5" t="inlineStr">
        <is>
          <t>894</t>
        </is>
      </c>
      <c r="B13" s="5" t="inlineStr">
        <is>
          <t>HENRY OSWALDO PINEDA GARCIA</t>
        </is>
      </c>
      <c r="C13" s="5" t="inlineStr">
        <is>
          <t>DEPARTAMENTO DE SEGUROS</t>
        </is>
      </c>
      <c r="D13" s="5" t="inlineStr">
        <is>
          <t>Gerencia de Negocios</t>
        </is>
      </c>
      <c r="E13" s="5" t="n">
        <v>1</v>
      </c>
      <c r="F13" s="96" t="n">
        <v>46296.42641203704</v>
      </c>
      <c r="G13" s="96" t="n">
        <v>46296.431875</v>
      </c>
      <c r="H13" s="97" t="n">
        <v>7.9</v>
      </c>
      <c r="I13" s="5" t="n">
        <v>100</v>
      </c>
      <c r="J13" s="5" t="inlineStr">
        <is>
          <t>Sí</t>
        </is>
      </c>
    </row>
    <row r="14">
      <c r="A14" s="5" t="inlineStr">
        <is>
          <t>894</t>
        </is>
      </c>
      <c r="B14" s="5" t="inlineStr">
        <is>
          <t>HENRY OSWALDO PINEDA GARCIA</t>
        </is>
      </c>
      <c r="C14" s="5" t="inlineStr">
        <is>
          <t>DEPARTAMENTO DE SEGUROS</t>
        </is>
      </c>
      <c r="D14" s="5" t="inlineStr">
        <is>
          <t>Gerencia de Negocios</t>
        </is>
      </c>
      <c r="E14" s="5" t="n">
        <v>2</v>
      </c>
      <c r="F14" s="96" t="n">
        <v>46309.38635416667</v>
      </c>
      <c r="G14" s="96" t="n">
        <v>46309.38825231481</v>
      </c>
      <c r="H14" s="97" t="n">
        <v>2.7</v>
      </c>
      <c r="I14" s="5" t="n">
        <v>100</v>
      </c>
      <c r="J14" s="5" t="inlineStr"/>
    </row>
    <row r="15">
      <c r="A15" s="5" t="inlineStr">
        <is>
          <t>633</t>
        </is>
      </c>
      <c r="B15" s="5" t="inlineStr">
        <is>
          <t>VICTOR ADONAY PEREZ CASTILLO</t>
        </is>
      </c>
      <c r="C15" s="5" t="inlineStr">
        <is>
          <t>GERENCIA DE NEGOCIOS</t>
        </is>
      </c>
      <c r="D15" s="5" t="inlineStr">
        <is>
          <t>Gerencia de Negocios</t>
        </is>
      </c>
      <c r="E15" s="5" t="n">
        <v>1</v>
      </c>
      <c r="F15" s="96" t="n">
        <v>46296.45108796296</v>
      </c>
      <c r="G15" s="96" t="n">
        <v>46296.45368055555</v>
      </c>
      <c r="H15" s="97" t="n">
        <v>3.7</v>
      </c>
      <c r="I15" s="5" t="n">
        <v>100</v>
      </c>
      <c r="J15" s="5" t="inlineStr">
        <is>
          <t>Sí</t>
        </is>
      </c>
    </row>
    <row r="16">
      <c r="A16" s="5" t="inlineStr">
        <is>
          <t>633</t>
        </is>
      </c>
      <c r="B16" s="5" t="inlineStr">
        <is>
          <t>VICTOR ADONAY PEREZ CASTILLO</t>
        </is>
      </c>
      <c r="C16" s="5" t="inlineStr">
        <is>
          <t>GERENCIA DE NEGOCIOS</t>
        </is>
      </c>
      <c r="D16" s="5" t="inlineStr">
        <is>
          <t>Gerencia de Negocios</t>
        </is>
      </c>
      <c r="E16" s="5" t="n">
        <v>2</v>
      </c>
      <c r="F16" s="96" t="n">
        <v>46304.37530092592</v>
      </c>
      <c r="G16" s="96" t="n">
        <v>46304.37832175926</v>
      </c>
      <c r="H16" s="97" t="n">
        <v>4.3</v>
      </c>
      <c r="I16" s="5" t="n">
        <v>100</v>
      </c>
      <c r="J16" s="5" t="inlineStr"/>
    </row>
  </sheetData>
  <autoFilter ref="A4:J16"/>
  <conditionalFormatting sqref="A5:J16">
    <cfRule type="expression" priority="1" dxfId="4">
      <formula>$J5="Sí"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297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7</v>
      </c>
      <c r="D5">
        <f>IF($A5="","",'Consolidado por Gerencia'!D5)</f>
        <v>0</v>
      </c>
      <c r="E5">
        <f>IF($A5="","",IF(B5&gt;0,C5/B5,0))</f>
        <v>1</v>
      </c>
      <c r="F5">
        <f>IF($A5="","",E5*1000000+B5*10+(100-ROW())/1000)</f>
        <v>1000070.095</v>
      </c>
      <c r="G5">
        <f>IF($A5="","",D5*1000+(100-ROW())/1000)</f>
        <v>0.095</v>
      </c>
      <c r="I5" t="n">
        <v>1</v>
      </c>
      <c r="J5">
        <f>IF(I5&gt;COUNT($F$5:$F$14),"",MATCH(LARGE($F$5:$F$14,I5),$F$5:$F$14,0))</f>
        <v>4</v>
      </c>
      <c r="K5" t="str">
        <f>IF(J5="","",INDEX($A$5:$A$14,J5)&amp;"   "&amp;TEXT(INDEX($E$5:$E$14,J5),"0%"))</f>
        <v>Gerencia Legal y Cumplimiento Normativo   100%</v>
      </c>
      <c r="L5">
        <f>IF(J5="","",INDEX($C$5:$C$14,J5))</f>
        <v>9</v>
      </c>
      <c r="M5">
        <f>IF(J5="","",INDEX($D$5:$D$14,J5))</f>
        <v>0</v>
      </c>
      <c r="P5">
        <f>IF(I5&gt;COUNT($G$5:$G$14),"",MATCH(LARGE($G$5:$G$14,I5),$G$5:$G$14,0))</f>
        <v>6</v>
      </c>
      <c r="Q5" t="str">
        <f>IF(P5="","",INDEX($A$5:$A$14,P5))</f>
        <v>Gerencia de Negocios</v>
      </c>
      <c r="R5">
        <f>IF(P5="","",INDEX($D$5:$D$14,P5))</f>
        <v>47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>
        <f>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individual'!F5="Completado",3000000,0)+COUNTIF('Detalle individual'!$C$5:$C$297,"&lt;"&amp;'Detalle individual'!C5)*1000+ROW(),"")</f>
        <v>272005</v>
      </c>
    </row>
    <row r="6">
      <c r="A6" t="str">
        <f>IF('Consolidado por Gerencia'!A6="","",'Consolidado por Gerencia'!A6)</f>
        <v>Gerencia Administrativa</v>
      </c>
      <c r="B6">
        <f>IF($A6="","",'Consolidado por Gerencia'!B6)</f>
        <v>35</v>
      </c>
      <c r="C6">
        <f>IF($A6="","",'Consolidado por Gerencia'!C6)</f>
        <v>32</v>
      </c>
      <c r="D6">
        <f>IF($A6="","",'Consolidado por Gerencia'!D6)</f>
        <v>3</v>
      </c>
      <c r="E6">
        <f>IF($A6="","",IF(B6&gt;0,C6/B6,0))</f>
        <v>0.914285714285714</v>
      </c>
      <c r="F6">
        <f>IF($A6="","",E6*1000000+B6*10+(100-ROW())/1000)</f>
        <v>914635.808285714</v>
      </c>
      <c r="G6">
        <f>IF($A6="","",D6*1000+(100-ROW())/1000)</f>
        <v>3000.094</v>
      </c>
      <c r="I6" t="n">
        <v>2</v>
      </c>
      <c r="J6">
        <f>IF(I6&gt;COUNT($F$5:$F$14),"",MATCH(LARGE($F$5:$F$14,I6),$F$5:$F$14,0))</f>
        <v>1</v>
      </c>
      <c r="K6" t="str">
        <f>IF(J6="","",INDEX($A$5:$A$14,J6)&amp;"   "&amp;TEXT(INDEX($E$5:$E$14,J6),"0%"))</f>
        <v>Auditoría Interna   100%</v>
      </c>
      <c r="L6">
        <f>IF(J6="","",INDEX($C$5:$C$14,J6))</f>
        <v>7</v>
      </c>
      <c r="M6">
        <f>IF(J6="","",INDEX($D$5:$D$14,J6))</f>
        <v>0</v>
      </c>
      <c r="P6">
        <f>IF(I6&gt;COUNT($G$5:$G$14),"",MATCH(LARGE($G$5:$G$14,I6),$G$5:$G$14,0))</f>
        <v>8</v>
      </c>
      <c r="Q6" t="str">
        <f>IF(P6="","",INDEX($A$5:$A$14,P6))</f>
        <v>Gerencia de Operaciones</v>
      </c>
      <c r="R6">
        <f>IF(P6="","",INDEX($D$5:$D$14,P6))</f>
        <v>5</v>
      </c>
      <c r="V6" t="str">
        <f>A5</f>
        <v>Auditoría Interna</v>
      </c>
      <c r="W6" t="str">
        <f>A20</f>
        <v>ADMINISTRACION DE BASE DE DATOS</v>
      </c>
      <c r="X6" t="inlineStr">
        <is>
          <t>Completado</t>
        </is>
      </c>
      <c r="Z6">
        <f>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individual'!F6="Completado",3000000,0)+COUNTIF('Detalle individual'!$C$5:$C$297,"&lt;"&amp;'Detalle individual'!C6)*1000+ROW(),"")</f>
        <v>3259006</v>
      </c>
    </row>
    <row r="7">
      <c r="A7" t="str">
        <f>IF('Consolidado por Gerencia'!A7="","",'Consolidado por Gerencia'!A7)</f>
        <v>Gerencia General</v>
      </c>
      <c r="B7">
        <f>IF($A7="","",'Consolidado por Gerencia'!B7)</f>
        <v>13</v>
      </c>
      <c r="C7">
        <f>IF($A7="","",'Consolidado por Gerencia'!C7)</f>
        <v>12</v>
      </c>
      <c r="D7">
        <f>IF($A7="","",'Consolidado por Gerencia'!D7)</f>
        <v>1</v>
      </c>
      <c r="E7">
        <f>IF($A7="","",IF(B7&gt;0,C7/B7,0))</f>
        <v>0.923076923076923</v>
      </c>
      <c r="F7">
        <f>IF($A7="","",E7*1000000+B7*10+(100-ROW())/1000)</f>
        <v>923207.016076923</v>
      </c>
      <c r="G7">
        <f>IF($A7="","",D7*1000+(100-ROW())/1000)</f>
        <v>1000.093</v>
      </c>
      <c r="I7" t="n">
        <v>3</v>
      </c>
      <c r="J7">
        <f>IF(I7&gt;COUNT($F$5:$F$14),"",MATCH(LARGE($F$5:$F$14,I7),$F$5:$F$14,0))</f>
        <v>7</v>
      </c>
      <c r="K7" t="str">
        <f>IF(J7="","",INDEX($A$5:$A$14,J7)&amp;"   "&amp;TEXT(INDEX($E$5:$E$14,J7),"0%"))</f>
        <v>Gerencia de Oficialía de Cumplimiento   100%</v>
      </c>
      <c r="L7">
        <f>IF(J7="","",INDEX($C$5:$C$14,J7))</f>
        <v>7</v>
      </c>
      <c r="M7">
        <f>IF(J7="","",INDEX($D$5:$D$14,J7))</f>
        <v>0</v>
      </c>
      <c r="P7">
        <f>IF(I7&gt;COUNT($G$5:$G$14),"",MATCH(LARGE($G$5:$G$14,I7),$G$5:$G$14,0))</f>
        <v>5</v>
      </c>
      <c r="Q7" t="str">
        <f>IF(P7="","",INDEX($A$5:$A$14,P7))</f>
        <v>Gerencia de Finanzas y Planificación</v>
      </c>
      <c r="R7">
        <f>IF(P7="","",INDEX($D$5:$D$14,P7))</f>
        <v>4</v>
      </c>
      <c r="V7" t="str">
        <f>A6</f>
        <v>Gerencia Administrativa</v>
      </c>
      <c r="W7" t="str">
        <f>A21</f>
        <v>ADMINISTRACION DE RIESGOS</v>
      </c>
      <c r="X7" t="inlineStr">
        <is>
          <t>Pendiente</t>
        </is>
      </c>
      <c r="Z7">
        <f>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individual'!F7="Completado",3000000,0)+COUNTIF('Detalle individual'!$C$5:$C$297,"&lt;"&amp;'Detalle individual'!C7)*1000+ROW(),"")</f>
        <v>267007</v>
      </c>
    </row>
    <row r="8">
      <c r="A8" t="str">
        <f>IF('Consolidado por Gerencia'!A8="","",'Consolidado por Gerencia'!A8)</f>
        <v>Gerencia Legal y Cumplimiento Normativo</v>
      </c>
      <c r="B8">
        <f>IF($A8="","",'Consolidado por Gerencia'!B8)</f>
        <v>9</v>
      </c>
      <c r="C8">
        <f>IF($A8="","",'Consolidado por Gerencia'!C8)</f>
        <v>9</v>
      </c>
      <c r="D8">
        <f>IF($A8="","",'Consolidado por Gerencia'!D8)</f>
        <v>0</v>
      </c>
      <c r="E8">
        <f>IF($A8="","",IF(B8&gt;0,C8/B8,0))</f>
        <v>1</v>
      </c>
      <c r="F8">
        <f>IF($A8="","",E8*1000000+B8*10+(100-ROW())/1000)</f>
        <v>1000090.092</v>
      </c>
      <c r="G8">
        <f>IF($A8="","",D8*1000+(100-ROW())/1000)</f>
        <v>0.092</v>
      </c>
      <c r="I8" t="n">
        <v>4</v>
      </c>
      <c r="J8">
        <f>IF(I8&gt;COUNT($F$5:$F$14),"",MATCH(LARGE($F$5:$F$14,I8),$F$5:$F$14,0))</f>
        <v>10</v>
      </c>
      <c r="K8" t="str">
        <f>IF(J8="","",INDEX($A$5:$A$14,J8)&amp;"   "&amp;TEXT(INDEX($E$5:$E$14,J8),"0%"))</f>
        <v>Consejo de Administración   100%</v>
      </c>
      <c r="L8">
        <f>IF(J8="","",INDEX($C$5:$C$14,J8))</f>
        <v>1</v>
      </c>
      <c r="M8">
        <f>IF(J8="","",INDEX($D$5:$D$14,J8))</f>
        <v>0</v>
      </c>
      <c r="P8">
        <f>IF(I8&gt;COUNT($G$5:$G$14),"",MATCH(LARGE($G$5:$G$14,I8),$G$5:$G$14,0))</f>
        <v>2</v>
      </c>
      <c r="Q8" t="str">
        <f>IF(P8="","",INDEX($A$5:$A$14,P8))</f>
        <v>Gerencia Administrativa</v>
      </c>
      <c r="R8">
        <f>IF(P8="","",INDEX($D$5:$D$14,P8))</f>
        <v>3</v>
      </c>
      <c r="V8" t="str">
        <f>A7</f>
        <v>Gerencia General</v>
      </c>
      <c r="W8" t="str">
        <f>A22</f>
        <v>ADMINISTRACIÓN DE CARTERAS</v>
      </c>
      <c r="Z8">
        <f>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individual'!F8="Completado",3000000,0)+COUNTIF('Detalle individual'!$C$5:$C$297,"&lt;"&amp;'Detalle individual'!C8)*1000+ROW(),"")</f>
        <v>3261008</v>
      </c>
    </row>
    <row r="9">
      <c r="A9" t="str">
        <f>IF('Consolidado por Gerencia'!A9="","",'Consolidado por Gerencia'!A9)</f>
        <v>Gerencia de Finanzas y Planificación</v>
      </c>
      <c r="B9">
        <f>IF($A9="","",'Consolidado por Gerencia'!B9)</f>
        <v>18</v>
      </c>
      <c r="C9">
        <f>IF($A9="","",'Consolidado por Gerencia'!C9)</f>
        <v>14</v>
      </c>
      <c r="D9">
        <f>IF($A9="","",'Consolidado por Gerencia'!D9)</f>
        <v>4</v>
      </c>
      <c r="E9">
        <f>IF($A9="","",IF(B9&gt;0,C9/B9,0))</f>
        <v>0.777777777777778</v>
      </c>
      <c r="F9">
        <f>IF($A9="","",E9*1000000+B9*10+(100-ROW())/1000)</f>
        <v>777957.868777778</v>
      </c>
      <c r="G9">
        <f>IF($A9="","",D9*1000+(100-ROW())/1000)</f>
        <v>4000.091</v>
      </c>
      <c r="I9" t="n">
        <v>5</v>
      </c>
      <c r="J9">
        <f>IF(I9&gt;COUNT($F$5:$F$14),"",MATCH(LARGE($F$5:$F$14,I9),$F$5:$F$14,0))</f>
        <v>3</v>
      </c>
      <c r="K9" t="str">
        <f>IF(J9="","",INDEX($A$5:$A$14,J9)&amp;"   "&amp;TEXT(INDEX($E$5:$E$14,J9),"0%"))</f>
        <v>Gerencia General   92%</v>
      </c>
      <c r="L9">
        <f>IF(J9="","",INDEX($C$5:$C$14,J9))</f>
        <v>12</v>
      </c>
      <c r="M9">
        <f>IF(J9="","",INDEX($D$5:$D$14,J9))</f>
        <v>1</v>
      </c>
      <c r="P9">
        <f>IF(I9&gt;COUNT($G$5:$G$14),"",MATCH(LARGE($G$5:$G$14,I9),$G$5:$G$14,0))</f>
        <v>9</v>
      </c>
      <c r="Q9" t="str">
        <f>IF(P9="","",INDEX($A$5:$A$14,P9))</f>
        <v>Gerencia de Sistemas</v>
      </c>
      <c r="R9">
        <f>IF(P9="","",INDEX($D$5:$D$14,P9))</f>
        <v>3</v>
      </c>
      <c r="V9" t="str">
        <f>A8</f>
        <v>Gerencia Legal y Cumplimiento Normativo</v>
      </c>
      <c r="W9" t="str">
        <f>A23</f>
        <v>AGENCIA CENTRAL</v>
      </c>
      <c r="Z9">
        <f>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individual'!F9="Completado",3000000,0)+COUNTIF('Detalle individual'!$C$5:$C$297,"&lt;"&amp;'Detalle individual'!C9)*1000+ROW(),"")</f>
        <v>268009</v>
      </c>
    </row>
    <row r="10">
      <c r="A10" t="str">
        <f>IF('Consolidado por Gerencia'!A10="","",'Consolidado por Gerencia'!A10)</f>
        <v>Gerencia de Negocios</v>
      </c>
      <c r="B10">
        <f>IF($A10="","",'Consolidado por Gerencia'!B10)</f>
        <v>154</v>
      </c>
      <c r="C10">
        <f>IF($A10="","",'Consolidado por Gerencia'!C10)</f>
        <v>107</v>
      </c>
      <c r="D10">
        <f>IF($A10="","",'Consolidado por Gerencia'!D10)</f>
        <v>47</v>
      </c>
      <c r="E10">
        <f>IF($A10="","",IF(B10&gt;0,C10/B10,0))</f>
        <v>0.694805194805195</v>
      </c>
      <c r="F10">
        <f>IF($A10="","",E10*1000000+B10*10+(100-ROW())/1000)</f>
        <v>696345.284805195</v>
      </c>
      <c r="G10">
        <f>IF($A10="","",D10*1000+(100-ROW())/1000)</f>
        <v>47000.09</v>
      </c>
      <c r="I10" t="n">
        <v>6</v>
      </c>
      <c r="J10">
        <f>IF(I10&gt;COUNT($F$5:$F$14),"",MATCH(LARGE($F$5:$F$14,I10),$F$5:$F$14,0))</f>
        <v>2</v>
      </c>
      <c r="K10" t="str">
        <f>IF(J10="","",INDEX($A$5:$A$14,J10)&amp;"   "&amp;TEXT(INDEX($E$5:$E$14,J10),"0%"))</f>
        <v>Gerencia Administrativa   91%</v>
      </c>
      <c r="L10">
        <f>IF(J10="","",INDEX($C$5:$C$14,J10))</f>
        <v>32</v>
      </c>
      <c r="M10">
        <f>IF(J10="","",INDEX($D$5:$D$14,J10))</f>
        <v>3</v>
      </c>
      <c r="P10">
        <f>IF(I10&gt;COUNT($G$5:$G$14),"",MATCH(LARGE($G$5:$G$14,I10),$G$5:$G$14,0))</f>
        <v>3</v>
      </c>
      <c r="Q10" t="str">
        <f>IF(P10="","",INDEX($A$5:$A$14,P10))</f>
        <v>Gerencia General</v>
      </c>
      <c r="R10">
        <f>IF(P10="","",INDEX($D$5:$D$14,P10))</f>
        <v>1</v>
      </c>
      <c r="V10" t="str">
        <f>A9</f>
        <v>Gerencia de Finanzas y Planificación</v>
      </c>
      <c r="W10" t="str">
        <f>A24</f>
        <v>AGENCIA COLEGIO MEDICO</v>
      </c>
      <c r="Z10">
        <f>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individual'!F10="Completado",3000000,0)+COUNTIF('Detalle individual'!$C$5:$C$297,"&lt;"&amp;'Detalle individual'!C10)*1000+ROW(),"")</f>
        <v>3275010</v>
      </c>
    </row>
    <row r="11">
      <c r="A11" t="str">
        <f>IF('Consolidado por Gerencia'!A11="","",'Consolidado por Gerencia'!A11)</f>
        <v>Gerencia de Oficialía de Cumplimiento</v>
      </c>
      <c r="B11">
        <f>IF($A11="","",'Consolidado por Gerencia'!B11)</f>
        <v>7</v>
      </c>
      <c r="C11">
        <f>IF($A11="","",'Consolidado por Gerencia'!C11)</f>
        <v>7</v>
      </c>
      <c r="D11">
        <f>IF($A11="","",'Consolidado por Gerencia'!D11)</f>
        <v>0</v>
      </c>
      <c r="E11">
        <f>IF($A11="","",IF(B11&gt;0,C11/B11,0))</f>
        <v>1</v>
      </c>
      <c r="F11">
        <f>IF($A11="","",E11*1000000+B11*10+(100-ROW())/1000)</f>
        <v>1000070.089</v>
      </c>
      <c r="G11">
        <f>IF($A11="","",D11*1000+(100-ROW())/1000)</f>
        <v>0.089</v>
      </c>
      <c r="I11" t="n">
        <v>7</v>
      </c>
      <c r="J11">
        <f>IF(I11&gt;COUNT($F$5:$F$14),"",MATCH(LARGE($F$5:$F$14,I11),$F$5:$F$14,0))</f>
        <v>9</v>
      </c>
      <c r="K11" t="str">
        <f>IF(J11="","",INDEX($A$5:$A$14,J11)&amp;"   "&amp;TEXT(INDEX($E$5:$E$14,J11),"0%"))</f>
        <v>Gerencia de Sistemas   87%</v>
      </c>
      <c r="L11">
        <f>IF(J11="","",INDEX($C$5:$C$14,J11))</f>
        <v>20</v>
      </c>
      <c r="M11">
        <f>IF(J11="","",INDEX($D$5:$D$14,J11))</f>
        <v>3</v>
      </c>
      <c r="P11">
        <f>IF(I11&gt;COUNT($G$5:$G$14),"",MATCH(LARGE($G$5:$G$14,I11),$G$5:$G$14,0))</f>
        <v>1</v>
      </c>
      <c r="Q11" t="str">
        <f>IF(P11="","",INDEX($A$5:$A$14,P11))</f>
        <v>Auditoría Interna</v>
      </c>
      <c r="R11">
        <f>IF(P11="","",INDEX($D$5:$D$14,P11))</f>
        <v>0</v>
      </c>
      <c r="V11" t="str">
        <f>A10</f>
        <v>Gerencia de Negocios</v>
      </c>
      <c r="W11" t="str">
        <f>A25</f>
        <v>AGENCIA COLONIA MEDICA</v>
      </c>
      <c r="Z11">
        <f>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individual'!F11="Completado",3000000,0)+COUNTIF('Detalle individual'!$C$5:$C$297,"&lt;"&amp;'Detalle individual'!C11)*1000+ROW(),"")</f>
        <v>263011</v>
      </c>
    </row>
    <row r="12">
      <c r="A12" t="str">
        <f>IF('Consolidado por Gerencia'!A12="","",'Consolidado por Gerencia'!A12)</f>
        <v>Gerencia de Operaciones</v>
      </c>
      <c r="B12">
        <f>IF($A12="","",'Consolidado por Gerencia'!B12)</f>
        <v>26</v>
      </c>
      <c r="C12">
        <f>IF($A12="","",'Consolidado por Gerencia'!C12)</f>
        <v>21</v>
      </c>
      <c r="D12">
        <f>IF($A12="","",'Consolidado por Gerencia'!D12)</f>
        <v>5</v>
      </c>
      <c r="E12">
        <f>IF($A12="","",IF(B12&gt;0,C12/B12,0))</f>
        <v>0.807692307692308</v>
      </c>
      <c r="F12">
        <f>IF($A12="","",E12*1000000+B12*10+(100-ROW())/1000)</f>
        <v>807952.395692308</v>
      </c>
      <c r="G12">
        <f>IF($A12="","",D12*1000+(100-ROW())/1000)</f>
        <v>5000.088</v>
      </c>
      <c r="I12" t="n">
        <v>8</v>
      </c>
      <c r="J12">
        <f>IF(I12&gt;COUNT($F$5:$F$14),"",MATCH(LARGE($F$5:$F$14,I12),$F$5:$F$14,0))</f>
        <v>8</v>
      </c>
      <c r="K12" t="str">
        <f>IF(J12="","",INDEX($A$5:$A$14,J12)&amp;"   "&amp;TEXT(INDEX($E$5:$E$14,J12),"0%"))</f>
        <v>Gerencia de Operaciones   81%</v>
      </c>
      <c r="L12">
        <f>IF(J12="","",INDEX($C$5:$C$14,J12))</f>
        <v>21</v>
      </c>
      <c r="M12">
        <f>IF(J12="","",INDEX($D$5:$D$14,J12))</f>
        <v>5</v>
      </c>
      <c r="P12">
        <f>IF(I12&gt;COUNT($G$5:$G$14),"",MATCH(LARGE($G$5:$G$14,I12),$G$5:$G$14,0))</f>
        <v>4</v>
      </c>
      <c r="Q12" t="str">
        <f>IF(P12="","",INDEX($A$5:$A$14,P12))</f>
        <v>Gerencia Legal y Cumplimiento Normativo</v>
      </c>
      <c r="R12">
        <f>IF(P12="","",INDEX($D$5:$D$14,P12))</f>
        <v>0</v>
      </c>
      <c r="V12" t="str">
        <f>A11</f>
        <v>Gerencia de Oficialía de Cumplimiento</v>
      </c>
      <c r="W12" t="str">
        <f>A26</f>
        <v>AGENCIA MERLIOT</v>
      </c>
      <c r="Z12">
        <f>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individual'!F12="Completado",3000000,0)+COUNTIF('Detalle individual'!$C$5:$C$297,"&lt;"&amp;'Detalle individual'!C12)*1000+ROW(),"")</f>
        <v>3274012</v>
      </c>
    </row>
    <row r="13">
      <c r="A13" t="str">
        <f>IF('Consolidado por Gerencia'!A13="","",'Consolidado por Gerencia'!A13)</f>
        <v>Gerencia de Sistemas</v>
      </c>
      <c r="B13">
        <f>IF($A13="","",'Consolidado por Gerencia'!B13)</f>
        <v>23</v>
      </c>
      <c r="C13">
        <f>IF($A13="","",'Consolidado por Gerencia'!C13)</f>
        <v>20</v>
      </c>
      <c r="D13">
        <f>IF($A13="","",'Consolidado por Gerencia'!D13)</f>
        <v>3</v>
      </c>
      <c r="E13">
        <f>IF($A13="","",IF(B13&gt;0,C13/B13,0))</f>
        <v>0.869565217391304</v>
      </c>
      <c r="F13">
        <f>IF($A13="","",E13*1000000+B13*10+(100-ROW())/1000)</f>
        <v>869795.304391304</v>
      </c>
      <c r="G13">
        <f>IF($A13="","",D13*1000+(100-ROW())/1000)</f>
        <v>3000.087</v>
      </c>
      <c r="I13" t="n">
        <v>9</v>
      </c>
      <c r="J13">
        <f>IF(I13&gt;COUNT($F$5:$F$14),"",MATCH(LARGE($F$5:$F$14,I13),$F$5:$F$14,0))</f>
        <v>5</v>
      </c>
      <c r="K13" t="str">
        <f>IF(J13="","",INDEX($A$5:$A$14,J13)&amp;"   "&amp;TEXT(INDEX($E$5:$E$14,J13),"0%"))</f>
        <v>Gerencia de Finanzas y Planificación   78%</v>
      </c>
      <c r="L13">
        <f>IF(J13="","",INDEX($C$5:$C$14,J13))</f>
        <v>14</v>
      </c>
      <c r="M13">
        <f>IF(J13="","",INDEX($D$5:$D$14,J13))</f>
        <v>4</v>
      </c>
      <c r="P13">
        <f>IF(I13&gt;COUNT($G$5:$G$14),"",MATCH(LARGE($G$5:$G$14,I13),$G$5:$G$14,0))</f>
        <v>7</v>
      </c>
      <c r="Q13" t="str">
        <f>IF(P13="","",INDEX($A$5:$A$14,P13))</f>
        <v>Gerencia de Oficialía de Cumplimiento</v>
      </c>
      <c r="R13">
        <f>IF(P13="","",INDEX($D$5:$D$14,P13))</f>
        <v>0</v>
      </c>
      <c r="V13" t="str">
        <f>A12</f>
        <v>Gerencia de Operaciones</v>
      </c>
      <c r="W13" t="str">
        <f>A27</f>
        <v>AGENCIA PLAZA MUNDO</v>
      </c>
      <c r="Z13">
        <f>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individual'!F13="Completado",3000000,0)+COUNTIF('Detalle individual'!$C$5:$C$297,"&lt;"&amp;'Detalle individual'!C13)*1000+ROW(),"")</f>
        <v>3272013</v>
      </c>
    </row>
    <row r="14">
      <c r="A14" t="str">
        <f>IF('Consolidado por Gerencia'!A14="","",'Consolidado por Gerencia'!A14)</f>
        <v>Consejo de Administración</v>
      </c>
      <c r="B14">
        <f>IF($A14="","",'Consolidado por Gerencia'!B14)</f>
        <v>1</v>
      </c>
      <c r="C14">
        <f>IF($A14="","",'Consolidado por Gerencia'!C14)</f>
        <v>1</v>
      </c>
      <c r="D14">
        <f>IF($A14="","",'Consolidado por Gerencia'!D14)</f>
        <v>0</v>
      </c>
      <c r="E14">
        <f>IF($A14="","",IF(B14&gt;0,C14/B14,0))</f>
        <v>1</v>
      </c>
      <c r="F14">
        <f>IF($A14="","",E14*1000000+B14*10+(100-ROW())/1000)</f>
        <v>1000010.086</v>
      </c>
      <c r="G14">
        <f>IF($A14="","",D14*1000+(100-ROW())/1000)</f>
        <v>0.086</v>
      </c>
      <c r="I14" t="n">
        <v>10</v>
      </c>
      <c r="J14">
        <f>IF(I14&gt;COUNT($F$5:$F$14),"",MATCH(LARGE($F$5:$F$14,I14),$F$5:$F$14,0))</f>
        <v>6</v>
      </c>
      <c r="K14" t="str">
        <f>IF(J14="","",INDEX($A$5:$A$14,J14)&amp;"   "&amp;TEXT(INDEX($E$5:$E$14,J14),"0%"))</f>
        <v>Gerencia de Negocios   69%</v>
      </c>
      <c r="L14">
        <f>IF(J14="","",INDEX($C$5:$C$14,J14))</f>
        <v>107</v>
      </c>
      <c r="M14">
        <f>IF(J14="","",INDEX($D$5:$D$14,J14))</f>
        <v>47</v>
      </c>
      <c r="P14">
        <f>IF(I14&gt;COUNT($G$5:$G$14),"",MATCH(LARGE($G$5:$G$14,I14),$G$5:$G$14,0))</f>
        <v>10</v>
      </c>
      <c r="Q14" t="str">
        <f>IF(P14="","",INDEX($A$5:$A$14,P14))</f>
        <v>Consejo de Administración</v>
      </c>
      <c r="R14">
        <f>IF(P14="","",INDEX($D$5:$D$14,P14))</f>
        <v>0</v>
      </c>
      <c r="V14" t="str">
        <f>A13</f>
        <v>Gerencia de Sistemas</v>
      </c>
      <c r="W14" t="str">
        <f>A28</f>
        <v>AGENCIA SAN MIGUEL</v>
      </c>
      <c r="Z14">
        <f>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individual'!F14="Completado",3000000,0)+COUNTIF('Detalle individual'!$C$5:$C$297,"&lt;"&amp;'Detalle individual'!C14)*1000+ROW(),"")</f>
        <v>3006014</v>
      </c>
    </row>
    <row r="15">
      <c r="V15" t="str">
        <f>A14</f>
        <v>Consejo de Administración</v>
      </c>
      <c r="W15" t="str">
        <f>A29</f>
        <v>AGENCIA SANTA ANA</v>
      </c>
      <c r="Z15">
        <f>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individual'!F15="Completado",3000000,0)+COUNTIF('Detalle individual'!$C$5:$C$297,"&lt;"&amp;'Detalle individual'!C15)*1000+ROW(),"")</f>
        <v>3006015</v>
      </c>
    </row>
    <row r="16">
      <c r="W16" t="str">
        <f>A30</f>
        <v>AGENCIA SONSONATE</v>
      </c>
      <c r="Z16">
        <f>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individual'!F16="Completado",3000000,0)+COUNTIF('Detalle individual'!$C$5:$C$297,"&lt;"&amp;'Detalle individual'!C16)*1000+ROW(),"")</f>
        <v>3006016</v>
      </c>
    </row>
    <row r="17">
      <c r="W17" t="str">
        <f>A31</f>
        <v>AGENCIA USULUTAN</v>
      </c>
      <c r="Z17">
        <f>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individual'!F17="Completado",3000000,0)+COUNTIF('Detalle individual'!$C$5:$C$297,"&lt;"&amp;'Detalle individual'!C17)*1000+ROW(),"")</f>
        <v>3006017</v>
      </c>
    </row>
    <row r="18">
      <c r="W18" t="str">
        <f>A32</f>
        <v>CLINICA EMPRESARIAL</v>
      </c>
      <c r="Z18">
        <f>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individual'!F18="Completado",3000000,0)+COUNTIF('Detalle individual'!$C$5:$C$297,"&lt;"&amp;'Detalle individual'!C18)*1000+ROW(),"")</f>
        <v>3199018</v>
      </c>
    </row>
    <row r="19">
      <c r="A19" t="inlineStr">
        <is>
          <t>Departamento</t>
        </is>
      </c>
      <c r="M19" t="inlineStr">
        <is>
          <t>Completados</t>
        </is>
      </c>
      <c r="N19" t="inlineStr">
        <is>
          <t>Pendientes</t>
        </is>
      </c>
      <c r="W19" t="str">
        <f>A33</f>
        <v>DEPARTAMENTO COMERCIAL DE TARJETA DE CREDITO Y DEBITO</v>
      </c>
      <c r="Z19">
        <f>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individual'!F19="Completado",3000000,0)+COUNTIF('Detalle individual'!$C$5:$C$297,"&lt;"&amp;'Detalle individual'!C19)*1000+ROW(),"")</f>
        <v>3199019</v>
      </c>
    </row>
    <row r="20">
      <c r="A20" t="str">
        <f>TRIM('Consolidado por área'!A5)</f>
        <v>ADMINISTRACION DE BASE DE DATOS</v>
      </c>
      <c r="B20" t="str">
        <f>'Consolidado por área'!B5</f>
        <v>Gerencia de Sistemas</v>
      </c>
      <c r="C20">
        <f>'Consolidado por área'!C5</f>
        <v>1</v>
      </c>
      <c r="D20">
        <f>'Consolidado por área'!D5</f>
        <v>1</v>
      </c>
      <c r="E20">
        <f>'Consolidado por área'!E5</f>
        <v>0</v>
      </c>
      <c r="F20">
        <f>IF(C20&gt;0,D20/C20,0)</f>
        <v>1</v>
      </c>
      <c r="G20">
        <f>F20*1000000+C20*10+(1000-ROW())/10000</f>
        <v>1000010.098</v>
      </c>
      <c r="H20">
        <f>'Consolidado por área'!H5</f>
        <v>95</v>
      </c>
      <c r="J20" t="n">
        <v>1</v>
      </c>
      <c r="K20">
        <f>MATCH(LARGE($G$20:$G$63,J20),$G$20:$G$63,0)</f>
        <v>29</v>
      </c>
      <c r="L20" t="str">
        <f>INDEX($A$20:$A$63,K20)&amp;"   "&amp;TEXT(INDEX($F$20:$F$63,K20),"0%")</f>
        <v>DEPARTAMENTO DE SERVICIOS GENERALES   100%</v>
      </c>
      <c r="M20">
        <f>INDEX($D$20:$D$63,K20)</f>
        <v>17</v>
      </c>
      <c r="N20">
        <f>INDEX($E$20:$E$63,K20)</f>
        <v>0</v>
      </c>
      <c r="O20" t="str">
        <f>INDEX($A$20:$A$63,K20)</f>
        <v>DEPARTAMENTO DE SERVICIOS GENERALES</v>
      </c>
      <c r="P20" t="str">
        <f>INDEX($B$20:$B$63,K20)</f>
        <v>Gerencia Administrativa</v>
      </c>
      <c r="Q20">
        <f>INDEX($C$20:$C$63,K20)</f>
        <v>17</v>
      </c>
      <c r="R20">
        <f>INDEX($F$20:$F$63,K20)</f>
        <v>1</v>
      </c>
      <c r="S20">
        <f>INDEX($H$20:$H$63,K20)</f>
        <v>89.7058823529412</v>
      </c>
      <c r="T20">
        <f>IF(OR('Dashboard Gerencial'!$B$5="Todas las gerencias",P20='Dashboard Gerencial'!$B$5),ROW(),"")</f>
        <v>20</v>
      </c>
      <c r="W20" t="str">
        <f>A34</f>
        <v>DEPARTAMENTO DE ANALISIS Y PROGRAMACIÓN</v>
      </c>
      <c r="Z20">
        <f>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individual'!F20="Completado",3000000,0)+COUNTIF('Detalle individual'!$C$5:$C$297,"&lt;"&amp;'Detalle individual'!C20)*1000+ROW(),"")</f>
        <v>3199020</v>
      </c>
    </row>
    <row r="21">
      <c r="A21" t="str">
        <f>TRIM('Consolidado por área'!A6)</f>
        <v>ADMINISTRACION DE RIESGOS</v>
      </c>
      <c r="B21" t="str">
        <f>'Consolidado por área'!B6</f>
        <v>Gerencia General</v>
      </c>
      <c r="C21">
        <f>'Consolidado por área'!C6</f>
        <v>4</v>
      </c>
      <c r="D21">
        <f>'Consolidado por área'!D6</f>
        <v>4</v>
      </c>
      <c r="E21">
        <f>'Consolidado por área'!E6</f>
        <v>0</v>
      </c>
      <c r="F21">
        <f>IF(C21&gt;0,D21/C21,0)</f>
        <v>1</v>
      </c>
      <c r="G21">
        <f>F21*1000000+C21*10+(1000-ROW())/10000</f>
        <v>1000040.0979</v>
      </c>
      <c r="H21">
        <f>'Consolidado por área'!H6</f>
        <v>100</v>
      </c>
      <c r="J21" t="n">
        <v>2</v>
      </c>
      <c r="K21">
        <f>MATCH(LARGE($G$20:$G$63,J21),$G$20:$G$63,0)</f>
        <v>19</v>
      </c>
      <c r="L21" t="str">
        <f>INDEX($A$20:$A$63,K21)&amp;"   "&amp;TEXT(INDEX($F$20:$F$63,K21),"0%")</f>
        <v>DEPARTAMENTO DE CREDITOS   100%</v>
      </c>
      <c r="M21">
        <f>INDEX($D$20:$D$63,K21)</f>
        <v>13</v>
      </c>
      <c r="N21">
        <f>INDEX($E$20:$E$63,K21)</f>
        <v>0</v>
      </c>
      <c r="O21" t="str">
        <f>INDEX($A$20:$A$63,K21)</f>
        <v>DEPARTAMENTO DE CREDITOS</v>
      </c>
      <c r="P21" t="str">
        <f>INDEX($B$20:$B$63,K21)</f>
        <v>Gerencia de Negocios</v>
      </c>
      <c r="Q21">
        <f>INDEX($C$20:$C$63,K21)</f>
        <v>13</v>
      </c>
      <c r="R21">
        <f>INDEX($F$20:$F$63,K21)</f>
        <v>1</v>
      </c>
      <c r="S21">
        <f>INDEX($H$20:$H$63,K21)</f>
        <v>98.4615384615385</v>
      </c>
      <c r="T21">
        <f>IF(OR('Dashboard Gerencial'!$B$5="Todas las gerencias",P21='Dashboard Gerencial'!$B$5),ROW(),"")</f>
        <v>21</v>
      </c>
      <c r="W21" t="str">
        <f>A35</f>
        <v>DEPARTAMENTO DE ATENCION A ASOCIADO Y CLIENTE</v>
      </c>
      <c r="Z21">
        <f>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individual'!F21="Completado",3000000,0)+COUNTIF('Detalle individual'!$C$5:$C$297,"&lt;"&amp;'Detalle individual'!C21)*1000+ROW(),"")</f>
        <v>3282021</v>
      </c>
    </row>
    <row r="22">
      <c r="A22" t="str">
        <f>TRIM('Consolidado por área'!A7)</f>
        <v>ADMINISTRACIÓN DE CARTERAS</v>
      </c>
      <c r="B22" t="str">
        <f>'Consolidado por área'!B7</f>
        <v>Gerencia de Operaciones</v>
      </c>
      <c r="C22">
        <f>'Consolidado por área'!C7</f>
        <v>5</v>
      </c>
      <c r="D22">
        <f>'Consolidado por área'!D7</f>
        <v>4</v>
      </c>
      <c r="E22">
        <f>'Consolidado por área'!E7</f>
        <v>1</v>
      </c>
      <c r="F22">
        <f>IF(C22&gt;0,D22/C22,0)</f>
        <v>0.8</v>
      </c>
      <c r="G22">
        <f>F22*1000000+C22*10+(1000-ROW())/10000</f>
        <v>800050.0978</v>
      </c>
      <c r="H22">
        <f>'Consolidado por área'!H7</f>
        <v>100</v>
      </c>
      <c r="J22" t="n">
        <v>3</v>
      </c>
      <c r="K22">
        <f>MATCH(LARGE($G$20:$G$63,J22),$G$20:$G$63,0)</f>
        <v>33</v>
      </c>
      <c r="L22" t="str">
        <f>INDEX($A$20:$A$63,K22)&amp;"   "&amp;TEXT(INDEX($F$20:$F$63,K22),"0%")</f>
        <v>DEPARTAMENTO LEGAL   100%</v>
      </c>
      <c r="M22">
        <f>INDEX($D$20:$D$63,K22)</f>
        <v>8</v>
      </c>
      <c r="N22">
        <f>INDEX($E$20:$E$63,K22)</f>
        <v>0</v>
      </c>
      <c r="O22" t="str">
        <f>INDEX($A$20:$A$63,K22)</f>
        <v>DEPARTAMENTO LEGAL</v>
      </c>
      <c r="P22" t="str">
        <f>INDEX($B$20:$B$63,K22)</f>
        <v>Gerencia Legal y Cumplimiento Normativo</v>
      </c>
      <c r="Q22">
        <f>INDEX($C$20:$C$63,K22)</f>
        <v>8</v>
      </c>
      <c r="R22">
        <f>INDEX($F$20:$F$63,K22)</f>
        <v>1</v>
      </c>
      <c r="S22">
        <f>INDEX($H$20:$H$63,K22)</f>
        <v>97.5</v>
      </c>
      <c r="T22">
        <f>IF(OR('Dashboard Gerencial'!$B$5="Todas las gerencias",P22='Dashboard Gerencial'!$B$5),ROW(),"")</f>
        <v>22</v>
      </c>
      <c r="W22" t="str">
        <f>A36</f>
        <v>DEPARTAMENTO DE AUDITORIA INTERNA</v>
      </c>
      <c r="Z22">
        <f>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individual'!F22="Completado",3000000,0)+COUNTIF('Detalle individual'!$C$5:$C$297,"&lt;"&amp;'Detalle individual'!C22)*1000+ROW(),"")</f>
        <v>3282022</v>
      </c>
    </row>
    <row r="23">
      <c r="A23" t="str">
        <f>TRIM('Consolidado por área'!A8)</f>
        <v>AGENCIA CENTRAL</v>
      </c>
      <c r="B23" t="str">
        <f>'Consolidado por área'!B8</f>
        <v>Gerencia de Negocios</v>
      </c>
      <c r="C23">
        <f>'Consolidado por área'!C8</f>
        <v>18</v>
      </c>
      <c r="D23">
        <f>'Consolidado por área'!D8</f>
        <v>8</v>
      </c>
      <c r="E23">
        <f>'Consolidado por área'!E8</f>
        <v>10</v>
      </c>
      <c r="F23">
        <f>IF(C23&gt;0,D23/C23,0)</f>
        <v>0.444444444444444</v>
      </c>
      <c r="G23">
        <f>F23*1000000+C23*10+(1000-ROW())/10000</f>
        <v>444624.542144444</v>
      </c>
      <c r="H23">
        <f>'Consolidado por área'!H8</f>
        <v>96.25</v>
      </c>
      <c r="J23" t="n">
        <v>4</v>
      </c>
      <c r="K23">
        <f>MATCH(LARGE($G$20:$G$63,J23),$G$20:$G$63,0)</f>
        <v>12</v>
      </c>
      <c r="L23" t="str">
        <f>INDEX($A$20:$A$63,K23)&amp;"   "&amp;TEXT(INDEX($F$20:$F$63,K23),"0%")</f>
        <v>AGENCIA USULUTAN   100%</v>
      </c>
      <c r="M23">
        <f>INDEX($D$20:$D$63,K23)</f>
        <v>7</v>
      </c>
      <c r="N23">
        <f>INDEX($E$20:$E$63,K23)</f>
        <v>0</v>
      </c>
      <c r="O23" t="str">
        <f>INDEX($A$20:$A$63,K23)</f>
        <v>AGENCIA USULUTAN</v>
      </c>
      <c r="P23" t="str">
        <f>INDEX($B$20:$B$63,K23)</f>
        <v>Gerencia de Negocios</v>
      </c>
      <c r="Q23">
        <f>INDEX($C$20:$C$63,K23)</f>
        <v>7</v>
      </c>
      <c r="R23">
        <f>INDEX($F$20:$F$63,K23)</f>
        <v>1</v>
      </c>
      <c r="S23">
        <f>INDEX($H$20:$H$63,K23)</f>
        <v>100</v>
      </c>
      <c r="T23">
        <f>IF(OR('Dashboard Gerencial'!$B$5="Todas las gerencias",P23='Dashboard Gerencial'!$B$5),ROW(),"")</f>
        <v>23</v>
      </c>
      <c r="W23" t="str">
        <f>A37</f>
        <v>DEPARTAMENTO DE CONTABILIDAD</v>
      </c>
      <c r="Z23">
        <f>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individual'!F23="Completado",3000000,0)+COUNTIF('Detalle individual'!$C$5:$C$297,"&lt;"&amp;'Detalle individual'!C23)*1000+ROW(),"")</f>
        <v>3282023</v>
      </c>
    </row>
    <row r="24">
      <c r="A24" t="str">
        <f>TRIM('Consolidado por área'!A9)</f>
        <v>AGENCIA COLEGIO MEDICO</v>
      </c>
      <c r="B24" t="str">
        <f>'Consolidado por área'!B9</f>
        <v>Gerencia de Negocios</v>
      </c>
      <c r="C24">
        <f>'Consolidado por área'!C9</f>
        <v>12</v>
      </c>
      <c r="D24">
        <f>'Consolidado por área'!D9</f>
        <v>10</v>
      </c>
      <c r="E24">
        <f>'Consolidado por área'!E9</f>
        <v>2</v>
      </c>
      <c r="F24">
        <f>IF(C24&gt;0,D24/C24,0)</f>
        <v>0.833333333333333</v>
      </c>
      <c r="G24">
        <f>F24*1000000+C24*10+(1000-ROW())/10000</f>
        <v>833453.430933333</v>
      </c>
      <c r="H24">
        <f>'Consolidado por área'!H9</f>
        <v>97</v>
      </c>
      <c r="J24" t="n">
        <v>5</v>
      </c>
      <c r="K24">
        <f>MATCH(LARGE($G$20:$G$63,J24),$G$20:$G$63,0)</f>
        <v>17</v>
      </c>
      <c r="L24" t="str">
        <f>INDEX($A$20:$A$63,K24)&amp;"   "&amp;TEXT(INDEX($F$20:$F$63,K24),"0%")</f>
        <v>DEPARTAMENTO DE AUDITORIA INTERNA   100%</v>
      </c>
      <c r="M24">
        <f>INDEX($D$20:$D$63,K24)</f>
        <v>7</v>
      </c>
      <c r="N24">
        <f>INDEX($E$20:$E$63,K24)</f>
        <v>0</v>
      </c>
      <c r="O24" t="str">
        <f>INDEX($A$20:$A$63,K24)</f>
        <v>DEPARTAMENTO DE AUDITORIA INTERNA</v>
      </c>
      <c r="P24" t="str">
        <f>INDEX($B$20:$B$63,K24)</f>
        <v>Auditoría Interna</v>
      </c>
      <c r="Q24">
        <f>INDEX($C$20:$C$63,K24)</f>
        <v>7</v>
      </c>
      <c r="R24">
        <f>INDEX($F$20:$F$63,K24)</f>
        <v>1</v>
      </c>
      <c r="S24">
        <f>INDEX($H$20:$H$63,K24)</f>
        <v>97.1428571428571</v>
      </c>
      <c r="T24">
        <f>IF(OR('Dashboard Gerencial'!$B$5="Todas las gerencias",P24='Dashboard Gerencial'!$B$5),ROW(),"")</f>
        <v>24</v>
      </c>
      <c r="W24" t="str">
        <f>A38</f>
        <v>DEPARTAMENTO DE CREDITOS</v>
      </c>
      <c r="Z24">
        <f>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individual'!F24="Completado",3000000,0)+COUNTIF('Detalle individual'!$C$5:$C$297,"&lt;"&amp;'Detalle individual'!C24)*1000+ROW(),"")</f>
        <v>3282024</v>
      </c>
    </row>
    <row r="25">
      <c r="A25" t="str">
        <f>TRIM('Consolidado por área'!A10)</f>
        <v>AGENCIA COLONIA MEDICA</v>
      </c>
      <c r="B25" t="str">
        <f>'Consolidado por área'!B10</f>
        <v>Gerencia de Negocios</v>
      </c>
      <c r="C25">
        <f>'Consolidado por área'!C10</f>
        <v>16</v>
      </c>
      <c r="D25">
        <f>'Consolidado por área'!D10</f>
        <v>7</v>
      </c>
      <c r="E25">
        <f>'Consolidado por área'!E10</f>
        <v>9</v>
      </c>
      <c r="F25">
        <f>IF(C25&gt;0,D25/C25,0)</f>
        <v>0.4375</v>
      </c>
      <c r="G25">
        <f>F25*1000000+C25*10+(1000-ROW())/10000</f>
        <v>437660.0975</v>
      </c>
      <c r="H25">
        <f>'Consolidado por área'!H10</f>
        <v>97.8571428571429</v>
      </c>
      <c r="J25" t="n">
        <v>6</v>
      </c>
      <c r="K25">
        <f>MATCH(LARGE($G$20:$G$63,J25),$G$20:$G$63,0)</f>
        <v>41</v>
      </c>
      <c r="L25" t="str">
        <f>INDEX($A$20:$A$63,K25)&amp;"   "&amp;TEXT(INDEX($F$20:$F$63,K25),"0%")</f>
        <v>OFICIALIA DE CUMPLIMIENTO   100%</v>
      </c>
      <c r="M25">
        <f>INDEX($D$20:$D$63,K25)</f>
        <v>7</v>
      </c>
      <c r="N25">
        <f>INDEX($E$20:$E$63,K25)</f>
        <v>0</v>
      </c>
      <c r="O25" t="str">
        <f>INDEX($A$20:$A$63,K25)</f>
        <v>OFICIALIA DE CUMPLIMIENTO</v>
      </c>
      <c r="P25" t="str">
        <f>INDEX($B$20:$B$63,K25)</f>
        <v>Gerencia de Oficialía de Cumplimiento</v>
      </c>
      <c r="Q25">
        <f>INDEX($C$20:$C$63,K25)</f>
        <v>7</v>
      </c>
      <c r="R25">
        <f>INDEX($F$20:$F$63,K25)</f>
        <v>1</v>
      </c>
      <c r="S25">
        <f>INDEX($H$20:$H$63,K25)</f>
        <v>100</v>
      </c>
      <c r="T25">
        <f>IF(OR('Dashboard Gerencial'!$B$5="Todas las gerencias",P25='Dashboard Gerencial'!$B$5),ROW(),"")</f>
        <v>25</v>
      </c>
      <c r="W25" t="str">
        <f>A39</f>
        <v>DEPARTAMENTO DE CUSTODIA DE GARANTÍA Y VALORES</v>
      </c>
      <c r="Z25">
        <f>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individual'!F25="Completado",3000000,0)+COUNTIF('Detalle individual'!$C$5:$C$297,"&lt;"&amp;'Detalle individual'!C25)*1000+ROW(),"")</f>
        <v>3259025</v>
      </c>
    </row>
    <row r="26">
      <c r="A26" t="str">
        <f>TRIM('Consolidado por área'!A11)</f>
        <v>AGENCIA MERLIOT</v>
      </c>
      <c r="B26" t="str">
        <f>'Consolidado por área'!B11</f>
        <v>Gerencia de Negocios</v>
      </c>
      <c r="C26">
        <f>'Consolidado por área'!C11</f>
        <v>13</v>
      </c>
      <c r="D26">
        <f>'Consolidado por área'!D11</f>
        <v>12</v>
      </c>
      <c r="E26">
        <f>'Consolidado por área'!E11</f>
        <v>1</v>
      </c>
      <c r="F26">
        <f>IF(C26&gt;0,D26/C26,0)</f>
        <v>0.923076923076923</v>
      </c>
      <c r="G26">
        <f>F26*1000000+C26*10+(1000-ROW())/10000</f>
        <v>923207.020476923</v>
      </c>
      <c r="H26">
        <f>'Consolidado por área'!H11</f>
        <v>95.4166666666667</v>
      </c>
      <c r="J26" t="n">
        <v>7</v>
      </c>
      <c r="K26">
        <f>MATCH(LARGE($G$20:$G$63,J26),$G$20:$G$63,0)</f>
        <v>20</v>
      </c>
      <c r="L26" t="str">
        <f>INDEX($A$20:$A$63,K26)&amp;"   "&amp;TEXT(INDEX($F$20:$F$63,K26),"0%")</f>
        <v>DEPARTAMENTO DE CUSTODIA DE GARANTÍA Y VALORES   100%</v>
      </c>
      <c r="M26">
        <f>INDEX($D$20:$D$63,K26)</f>
        <v>6</v>
      </c>
      <c r="N26">
        <f>INDEX($E$20:$E$63,K26)</f>
        <v>0</v>
      </c>
      <c r="O26" t="str">
        <f>INDEX($A$20:$A$63,K26)</f>
        <v>DEPARTAMENTO DE CUSTODIA DE GARANTÍA Y VALORES</v>
      </c>
      <c r="P26" t="str">
        <f>INDEX($B$20:$B$63,K26)</f>
        <v>Gerencia Administrativa</v>
      </c>
      <c r="Q26">
        <f>INDEX($C$20:$C$63,K26)</f>
        <v>6</v>
      </c>
      <c r="R26">
        <f>INDEX($F$20:$F$63,K26)</f>
        <v>1</v>
      </c>
      <c r="S26">
        <f>INDEX($H$20:$H$63,K26)</f>
        <v>100</v>
      </c>
      <c r="T26">
        <f>IF(OR('Dashboard Gerencial'!$B$5="Todas las gerencias",P26='Dashboard Gerencial'!$B$5),ROW(),"")</f>
        <v>26</v>
      </c>
      <c r="W26" t="str">
        <f>A40</f>
        <v>DEPARTAMENTO DE DEPOSITOS</v>
      </c>
      <c r="Z26">
        <f>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individual'!F26="Completado",3000000,0)+COUNTIF('Detalle individual'!$C$5:$C$297,"&lt;"&amp;'Detalle individual'!C26)*1000+ROW(),"")</f>
        <v>3215026</v>
      </c>
    </row>
    <row r="27">
      <c r="A27" t="str">
        <f>TRIM('Consolidado por área'!A12)</f>
        <v>AGENCIA PLAZA MUNDO</v>
      </c>
      <c r="B27" t="str">
        <f>'Consolidado por área'!B12</f>
        <v>Gerencia de Negocios</v>
      </c>
      <c r="C27">
        <f>'Consolidado por área'!C12</f>
        <v>8</v>
      </c>
      <c r="D27">
        <f>'Consolidado por área'!D12</f>
        <v>7</v>
      </c>
      <c r="E27">
        <f>'Consolidado por área'!E12</f>
        <v>1</v>
      </c>
      <c r="F27">
        <f>IF(C27&gt;0,D27/C27,0)</f>
        <v>0.875</v>
      </c>
      <c r="G27">
        <f>F27*1000000+C27*10+(1000-ROW())/10000</f>
        <v>875080.0973</v>
      </c>
      <c r="H27">
        <f>'Consolidado por área'!H12</f>
        <v>98.5714285714286</v>
      </c>
      <c r="J27" t="n">
        <v>8</v>
      </c>
      <c r="K27">
        <f>MATCH(LARGE($G$20:$G$63,J27),$G$20:$G$63,0)</f>
        <v>2</v>
      </c>
      <c r="L27" t="str">
        <f>INDEX($A$20:$A$63,K27)&amp;"   "&amp;TEXT(INDEX($F$20:$F$63,K27),"0%")</f>
        <v>ADMINISTRACION DE RIESGOS   100%</v>
      </c>
      <c r="M27">
        <f>INDEX($D$20:$D$63,K27)</f>
        <v>4</v>
      </c>
      <c r="N27">
        <f>INDEX($E$20:$E$63,K27)</f>
        <v>0</v>
      </c>
      <c r="O27" t="str">
        <f>INDEX($A$20:$A$63,K27)</f>
        <v>ADMINISTRACION DE RIESGOS</v>
      </c>
      <c r="P27" t="str">
        <f>INDEX($B$20:$B$63,K27)</f>
        <v>Gerencia General</v>
      </c>
      <c r="Q27">
        <f>INDEX($C$20:$C$63,K27)</f>
        <v>4</v>
      </c>
      <c r="R27">
        <f>INDEX($F$20:$F$63,K27)</f>
        <v>1</v>
      </c>
      <c r="S27">
        <f>INDEX($H$20:$H$63,K27)</f>
        <v>100</v>
      </c>
      <c r="T27">
        <f>IF(OR('Dashboard Gerencial'!$B$5="Todas las gerencias",P27='Dashboard Gerencial'!$B$5),ROW(),"")</f>
        <v>27</v>
      </c>
      <c r="W27" t="str">
        <f>A41</f>
        <v>DEPARTAMENTO DE EDUCACION Y RESPONSABILIDAD SOCIAL</v>
      </c>
      <c r="Z27">
        <f>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individual'!F27="Completado",3000000,0)+COUNTIF('Detalle individual'!$C$5:$C$297,"&lt;"&amp;'Detalle individual'!C27)*1000+ROW(),"")</f>
        <v>3215027</v>
      </c>
    </row>
    <row r="28">
      <c r="A28" t="str">
        <f>TRIM('Consolidado por área'!A13)</f>
        <v>AGENCIA SAN MIGUEL</v>
      </c>
      <c r="B28" t="str">
        <f>'Consolidado por área'!B13</f>
        <v>Gerencia de Negocios</v>
      </c>
      <c r="C28">
        <f>'Consolidado por área'!C13</f>
        <v>8</v>
      </c>
      <c r="D28">
        <f>'Consolidado por área'!D13</f>
        <v>7</v>
      </c>
      <c r="E28">
        <f>'Consolidado por área'!E13</f>
        <v>1</v>
      </c>
      <c r="F28">
        <f>IF(C28&gt;0,D28/C28,0)</f>
        <v>0.875</v>
      </c>
      <c r="G28">
        <f>F28*1000000+C28*10+(1000-ROW())/10000</f>
        <v>875080.0972</v>
      </c>
      <c r="H28">
        <f>'Consolidado por área'!H13</f>
        <v>98.5714285714286</v>
      </c>
      <c r="J28" t="n">
        <v>9</v>
      </c>
      <c r="K28">
        <f>MATCH(LARGE($G$20:$G$63,J28),$G$20:$G$63,0)</f>
        <v>21</v>
      </c>
      <c r="L28" t="str">
        <f>INDEX($A$20:$A$63,K28)&amp;"   "&amp;TEXT(INDEX($F$20:$F$63,K28),"0%")</f>
        <v>DEPARTAMENTO DE DEPOSITOS   100%</v>
      </c>
      <c r="M28">
        <f>INDEX($D$20:$D$63,K28)</f>
        <v>4</v>
      </c>
      <c r="N28">
        <f>INDEX($E$20:$E$63,K28)</f>
        <v>0</v>
      </c>
      <c r="O28" t="str">
        <f>INDEX($A$20:$A$63,K28)</f>
        <v>DEPARTAMENTO DE DEPOSITOS</v>
      </c>
      <c r="P28" t="str">
        <f>INDEX($B$20:$B$63,K28)</f>
        <v>Gerencia de Operaciones</v>
      </c>
      <c r="Q28">
        <f>INDEX($C$20:$C$63,K28)</f>
        <v>4</v>
      </c>
      <c r="R28">
        <f>INDEX($F$20:$F$63,K28)</f>
        <v>1</v>
      </c>
      <c r="S28">
        <f>INDEX($H$20:$H$63,K28)</f>
        <v>98.75</v>
      </c>
      <c r="T28">
        <f>IF(OR('Dashboard Gerencial'!$B$5="Todas las gerencias",P28='Dashboard Gerencial'!$B$5),ROW(),"")</f>
        <v>28</v>
      </c>
      <c r="W28" t="str">
        <f>A42</f>
        <v>DEPARTAMENTO DE MERCADEO</v>
      </c>
      <c r="Z28">
        <f>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individual'!F28="Completado",3000000,0)+COUNTIF('Detalle individual'!$C$5:$C$297,"&lt;"&amp;'Detalle individual'!C28)*1000+ROW(),"")</f>
        <v>3215028</v>
      </c>
    </row>
    <row r="29">
      <c r="A29" t="str">
        <f>TRIM('Consolidado por área'!A14)</f>
        <v>AGENCIA SANTA ANA</v>
      </c>
      <c r="B29" t="str">
        <f>'Consolidado por área'!B14</f>
        <v>Gerencia de Negocios</v>
      </c>
      <c r="C29">
        <f>'Consolidado por área'!C14</f>
        <v>8</v>
      </c>
      <c r="D29">
        <f>'Consolidado por área'!D14</f>
        <v>4</v>
      </c>
      <c r="E29">
        <f>'Consolidado por área'!E14</f>
        <v>4</v>
      </c>
      <c r="F29">
        <f>IF(C29&gt;0,D29/C29,0)</f>
        <v>0.5</v>
      </c>
      <c r="G29">
        <f>F29*1000000+C29*10+(1000-ROW())/10000</f>
        <v>500080.0971</v>
      </c>
      <c r="H29">
        <f>'Consolidado por área'!H14</f>
        <v>95</v>
      </c>
      <c r="J29" t="n">
        <v>10</v>
      </c>
      <c r="K29">
        <f>MATCH(LARGE($G$20:$G$63,J29),$G$20:$G$63,0)</f>
        <v>42</v>
      </c>
      <c r="L29" t="str">
        <f>INDEX($A$20:$A$63,K29)&amp;"   "&amp;TEXT(INDEX($F$20:$F$63,K29),"0%")</f>
        <v>OFICIALIA DE SEGURIDAD DE LA INFORMACION   100%</v>
      </c>
      <c r="M29">
        <f>INDEX($D$20:$D$63,K29)</f>
        <v>4</v>
      </c>
      <c r="N29">
        <f>INDEX($E$20:$E$63,K29)</f>
        <v>0</v>
      </c>
      <c r="O29" t="str">
        <f>INDEX($A$20:$A$63,K29)</f>
        <v>OFICIALIA DE SEGURIDAD DE LA INFORMACION</v>
      </c>
      <c r="P29" t="str">
        <f>INDEX($B$20:$B$63,K29)</f>
        <v>Gerencia General</v>
      </c>
      <c r="Q29">
        <f>INDEX($C$20:$C$63,K29)</f>
        <v>4</v>
      </c>
      <c r="R29">
        <f>INDEX($F$20:$F$63,K29)</f>
        <v>1</v>
      </c>
      <c r="S29">
        <f>INDEX($H$20:$H$63,K29)</f>
        <v>96.25</v>
      </c>
      <c r="T29">
        <f>IF(OR('Dashboard Gerencial'!$B$5="Todas las gerencias",P29='Dashboard Gerencial'!$B$5),ROW(),"")</f>
        <v>29</v>
      </c>
      <c r="W29" t="str">
        <f>A43</f>
        <v>DEPARTAMENTO DE OPERACIONES Y SOPORTE TECNICO</v>
      </c>
      <c r="Z29">
        <f>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individual'!F29="Completado",3000000,0)+COUNTIF('Detalle individual'!$C$5:$C$297,"&lt;"&amp;'Detalle individual'!C29)*1000+ROW(),"")</f>
        <v>3215029</v>
      </c>
    </row>
    <row r="30">
      <c r="A30" t="str">
        <f>TRIM('Consolidado por área'!A15)</f>
        <v>AGENCIA SONSONATE</v>
      </c>
      <c r="B30" t="str">
        <f>'Consolidado por área'!B15</f>
        <v>Gerencia de Negocios</v>
      </c>
      <c r="C30">
        <f>'Consolidado por área'!C15</f>
        <v>7</v>
      </c>
      <c r="D30">
        <f>'Consolidado por área'!D15</f>
        <v>1</v>
      </c>
      <c r="E30">
        <f>'Consolidado por área'!E15</f>
        <v>6</v>
      </c>
      <c r="F30">
        <f>IF(C30&gt;0,D30/C30,0)</f>
        <v>0.142857142857143</v>
      </c>
      <c r="G30">
        <f>F30*1000000+C30*10+(1000-ROW())/10000</f>
        <v>142927.239857143</v>
      </c>
      <c r="H30">
        <f>'Consolidado por área'!H15</f>
        <v>80</v>
      </c>
      <c r="J30" t="n">
        <v>11</v>
      </c>
      <c r="K30">
        <f>MATCH(LARGE($G$20:$G$63,J30),$G$20:$G$63,0)</f>
        <v>26</v>
      </c>
      <c r="L30" t="str">
        <f>INDEX($A$20:$A$63,K30)&amp;"   "&amp;TEXT(INDEX($F$20:$F$63,K30),"0%")</f>
        <v>DEPARTAMENTO DE PROCESOS   100%</v>
      </c>
      <c r="M30">
        <f>INDEX($D$20:$D$63,K30)</f>
        <v>3</v>
      </c>
      <c r="N30">
        <f>INDEX($E$20:$E$63,K30)</f>
        <v>0</v>
      </c>
      <c r="O30" t="str">
        <f>INDEX($A$20:$A$63,K30)</f>
        <v>DEPARTAMENTO DE PROCESOS</v>
      </c>
      <c r="P30" t="str">
        <f>INDEX($B$20:$B$63,K30)</f>
        <v>Gerencia General</v>
      </c>
      <c r="Q30">
        <f>INDEX($C$20:$C$63,K30)</f>
        <v>3</v>
      </c>
      <c r="R30">
        <f>INDEX($F$20:$F$63,K30)</f>
        <v>1</v>
      </c>
      <c r="S30">
        <f>INDEX($H$20:$H$63,K30)</f>
        <v>100</v>
      </c>
      <c r="T30">
        <f>IF(OR('Dashboard Gerencial'!$B$5="Todas las gerencias",P30='Dashboard Gerencial'!$B$5),ROW(),"")</f>
        <v>30</v>
      </c>
      <c r="W30" t="str">
        <f>A44</f>
        <v>DEPARTAMENTO DE PLANIFICACIÓN Y ANALISIS</v>
      </c>
      <c r="Z30">
        <f>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individual'!F30="Completado",3000000,0)+COUNTIF('Detalle individual'!$C$5:$C$297,"&lt;"&amp;'Detalle individual'!C30)*1000+ROW(),"")</f>
        <v>3215030</v>
      </c>
    </row>
    <row r="31">
      <c r="A31" t="str">
        <f>TRIM('Consolidado por área'!A16)</f>
        <v>AGENCIA USULUTAN</v>
      </c>
      <c r="B31" t="str">
        <f>'Consolidado por área'!B16</f>
        <v>Gerencia de Negocios</v>
      </c>
      <c r="C31">
        <f>'Consolidado por área'!C16</f>
        <v>7</v>
      </c>
      <c r="D31">
        <f>'Consolidado por área'!D16</f>
        <v>7</v>
      </c>
      <c r="E31">
        <f>'Consolidado por área'!E16</f>
        <v>0</v>
      </c>
      <c r="F31">
        <f>IF(C31&gt;0,D31/C31,0)</f>
        <v>1</v>
      </c>
      <c r="G31">
        <f>F31*1000000+C31*10+(1000-ROW())/10000</f>
        <v>1000070.0969</v>
      </c>
      <c r="H31">
        <f>'Consolidado por área'!H16</f>
        <v>100</v>
      </c>
      <c r="J31" t="n">
        <v>12</v>
      </c>
      <c r="K31">
        <f>MATCH(LARGE($G$20:$G$63,J31),$G$20:$G$63,0)</f>
        <v>13</v>
      </c>
      <c r="L31" t="str">
        <f>INDEX($A$20:$A$63,K31)&amp;"   "&amp;TEXT(INDEX($F$20:$F$63,K31),"0%")</f>
        <v>CLINICA EMPRESARIAL   100%</v>
      </c>
      <c r="M31">
        <f>INDEX($D$20:$D$63,K31)</f>
        <v>2</v>
      </c>
      <c r="N31">
        <f>INDEX($E$20:$E$63,K31)</f>
        <v>0</v>
      </c>
      <c r="O31" t="str">
        <f>INDEX($A$20:$A$63,K31)</f>
        <v>CLINICA EMPRESARIAL</v>
      </c>
      <c r="P31" t="str">
        <f>INDEX($B$20:$B$63,K31)</f>
        <v>Gerencia Administrativa</v>
      </c>
      <c r="Q31">
        <f>INDEX($C$20:$C$63,K31)</f>
        <v>2</v>
      </c>
      <c r="R31">
        <f>INDEX($F$20:$F$63,K31)</f>
        <v>1</v>
      </c>
      <c r="S31">
        <f>INDEX($H$20:$H$63,K31)</f>
        <v>100</v>
      </c>
      <c r="T31">
        <f>IF(OR('Dashboard Gerencial'!$B$5="Todas las gerencias",P31='Dashboard Gerencial'!$B$5),ROW(),"")</f>
        <v>31</v>
      </c>
      <c r="W31" t="str">
        <f>A45</f>
        <v>DEPARTAMENTO DE PROCESOS</v>
      </c>
      <c r="Z31">
        <f>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individual'!F31="Completado",3000000,0)+COUNTIF('Detalle individual'!$C$5:$C$297,"&lt;"&amp;'Detalle individual'!C31)*1000+ROW(),"")</f>
        <v>3215031</v>
      </c>
    </row>
    <row r="32">
      <c r="A32" t="str">
        <f>TRIM('Consolidado por área'!A17)</f>
        <v>CLINICA EMPRESARIAL</v>
      </c>
      <c r="B32" t="str">
        <f>'Consolidado por área'!B17</f>
        <v>Gerencia Administrativa</v>
      </c>
      <c r="C32">
        <f>'Consolidado por área'!C17</f>
        <v>2</v>
      </c>
      <c r="D32">
        <f>'Consolidado por área'!D17</f>
        <v>2</v>
      </c>
      <c r="E32">
        <f>'Consolidado por área'!E17</f>
        <v>0</v>
      </c>
      <c r="F32">
        <f>IF(C32&gt;0,D32/C32,0)</f>
        <v>1</v>
      </c>
      <c r="G32">
        <f>F32*1000000+C32*10+(1000-ROW())/10000</f>
        <v>1000020.0968</v>
      </c>
      <c r="H32">
        <f>'Consolidado por área'!H17</f>
        <v>100</v>
      </c>
      <c r="J32" t="n">
        <v>13</v>
      </c>
      <c r="K32">
        <f>MATCH(LARGE($G$20:$G$63,J32),$G$20:$G$63,0)</f>
        <v>27</v>
      </c>
      <c r="L32" t="str">
        <f>INDEX($A$20:$A$63,K32)&amp;"   "&amp;TEXT(INDEX($F$20:$F$63,K32),"0%")</f>
        <v>DEPARTAMENTO DE SEGURIDAD   100%</v>
      </c>
      <c r="M32">
        <f>INDEX($D$20:$D$63,K32)</f>
        <v>2</v>
      </c>
      <c r="N32">
        <f>INDEX($E$20:$E$63,K32)</f>
        <v>0</v>
      </c>
      <c r="O32" t="str">
        <f>INDEX($A$20:$A$63,K32)</f>
        <v>DEPARTAMENTO DE SEGURIDAD</v>
      </c>
      <c r="P32" t="str">
        <f>INDEX($B$20:$B$63,K32)</f>
        <v>Gerencia Administrativa</v>
      </c>
      <c r="Q32">
        <f>INDEX($C$20:$C$63,K32)</f>
        <v>2</v>
      </c>
      <c r="R32">
        <f>INDEX($F$20:$F$63,K32)</f>
        <v>1</v>
      </c>
      <c r="S32">
        <f>INDEX($H$20:$H$63,K32)</f>
        <v>95</v>
      </c>
      <c r="T32">
        <f>IF(OR('Dashboard Gerencial'!$B$5="Todas las gerencias",P32='Dashboard Gerencial'!$B$5),ROW(),"")</f>
        <v>32</v>
      </c>
      <c r="W32" t="str">
        <f>A46</f>
        <v>DEPARTAMENTO DE SEGURIDAD</v>
      </c>
      <c r="Z32">
        <f>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individual'!F32="Completado",3000000,0)+COUNTIF('Detalle individual'!$C$5:$C$297,"&lt;"&amp;'Detalle individual'!C32)*1000+ROW(),"")</f>
        <v>3215032</v>
      </c>
    </row>
    <row r="33">
      <c r="A33" t="str">
        <f>TRIM('Consolidado por área'!A18)</f>
        <v>DEPARTAMENTO COMERCIAL DE TARJETA DE CREDITO Y DEBITO</v>
      </c>
      <c r="B33" t="str">
        <f>'Consolidado por área'!B18</f>
        <v>Gerencia de Negocios</v>
      </c>
      <c r="C33">
        <f>'Consolidado por área'!C18</f>
        <v>8</v>
      </c>
      <c r="D33">
        <f>'Consolidado por área'!D18</f>
        <v>7</v>
      </c>
      <c r="E33">
        <f>'Consolidado por área'!E18</f>
        <v>1</v>
      </c>
      <c r="F33">
        <f>IF(C33&gt;0,D33/C33,0)</f>
        <v>0.875</v>
      </c>
      <c r="G33">
        <f>F33*1000000+C33*10+(1000-ROW())/10000</f>
        <v>875080.0967</v>
      </c>
      <c r="H33">
        <f>'Consolidado por área'!H18</f>
        <v>86.4285714285714</v>
      </c>
      <c r="J33" t="n">
        <v>14</v>
      </c>
      <c r="K33">
        <f>MATCH(LARGE($G$20:$G$63,J33),$G$20:$G$63,0)</f>
        <v>34</v>
      </c>
      <c r="L33" t="str">
        <f>INDEX($A$20:$A$63,K33)&amp;"   "&amp;TEXT(INDEX($F$20:$F$63,K33),"0%")</f>
        <v>GERENCIA ADMINISTRATIVA   100%</v>
      </c>
      <c r="M33">
        <f>INDEX($D$20:$D$63,K33)</f>
        <v>2</v>
      </c>
      <c r="N33">
        <f>INDEX($E$20:$E$63,K33)</f>
        <v>0</v>
      </c>
      <c r="O33" t="str">
        <f>INDEX($A$20:$A$63,K33)</f>
        <v>GERENCIA ADMINISTRATIVA</v>
      </c>
      <c r="P33" t="str">
        <f>INDEX($B$20:$B$63,K33)</f>
        <v>Gerencia Administrativa</v>
      </c>
      <c r="Q33">
        <f>INDEX($C$20:$C$63,K33)</f>
        <v>2</v>
      </c>
      <c r="R33">
        <f>INDEX($F$20:$F$63,K33)</f>
        <v>1</v>
      </c>
      <c r="S33">
        <f>INDEX($H$20:$H$63,K33)</f>
        <v>100</v>
      </c>
      <c r="T33">
        <f>IF(OR('Dashboard Gerencial'!$B$5="Todas las gerencias",P33='Dashboard Gerencial'!$B$5),ROW(),"")</f>
        <v>33</v>
      </c>
      <c r="W33" t="str">
        <f>A47</f>
        <v>DEPARTAMENTO DE SEGUROS</v>
      </c>
      <c r="Z33">
        <f>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individual'!F33="Completado",3000000,0)+COUNTIF('Detalle individual'!$C$5:$C$297,"&lt;"&amp;'Detalle individual'!C33)*1000+ROW(),"")</f>
        <v>3215033</v>
      </c>
    </row>
    <row r="34">
      <c r="A34" t="str">
        <f>TRIM('Consolidado por área'!A19)</f>
        <v>DEPARTAMENTO DE ANALISIS Y PROGRAMACIÓN</v>
      </c>
      <c r="B34" t="str">
        <f>'Consolidado por área'!B19</f>
        <v>Gerencia de Sistemas</v>
      </c>
      <c r="C34">
        <f>'Consolidado por área'!C19</f>
        <v>11</v>
      </c>
      <c r="D34">
        <f>'Consolidado por área'!D19</f>
        <v>10</v>
      </c>
      <c r="E34">
        <f>'Consolidado por área'!E19</f>
        <v>1</v>
      </c>
      <c r="F34">
        <f>IF(C34&gt;0,D34/C34,0)</f>
        <v>0.909090909090909</v>
      </c>
      <c r="G34">
        <f>F34*1000000+C34*10+(1000-ROW())/10000</f>
        <v>909201.005690909</v>
      </c>
      <c r="H34">
        <f>'Consolidado por área'!H19</f>
        <v>100</v>
      </c>
      <c r="J34" t="n">
        <v>15</v>
      </c>
      <c r="K34">
        <f>MATCH(LARGE($G$20:$G$63,J34),$G$20:$G$63,0)</f>
        <v>35</v>
      </c>
      <c r="L34" t="str">
        <f>INDEX($A$20:$A$63,K34)&amp;"   "&amp;TEXT(INDEX($F$20:$F$63,K34),"0%")</f>
        <v>GERENCIA DE FINANZAS Y PLANIFICACIÓN   100%</v>
      </c>
      <c r="M34">
        <f>INDEX($D$20:$D$63,K34)</f>
        <v>2</v>
      </c>
      <c r="N34">
        <f>INDEX($E$20:$E$63,K34)</f>
        <v>0</v>
      </c>
      <c r="O34" t="str">
        <f>INDEX($A$20:$A$63,K34)</f>
        <v>GERENCIA DE FINANZAS Y PLANIFICACIÓN</v>
      </c>
      <c r="P34" t="str">
        <f>INDEX($B$20:$B$63,K34)</f>
        <v>Gerencia de Finanzas y Planificación</v>
      </c>
      <c r="Q34">
        <f>INDEX($C$20:$C$63,K34)</f>
        <v>2</v>
      </c>
      <c r="R34">
        <f>INDEX($F$20:$F$63,K34)</f>
        <v>1</v>
      </c>
      <c r="S34">
        <f>INDEX($H$20:$H$63,K34)</f>
        <v>100</v>
      </c>
      <c r="T34">
        <f>IF(OR('Dashboard Gerencial'!$B$5="Todas las gerencias",P34='Dashboard Gerencial'!$B$5),ROW(),"")</f>
        <v>34</v>
      </c>
      <c r="W34" t="str">
        <f>A48</f>
        <v>DEPARTAMENTO DE SERVICIOS GENERALES</v>
      </c>
      <c r="Z34">
        <f>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individual'!F34="Completado",3000000,0)+COUNTIF('Detalle individual'!$C$5:$C$297,"&lt;"&amp;'Detalle individual'!C34)*1000+ROW(),"")</f>
        <v>3215034</v>
      </c>
    </row>
    <row r="35">
      <c r="A35" t="str">
        <f>TRIM('Consolidado por área'!A20)</f>
        <v>DEPARTAMENTO DE ATENCION A ASOCIADO Y CLIENTE</v>
      </c>
      <c r="B35" t="str">
        <f>'Consolidado por área'!B20</f>
        <v>Gerencia de Negocios</v>
      </c>
      <c r="C35">
        <f>'Consolidado por área'!C20</f>
        <v>7</v>
      </c>
      <c r="D35">
        <f>'Consolidado por área'!D20</f>
        <v>6</v>
      </c>
      <c r="E35">
        <f>'Consolidado por área'!E20</f>
        <v>1</v>
      </c>
      <c r="F35">
        <f>IF(C35&gt;0,D35/C35,0)</f>
        <v>0.857142857142857</v>
      </c>
      <c r="G35">
        <f>F35*1000000+C35*10+(1000-ROW())/10000</f>
        <v>857212.953642857</v>
      </c>
      <c r="H35">
        <f>'Consolidado por área'!H20</f>
        <v>95</v>
      </c>
      <c r="J35" t="n">
        <v>16</v>
      </c>
      <c r="K35">
        <f>MATCH(LARGE($G$20:$G$63,J35),$G$20:$G$63,0)</f>
        <v>1</v>
      </c>
      <c r="L35" t="str">
        <f>INDEX($A$20:$A$63,K35)&amp;"   "&amp;TEXT(INDEX($F$20:$F$63,K35),"0%")</f>
        <v>ADMINISTRACION DE BASE DE DATOS   100%</v>
      </c>
      <c r="M35">
        <f>INDEX($D$20:$D$63,K35)</f>
        <v>1</v>
      </c>
      <c r="N35">
        <f>INDEX($E$20:$E$63,K35)</f>
        <v>0</v>
      </c>
      <c r="O35" t="str">
        <f>INDEX($A$20:$A$63,K35)</f>
        <v>ADMINISTRACION DE BASE DE DATOS</v>
      </c>
      <c r="P35" t="str">
        <f>INDEX($B$20:$B$63,K35)</f>
        <v>Gerencia de Sistemas</v>
      </c>
      <c r="Q35">
        <f>INDEX($C$20:$C$63,K35)</f>
        <v>1</v>
      </c>
      <c r="R35">
        <f>INDEX($F$20:$F$63,K35)</f>
        <v>1</v>
      </c>
      <c r="S35">
        <f>INDEX($H$20:$H$63,K35)</f>
        <v>95</v>
      </c>
      <c r="T35">
        <f>IF(OR('Dashboard Gerencial'!$B$5="Todas las gerencias",P35='Dashboard Gerencial'!$B$5),ROW(),"")</f>
        <v>35</v>
      </c>
      <c r="W35" t="str">
        <f>A49</f>
        <v>DEPARTAMENTO DE SOLUCIONES FINANCIERAS</v>
      </c>
      <c r="Z35">
        <f>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individual'!F35="Completado",3000000,0)+COUNTIF('Detalle individual'!$C$5:$C$297,"&lt;"&amp;'Detalle individual'!C35)*1000+ROW(),"")</f>
        <v>3215035</v>
      </c>
    </row>
    <row r="36">
      <c r="A36" t="str">
        <f>TRIM('Consolidado por área'!A21)</f>
        <v>DEPARTAMENTO DE AUDITORIA INTERNA</v>
      </c>
      <c r="B36" t="str">
        <f>'Consolidado por área'!B21</f>
        <v>Auditoría Interna</v>
      </c>
      <c r="C36">
        <f>'Consolidado por área'!C21</f>
        <v>7</v>
      </c>
      <c r="D36">
        <f>'Consolidado por área'!D21</f>
        <v>7</v>
      </c>
      <c r="E36">
        <f>'Consolidado por área'!E21</f>
        <v>0</v>
      </c>
      <c r="F36">
        <f>IF(C36&gt;0,D36/C36,0)</f>
        <v>1</v>
      </c>
      <c r="G36">
        <f>F36*1000000+C36*10+(1000-ROW())/10000</f>
        <v>1000070.0964</v>
      </c>
      <c r="H36">
        <f>'Consolidado por área'!H21</f>
        <v>97.1428571428571</v>
      </c>
      <c r="J36" t="n">
        <v>17</v>
      </c>
      <c r="K36">
        <f>MATCH(LARGE($G$20:$G$63,J36),$G$20:$G$63,0)</f>
        <v>40</v>
      </c>
      <c r="L36" t="str">
        <f>INDEX($A$20:$A$63,K36)&amp;"   "&amp;TEXT(INDEX($F$20:$F$63,K36),"0%")</f>
        <v>GERENCIA LEGAL Y DE CUMPLIMIENTO NORMATIVO   100%</v>
      </c>
      <c r="M36">
        <f>INDEX($D$20:$D$63,K36)</f>
        <v>1</v>
      </c>
      <c r="N36">
        <f>INDEX($E$20:$E$63,K36)</f>
        <v>0</v>
      </c>
      <c r="O36" t="str">
        <f>INDEX($A$20:$A$63,K36)</f>
        <v>GERENCIA LEGAL Y DE CUMPLIMIENTO NORMATIVO</v>
      </c>
      <c r="P36" t="str">
        <f>INDEX($B$20:$B$63,K36)</f>
        <v>Gerencia Legal y Cumplimiento Normativo</v>
      </c>
      <c r="Q36">
        <f>INDEX($C$20:$C$63,K36)</f>
        <v>1</v>
      </c>
      <c r="R36">
        <f>INDEX($F$20:$F$63,K36)</f>
        <v>1</v>
      </c>
      <c r="S36">
        <f>INDEX($H$20:$H$63,K36)</f>
        <v>100</v>
      </c>
      <c r="T36">
        <f>IF(OR('Dashboard Gerencial'!$B$5="Todas las gerencias",P36='Dashboard Gerencial'!$B$5),ROW(),"")</f>
        <v>36</v>
      </c>
      <c r="W36" t="str">
        <f>A50</f>
        <v>DEPARTAMENTO DE TALENTO HUMANO</v>
      </c>
      <c r="Z36">
        <f>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individual'!F36="Completado",3000000,0)+COUNTIF('Detalle individual'!$C$5:$C$297,"&lt;"&amp;'Detalle individual'!C36)*1000+ROW(),"")</f>
        <v>3215036</v>
      </c>
    </row>
    <row r="37">
      <c r="A37" t="str">
        <f>TRIM('Consolidado por área'!A22)</f>
        <v>DEPARTAMENTO DE CONTABILIDAD</v>
      </c>
      <c r="B37" t="str">
        <f>'Consolidado por área'!B22</f>
        <v>Gerencia de Finanzas y Planificación</v>
      </c>
      <c r="C37">
        <f>'Consolidado por área'!C22</f>
        <v>13</v>
      </c>
      <c r="D37">
        <f>'Consolidado por área'!D22</f>
        <v>10</v>
      </c>
      <c r="E37">
        <f>'Consolidado por área'!E22</f>
        <v>3</v>
      </c>
      <c r="F37">
        <f>IF(C37&gt;0,D37/C37,0)</f>
        <v>0.769230769230769</v>
      </c>
      <c r="G37">
        <f>F37*1000000+C37*10+(1000-ROW())/10000</f>
        <v>769360.865530769</v>
      </c>
      <c r="H37">
        <f>'Consolidado por área'!H22</f>
        <v>97.5</v>
      </c>
      <c r="J37" t="n">
        <v>18</v>
      </c>
      <c r="K37">
        <f>MATCH(LARGE($G$20:$G$63,J37),$G$20:$G$63,0)</f>
        <v>44</v>
      </c>
      <c r="L37" t="str">
        <f>INDEX($A$20:$A$63,K37)&amp;"   "&amp;TEXT(INDEX($F$20:$F$63,K37),"0%")</f>
        <v>CONSEJO DE ADMINISTRACION   100%</v>
      </c>
      <c r="M37">
        <f>INDEX($D$20:$D$63,K37)</f>
        <v>1</v>
      </c>
      <c r="N37">
        <f>INDEX($E$20:$E$63,K37)</f>
        <v>0</v>
      </c>
      <c r="O37" t="str">
        <f>INDEX($A$20:$A$63,K37)</f>
        <v>CONSEJO DE ADMINISTRACION</v>
      </c>
      <c r="P37" t="str">
        <f>INDEX($B$20:$B$63,K37)</f>
        <v>Consejo de Administración</v>
      </c>
      <c r="Q37">
        <f>INDEX($C$20:$C$63,K37)</f>
        <v>1</v>
      </c>
      <c r="R37">
        <f>INDEX($F$20:$F$63,K37)</f>
        <v>1</v>
      </c>
      <c r="S37">
        <f>INDEX($H$20:$H$63,K37)</f>
        <v>90</v>
      </c>
      <c r="T37">
        <f>IF(OR('Dashboard Gerencial'!$B$5="Todas las gerencias",P37='Dashboard Gerencial'!$B$5),ROW(),"")</f>
        <v>37</v>
      </c>
      <c r="W37" t="str">
        <f>A51</f>
        <v>DEPARTAMENTO DE TARJETA DE CREDITO Y DEBITO</v>
      </c>
      <c r="Z37">
        <f>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individual'!F37="Completado",3000000,0)+COUNTIF('Detalle individual'!$C$5:$C$297,"&lt;"&amp;'Detalle individual'!C37)*1000+ROW(),"")</f>
        <v>3215037</v>
      </c>
    </row>
    <row r="38">
      <c r="A38" t="str">
        <f>TRIM('Consolidado por área'!A23)</f>
        <v>DEPARTAMENTO DE CREDITOS</v>
      </c>
      <c r="B38" t="str">
        <f>'Consolidado por área'!B23</f>
        <v>Gerencia de Negocios</v>
      </c>
      <c r="C38">
        <f>'Consolidado por área'!C23</f>
        <v>13</v>
      </c>
      <c r="D38">
        <f>'Consolidado por área'!D23</f>
        <v>13</v>
      </c>
      <c r="E38">
        <f>'Consolidado por área'!E23</f>
        <v>0</v>
      </c>
      <c r="F38">
        <f>IF(C38&gt;0,D38/C38,0)</f>
        <v>1</v>
      </c>
      <c r="G38">
        <f>F38*1000000+C38*10+(1000-ROW())/10000</f>
        <v>1000130.0962</v>
      </c>
      <c r="H38">
        <f>'Consolidado por área'!H23</f>
        <v>98.4615384615385</v>
      </c>
      <c r="J38" t="n">
        <v>19</v>
      </c>
      <c r="K38">
        <f>MATCH(LARGE($G$20:$G$63,J38),$G$20:$G$63,0)</f>
        <v>7</v>
      </c>
      <c r="L38" t="str">
        <f>INDEX($A$20:$A$63,K38)&amp;"   "&amp;TEXT(INDEX($F$20:$F$63,K38),"0%")</f>
        <v>AGENCIA MERLIOT   92%</v>
      </c>
      <c r="M38">
        <f>INDEX($D$20:$D$63,K38)</f>
        <v>12</v>
      </c>
      <c r="N38">
        <f>INDEX($E$20:$E$63,K38)</f>
        <v>1</v>
      </c>
      <c r="O38" t="str">
        <f>INDEX($A$20:$A$63,K38)</f>
        <v>AGENCIA MERLIOT</v>
      </c>
      <c r="P38" t="str">
        <f>INDEX($B$20:$B$63,K38)</f>
        <v>Gerencia de Negocios</v>
      </c>
      <c r="Q38">
        <f>INDEX($C$20:$C$63,K38)</f>
        <v>13</v>
      </c>
      <c r="R38">
        <f>INDEX($F$20:$F$63,K38)</f>
        <v>0.923076923076923</v>
      </c>
      <c r="S38">
        <f>INDEX($H$20:$H$63,K38)</f>
        <v>95.4166666666667</v>
      </c>
      <c r="T38">
        <f>IF(OR('Dashboard Gerencial'!$B$5="Todas las gerencias",P38='Dashboard Gerencial'!$B$5),ROW(),"")</f>
        <v>38</v>
      </c>
      <c r="W38" t="str">
        <f>A52</f>
        <v>DEPARTAMENTO LEGAL</v>
      </c>
      <c r="Z38">
        <f>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individual'!F38="Completado",3000000,0)+COUNTIF('Detalle individual'!$C$5:$C$297,"&lt;"&amp;'Detalle individual'!C38)*1000+ROW(),"")</f>
        <v>3215038</v>
      </c>
    </row>
    <row r="39">
      <c r="A39" t="str">
        <f>TRIM('Consolidado por área'!A24)</f>
        <v>DEPARTAMENTO DE CUSTODIA DE GARANTÍA Y VALORES</v>
      </c>
      <c r="B39" t="str">
        <f>'Consolidado por área'!B24</f>
        <v>Gerencia Administrativa</v>
      </c>
      <c r="C39">
        <f>'Consolidado por área'!C24</f>
        <v>6</v>
      </c>
      <c r="D39">
        <f>'Consolidado por área'!D24</f>
        <v>6</v>
      </c>
      <c r="E39">
        <f>'Consolidado por área'!E24</f>
        <v>0</v>
      </c>
      <c r="F39">
        <f>IF(C39&gt;0,D39/C39,0)</f>
        <v>1</v>
      </c>
      <c r="G39">
        <f>F39*1000000+C39*10+(1000-ROW())/10000</f>
        <v>1000060.0961</v>
      </c>
      <c r="H39">
        <f>'Consolidado por área'!H24</f>
        <v>100</v>
      </c>
      <c r="J39" t="n">
        <v>20</v>
      </c>
      <c r="K39">
        <f>MATCH(LARGE($G$20:$G$63,J39),$G$20:$G$63,0)</f>
        <v>15</v>
      </c>
      <c r="L39" t="str">
        <f>INDEX($A$20:$A$63,K39)&amp;"   "&amp;TEXT(INDEX($F$20:$F$63,K39),"0%")</f>
        <v>DEPARTAMENTO DE ANALISIS Y PROGRAMACIÓN   91%</v>
      </c>
      <c r="M39">
        <f>INDEX($D$20:$D$63,K39)</f>
        <v>10</v>
      </c>
      <c r="N39">
        <f>INDEX($E$20:$E$63,K39)</f>
        <v>1</v>
      </c>
      <c r="O39" t="str">
        <f>INDEX($A$20:$A$63,K39)</f>
        <v>DEPARTAMENTO DE ANALISIS Y PROGRAMACIÓN</v>
      </c>
      <c r="P39" t="str">
        <f>INDEX($B$20:$B$63,K39)</f>
        <v>Gerencia de Sistemas</v>
      </c>
      <c r="Q39">
        <f>INDEX($C$20:$C$63,K39)</f>
        <v>11</v>
      </c>
      <c r="R39">
        <f>INDEX($F$20:$F$63,K39)</f>
        <v>0.909090909090909</v>
      </c>
      <c r="S39">
        <f>INDEX($H$20:$H$63,K39)</f>
        <v>100</v>
      </c>
      <c r="T39">
        <f>IF(OR('Dashboard Gerencial'!$B$5="Todas las gerencias",P39='Dashboard Gerencial'!$B$5),ROW(),"")</f>
        <v>39</v>
      </c>
      <c r="W39" t="str">
        <f>A53</f>
        <v>GERENCIA ADMINISTRATIVA</v>
      </c>
      <c r="Z39">
        <f>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individual'!F39="Completado",3000000,0)+COUNTIF('Detalle individual'!$C$5:$C$297,"&lt;"&amp;'Detalle individual'!C39)*1000+ROW(),"")</f>
        <v>3215039</v>
      </c>
    </row>
    <row r="40">
      <c r="A40" t="str">
        <f>TRIM('Consolidado por área'!A25)</f>
        <v>DEPARTAMENTO DE DEPOSITOS</v>
      </c>
      <c r="B40" t="str">
        <f>'Consolidado por área'!B25</f>
        <v>Gerencia de Operaciones</v>
      </c>
      <c r="C40">
        <f>'Consolidado por área'!C25</f>
        <v>4</v>
      </c>
      <c r="D40">
        <f>'Consolidado por área'!D25</f>
        <v>4</v>
      </c>
      <c r="E40">
        <f>'Consolidado por área'!E25</f>
        <v>0</v>
      </c>
      <c r="F40">
        <f>IF(C40&gt;0,D40/C40,0)</f>
        <v>1</v>
      </c>
      <c r="G40">
        <f>F40*1000000+C40*10+(1000-ROW())/10000</f>
        <v>1000040.096</v>
      </c>
      <c r="H40">
        <f>'Consolidado por área'!H25</f>
        <v>98.75</v>
      </c>
      <c r="J40" t="n">
        <v>21</v>
      </c>
      <c r="K40">
        <f>MATCH(LARGE($G$20:$G$63,J40),$G$20:$G$63,0)</f>
        <v>28</v>
      </c>
      <c r="L40" t="str">
        <f>INDEX($A$20:$A$63,K40)&amp;"   "&amp;TEXT(INDEX($F$20:$F$63,K40),"0%")</f>
        <v>DEPARTAMENTO DE SEGUROS   91%</v>
      </c>
      <c r="M40">
        <f>INDEX($D$20:$D$63,K40)</f>
        <v>10</v>
      </c>
      <c r="N40">
        <f>INDEX($E$20:$E$63,K40)</f>
        <v>1</v>
      </c>
      <c r="O40" t="str">
        <f>INDEX($A$20:$A$63,K40)</f>
        <v>DEPARTAMENTO DE SEGUROS</v>
      </c>
      <c r="P40" t="str">
        <f>INDEX($B$20:$B$63,K40)</f>
        <v>Gerencia de Negocios</v>
      </c>
      <c r="Q40">
        <f>INDEX($C$20:$C$63,K40)</f>
        <v>11</v>
      </c>
      <c r="R40">
        <f>INDEX($F$20:$F$63,K40)</f>
        <v>0.909090909090909</v>
      </c>
      <c r="S40">
        <f>INDEX($H$20:$H$63,K40)</f>
        <v>97</v>
      </c>
      <c r="T40">
        <f>IF(OR('Dashboard Gerencial'!$B$5="Todas las gerencias",P40='Dashboard Gerencial'!$B$5),ROW(),"")</f>
        <v>40</v>
      </c>
      <c r="W40" t="str">
        <f>A54</f>
        <v>GERENCIA DE FINANZAS Y PLANIFICACIÓN</v>
      </c>
      <c r="Z40">
        <f>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individual'!F40="Completado",3000000,0)+COUNTIF('Detalle individual'!$C$5:$C$297,"&lt;"&amp;'Detalle individual'!C40)*1000+ROW(),"")</f>
        <v>3215040</v>
      </c>
    </row>
    <row r="41">
      <c r="A41" t="str">
        <f>TRIM('Consolidado por área'!A26)</f>
        <v>DEPARTAMENTO DE EDUCACION Y RESPONSABILIDAD SOCIAL</v>
      </c>
      <c r="B41" t="str">
        <f>'Consolidado por área'!B26</f>
        <v>Gerencia Administrativa</v>
      </c>
      <c r="C41">
        <f>'Consolidado por área'!C26</f>
        <v>3</v>
      </c>
      <c r="D41">
        <f>'Consolidado por área'!D26</f>
        <v>1</v>
      </c>
      <c r="E41">
        <f>'Consolidado por área'!E26</f>
        <v>2</v>
      </c>
      <c r="F41">
        <f>IF(C41&gt;0,D41/C41,0)</f>
        <v>0.333333333333333</v>
      </c>
      <c r="G41">
        <f>F41*1000000+C41*10+(1000-ROW())/10000</f>
        <v>333363.429233333</v>
      </c>
      <c r="H41">
        <f>'Consolidado por área'!H26</f>
        <v>100</v>
      </c>
      <c r="J41" t="n">
        <v>22</v>
      </c>
      <c r="K41">
        <f>MATCH(LARGE($G$20:$G$63,J41),$G$20:$G$63,0)</f>
        <v>30</v>
      </c>
      <c r="L41" t="str">
        <f>INDEX($A$20:$A$63,K41)&amp;"   "&amp;TEXT(INDEX($F$20:$F$63,K41),"0%")</f>
        <v>DEPARTAMENTO DE SOLUCIONES FINANCIERAS   90%</v>
      </c>
      <c r="M41">
        <f>INDEX($D$20:$D$63,K41)</f>
        <v>9</v>
      </c>
      <c r="N41">
        <f>INDEX($E$20:$E$63,K41)</f>
        <v>1</v>
      </c>
      <c r="O41" t="str">
        <f>INDEX($A$20:$A$63,K41)</f>
        <v>DEPARTAMENTO DE SOLUCIONES FINANCIERAS</v>
      </c>
      <c r="P41" t="str">
        <f>INDEX($B$20:$B$63,K41)</f>
        <v>Gerencia de Operaciones</v>
      </c>
      <c r="Q41">
        <f>INDEX($C$20:$C$63,K41)</f>
        <v>10</v>
      </c>
      <c r="R41">
        <f>INDEX($F$20:$F$63,K41)</f>
        <v>0.9</v>
      </c>
      <c r="S41">
        <f>INDEX($H$20:$H$63,K41)</f>
        <v>87.7777777777778</v>
      </c>
      <c r="T41">
        <f>IF(OR('Dashboard Gerencial'!$B$5="Todas las gerencias",P41='Dashboard Gerencial'!$B$5),ROW(),"")</f>
        <v>41</v>
      </c>
      <c r="W41" t="str">
        <f>A55</f>
        <v>GERENCIA DE NEGOCIOS</v>
      </c>
      <c r="Z41">
        <f>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individual'!F41="Completado",3000000,0)+COUNTIF('Detalle individual'!$C$5:$C$297,"&lt;"&amp;'Detalle individual'!C41)*1000+ROW(),"")</f>
        <v>3215041</v>
      </c>
    </row>
    <row r="42">
      <c r="A42" t="str">
        <f>TRIM('Consolidado por área'!A27)</f>
        <v>DEPARTAMENTO DE MERCADEO</v>
      </c>
      <c r="B42" t="str">
        <f>'Consolidado por área'!B27</f>
        <v>Gerencia de Negocios</v>
      </c>
      <c r="C42">
        <f>'Consolidado por área'!C27</f>
        <v>7</v>
      </c>
      <c r="D42">
        <f>'Consolidado por área'!D27</f>
        <v>2</v>
      </c>
      <c r="E42">
        <f>'Consolidado por área'!E27</f>
        <v>5</v>
      </c>
      <c r="F42">
        <f>IF(C42&gt;0,D42/C42,0)</f>
        <v>0.285714285714286</v>
      </c>
      <c r="G42">
        <f>F42*1000000+C42*10+(1000-ROW())/10000</f>
        <v>285784.381514286</v>
      </c>
      <c r="H42">
        <f>'Consolidado por área'!H27</f>
        <v>97.5</v>
      </c>
      <c r="J42" t="n">
        <v>23</v>
      </c>
      <c r="K42">
        <f>MATCH(LARGE($G$20:$G$63,J42),$G$20:$G$63,0)</f>
        <v>8</v>
      </c>
      <c r="L42" t="str">
        <f>INDEX($A$20:$A$63,K42)&amp;"   "&amp;TEXT(INDEX($F$20:$F$63,K42),"0%")</f>
        <v>AGENCIA PLAZA MUNDO   88%</v>
      </c>
      <c r="M42">
        <f>INDEX($D$20:$D$63,K42)</f>
        <v>7</v>
      </c>
      <c r="N42">
        <f>INDEX($E$20:$E$63,K42)</f>
        <v>1</v>
      </c>
      <c r="O42" t="str">
        <f>INDEX($A$20:$A$63,K42)</f>
        <v>AGENCIA PLAZA MUNDO</v>
      </c>
      <c r="P42" t="str">
        <f>INDEX($B$20:$B$63,K42)</f>
        <v>Gerencia de Negocios</v>
      </c>
      <c r="Q42">
        <f>INDEX($C$20:$C$63,K42)</f>
        <v>8</v>
      </c>
      <c r="R42">
        <f>INDEX($F$20:$F$63,K42)</f>
        <v>0.875</v>
      </c>
      <c r="S42">
        <f>INDEX($H$20:$H$63,K42)</f>
        <v>98.5714285714286</v>
      </c>
      <c r="T42">
        <f>IF(OR('Dashboard Gerencial'!$B$5="Todas las gerencias",P42='Dashboard Gerencial'!$B$5),ROW(),"")</f>
        <v>42</v>
      </c>
      <c r="W42" t="str">
        <f>A56</f>
        <v>GERENCIA DE OPERACIONES</v>
      </c>
      <c r="Z42">
        <f>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individual'!F42="Completado",3000000,0)+COUNTIF('Detalle individual'!$C$5:$C$297,"&lt;"&amp;'Detalle individual'!C42)*1000+ROW(),"")</f>
        <v>3215042</v>
      </c>
    </row>
    <row r="43">
      <c r="A43" t="str">
        <f>TRIM('Consolidado por área'!A28)</f>
        <v>DEPARTAMENTO DE OPERACIONES Y SOPORTE TECNICO</v>
      </c>
      <c r="B43" t="str">
        <f>'Consolidado por área'!B28</f>
        <v>Gerencia de Sistemas</v>
      </c>
      <c r="C43">
        <f>'Consolidado por área'!C28</f>
        <v>7</v>
      </c>
      <c r="D43">
        <f>'Consolidado por área'!D28</f>
        <v>6</v>
      </c>
      <c r="E43">
        <f>'Consolidado por área'!E28</f>
        <v>1</v>
      </c>
      <c r="F43">
        <f>IF(C43&gt;0,D43/C43,0)</f>
        <v>0.857142857142857</v>
      </c>
      <c r="G43">
        <f>F43*1000000+C43*10+(1000-ROW())/10000</f>
        <v>857212.952842857</v>
      </c>
      <c r="H43">
        <f>'Consolidado por área'!H28</f>
        <v>100</v>
      </c>
      <c r="J43" t="n">
        <v>24</v>
      </c>
      <c r="K43">
        <f>MATCH(LARGE($G$20:$G$63,J43),$G$20:$G$63,0)</f>
        <v>9</v>
      </c>
      <c r="L43" t="str">
        <f>INDEX($A$20:$A$63,K43)&amp;"   "&amp;TEXT(INDEX($F$20:$F$63,K43),"0%")</f>
        <v>AGENCIA SAN MIGUEL   88%</v>
      </c>
      <c r="M43">
        <f>INDEX($D$20:$D$63,K43)</f>
        <v>7</v>
      </c>
      <c r="N43">
        <f>INDEX($E$20:$E$63,K43)</f>
        <v>1</v>
      </c>
      <c r="O43" t="str">
        <f>INDEX($A$20:$A$63,K43)</f>
        <v>AGENCIA SAN MIGUEL</v>
      </c>
      <c r="P43" t="str">
        <f>INDEX($B$20:$B$63,K43)</f>
        <v>Gerencia de Negocios</v>
      </c>
      <c r="Q43">
        <f>INDEX($C$20:$C$63,K43)</f>
        <v>8</v>
      </c>
      <c r="R43">
        <f>INDEX($F$20:$F$63,K43)</f>
        <v>0.875</v>
      </c>
      <c r="S43">
        <f>INDEX($H$20:$H$63,K43)</f>
        <v>98.5714285714286</v>
      </c>
      <c r="T43">
        <f>IF(OR('Dashboard Gerencial'!$B$5="Todas las gerencias",P43='Dashboard Gerencial'!$B$5),ROW(),"")</f>
        <v>43</v>
      </c>
      <c r="W43" t="str">
        <f>A57</f>
        <v>GERENCIA DE SISTEMAS</v>
      </c>
      <c r="Z43">
        <f>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individual'!F43="Completado",3000000,0)+COUNTIF('Detalle individual'!$C$5:$C$297,"&lt;"&amp;'Detalle individual'!C43)*1000+ROW(),"")</f>
        <v>3169043</v>
      </c>
    </row>
    <row r="44">
      <c r="A44" t="str">
        <f>TRIM('Consolidado por área'!A29)</f>
        <v>DEPARTAMENTO DE PLANIFICACIÓN Y ANALISIS</v>
      </c>
      <c r="B44" t="str">
        <f>'Consolidado por área'!B29</f>
        <v>Gerencia de Finanzas y Planificación</v>
      </c>
      <c r="C44">
        <f>'Consolidado por área'!C29</f>
        <v>3</v>
      </c>
      <c r="D44">
        <f>'Consolidado por área'!D29</f>
        <v>2</v>
      </c>
      <c r="E44">
        <f>'Consolidado por área'!E29</f>
        <v>1</v>
      </c>
      <c r="F44">
        <f>IF(C44&gt;0,D44/C44,0)</f>
        <v>0.666666666666667</v>
      </c>
      <c r="G44">
        <f>F44*1000000+C44*10+(1000-ROW())/10000</f>
        <v>666696.762266667</v>
      </c>
      <c r="H44">
        <f>'Consolidado por área'!H29</f>
        <v>100</v>
      </c>
      <c r="J44" t="n">
        <v>25</v>
      </c>
      <c r="K44">
        <f>MATCH(LARGE($G$20:$G$63,J44),$G$20:$G$63,0)</f>
        <v>14</v>
      </c>
      <c r="L44" t="str">
        <f>INDEX($A$20:$A$63,K44)&amp;"   "&amp;TEXT(INDEX($F$20:$F$63,K44),"0%")</f>
        <v>DEPARTAMENTO COMERCIAL DE TARJETA DE CREDITO Y DEBITO   88%</v>
      </c>
      <c r="M44">
        <f>INDEX($D$20:$D$63,K44)</f>
        <v>7</v>
      </c>
      <c r="N44">
        <f>INDEX($E$20:$E$63,K44)</f>
        <v>1</v>
      </c>
      <c r="O44" t="str">
        <f>INDEX($A$20:$A$63,K44)</f>
        <v>DEPARTAMENTO COMERCIAL DE TARJETA DE CREDITO Y DEBITO</v>
      </c>
      <c r="P44" t="str">
        <f>INDEX($B$20:$B$63,K44)</f>
        <v>Gerencia de Negocios</v>
      </c>
      <c r="Q44">
        <f>INDEX($C$20:$C$63,K44)</f>
        <v>8</v>
      </c>
      <c r="R44">
        <f>INDEX($F$20:$F$63,K44)</f>
        <v>0.875</v>
      </c>
      <c r="S44">
        <f>INDEX($H$20:$H$63,K44)</f>
        <v>86.4285714285714</v>
      </c>
      <c r="T44">
        <f>IF(OR('Dashboard Gerencial'!$B$5="Todas las gerencias",P44='Dashboard Gerencial'!$B$5),ROW(),"")</f>
        <v>44</v>
      </c>
      <c r="W44" t="str">
        <f>A58</f>
        <v>GERENCIA GENERAL</v>
      </c>
      <c r="Z44">
        <f>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individual'!F44="Completado",3000000,0)+COUNTIF('Detalle individual'!$C$5:$C$297,"&lt;"&amp;'Detalle individual'!C44)*1000+ROW(),"")</f>
        <v>3169044</v>
      </c>
    </row>
    <row r="45">
      <c r="A45" t="str">
        <f>TRIM('Consolidado por área'!A30)</f>
        <v>DEPARTAMENTO DE PROCESOS</v>
      </c>
      <c r="B45" t="str">
        <f>'Consolidado por área'!B30</f>
        <v>Gerencia General</v>
      </c>
      <c r="C45">
        <f>'Consolidado por área'!C30</f>
        <v>3</v>
      </c>
      <c r="D45">
        <f>'Consolidado por área'!D30</f>
        <v>3</v>
      </c>
      <c r="E45">
        <f>'Consolidado por área'!E30</f>
        <v>0</v>
      </c>
      <c r="F45">
        <f>IF(C45&gt;0,D45/C45,0)</f>
        <v>1</v>
      </c>
      <c r="G45">
        <f>F45*1000000+C45*10+(1000-ROW())/10000</f>
        <v>1000030.0955</v>
      </c>
      <c r="H45">
        <f>'Consolidado por área'!H30</f>
        <v>100</v>
      </c>
      <c r="J45" t="n">
        <v>26</v>
      </c>
      <c r="K45">
        <f>MATCH(LARGE($G$20:$G$63,J45),$G$20:$G$63,0)</f>
        <v>16</v>
      </c>
      <c r="L45" t="str">
        <f>INDEX($A$20:$A$63,K45)&amp;"   "&amp;TEXT(INDEX($F$20:$F$63,K45),"0%")</f>
        <v>DEPARTAMENTO DE ATENCION A ASOCIADO Y CLIENTE   86%</v>
      </c>
      <c r="M45">
        <f>INDEX($D$20:$D$63,K45)</f>
        <v>6</v>
      </c>
      <c r="N45">
        <f>INDEX($E$20:$E$63,K45)</f>
        <v>1</v>
      </c>
      <c r="O45" t="str">
        <f>INDEX($A$20:$A$63,K45)</f>
        <v>DEPARTAMENTO DE ATENCION A ASOCIADO Y CLIENTE</v>
      </c>
      <c r="P45" t="str">
        <f>INDEX($B$20:$B$63,K45)</f>
        <v>Gerencia de Negocios</v>
      </c>
      <c r="Q45">
        <f>INDEX($C$20:$C$63,K45)</f>
        <v>7</v>
      </c>
      <c r="R45">
        <f>INDEX($F$20:$F$63,K45)</f>
        <v>0.857142857142857</v>
      </c>
      <c r="S45">
        <f>INDEX($H$20:$H$63,K45)</f>
        <v>95</v>
      </c>
      <c r="T45">
        <f>IF(OR('Dashboard Gerencial'!$B$5="Todas las gerencias",P45='Dashboard Gerencial'!$B$5),ROW(),"")</f>
        <v>45</v>
      </c>
      <c r="W45" t="str">
        <f>A59</f>
        <v>GERENCIA LEGAL Y DE CUMPLIMIENTO NORMATIVO</v>
      </c>
      <c r="Z45">
        <f>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individual'!F45="Completado",3000000,0)+COUNTIF('Detalle individual'!$C$5:$C$297,"&lt;"&amp;'Detalle individual'!C45)*1000+ROW(),"")</f>
        <v>3169045</v>
      </c>
    </row>
    <row r="46">
      <c r="A46" t="str">
        <f>TRIM('Consolidado por área'!A31)</f>
        <v>DEPARTAMENTO DE SEGURIDAD</v>
      </c>
      <c r="B46" t="str">
        <f>'Consolidado por área'!B31</f>
        <v>Gerencia Administrativa</v>
      </c>
      <c r="C46">
        <f>'Consolidado por área'!C31</f>
        <v>2</v>
      </c>
      <c r="D46">
        <f>'Consolidado por área'!D31</f>
        <v>2</v>
      </c>
      <c r="E46">
        <f>'Consolidado por área'!E31</f>
        <v>0</v>
      </c>
      <c r="F46">
        <f>IF(C46&gt;0,D46/C46,0)</f>
        <v>1</v>
      </c>
      <c r="G46">
        <f>F46*1000000+C46*10+(1000-ROW())/10000</f>
        <v>1000020.0954</v>
      </c>
      <c r="H46">
        <f>'Consolidado por área'!H31</f>
        <v>95</v>
      </c>
      <c r="J46" t="n">
        <v>27</v>
      </c>
      <c r="K46">
        <f>MATCH(LARGE($G$20:$G$63,J46),$G$20:$G$63,0)</f>
        <v>24</v>
      </c>
      <c r="L46" t="str">
        <f>INDEX($A$20:$A$63,K46)&amp;"   "&amp;TEXT(INDEX($F$20:$F$63,K46),"0%")</f>
        <v>DEPARTAMENTO DE OPERACIONES Y SOPORTE TECNICO   86%</v>
      </c>
      <c r="M46">
        <f>INDEX($D$20:$D$63,K46)</f>
        <v>6</v>
      </c>
      <c r="N46">
        <f>INDEX($E$20:$E$63,K46)</f>
        <v>1</v>
      </c>
      <c r="O46" t="str">
        <f>INDEX($A$20:$A$63,K46)</f>
        <v>DEPARTAMENTO DE OPERACIONES Y SOPORTE TECNICO</v>
      </c>
      <c r="P46" t="str">
        <f>INDEX($B$20:$B$63,K46)</f>
        <v>Gerencia de Sistemas</v>
      </c>
      <c r="Q46">
        <f>INDEX($C$20:$C$63,K46)</f>
        <v>7</v>
      </c>
      <c r="R46">
        <f>INDEX($F$20:$F$63,K46)</f>
        <v>0.857142857142857</v>
      </c>
      <c r="S46">
        <f>INDEX($H$20:$H$63,K46)</f>
        <v>100</v>
      </c>
      <c r="T46">
        <f>IF(OR('Dashboard Gerencial'!$B$5="Todas las gerencias",P46='Dashboard Gerencial'!$B$5),ROW(),"")</f>
        <v>46</v>
      </c>
      <c r="W46" t="str">
        <f>A60</f>
        <v>OFICIALIA DE CUMPLIMIENTO</v>
      </c>
      <c r="Z46">
        <f>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individual'!F46="Completado",3000000,0)+COUNTIF('Detalle individual'!$C$5:$C$297,"&lt;"&amp;'Detalle individual'!C46)*1000+ROW(),"")</f>
        <v>3169046</v>
      </c>
    </row>
    <row r="47">
      <c r="A47" t="str">
        <f>TRIM('Consolidado por área'!A32)</f>
        <v>DEPARTAMENTO DE SEGUROS</v>
      </c>
      <c r="B47" t="str">
        <f>'Consolidado por área'!B32</f>
        <v>Gerencia de Negocios</v>
      </c>
      <c r="C47">
        <f>'Consolidado por área'!C32</f>
        <v>11</v>
      </c>
      <c r="D47">
        <f>'Consolidado por área'!D32</f>
        <v>10</v>
      </c>
      <c r="E47">
        <f>'Consolidado por área'!E32</f>
        <v>1</v>
      </c>
      <c r="F47">
        <f>IF(C47&gt;0,D47/C47,0)</f>
        <v>0.909090909090909</v>
      </c>
      <c r="G47">
        <f>F47*1000000+C47*10+(1000-ROW())/10000</f>
        <v>909201.004390909</v>
      </c>
      <c r="H47">
        <f>'Consolidado por área'!H32</f>
        <v>97</v>
      </c>
      <c r="J47" t="n">
        <v>28</v>
      </c>
      <c r="K47">
        <f>MATCH(LARGE($G$20:$G$63,J47),$G$20:$G$63,0)</f>
        <v>5</v>
      </c>
      <c r="L47" t="str">
        <f>INDEX($A$20:$A$63,K47)&amp;"   "&amp;TEXT(INDEX($F$20:$F$63,K47),"0%")</f>
        <v>AGENCIA COLEGIO MEDICO   83%</v>
      </c>
      <c r="M47">
        <f>INDEX($D$20:$D$63,K47)</f>
        <v>10</v>
      </c>
      <c r="N47">
        <f>INDEX($E$20:$E$63,K47)</f>
        <v>2</v>
      </c>
      <c r="O47" t="str">
        <f>INDEX($A$20:$A$63,K47)</f>
        <v>AGENCIA COLEGIO MEDICO</v>
      </c>
      <c r="P47" t="str">
        <f>INDEX($B$20:$B$63,K47)</f>
        <v>Gerencia de Negocios</v>
      </c>
      <c r="Q47">
        <f>INDEX($C$20:$C$63,K47)</f>
        <v>12</v>
      </c>
      <c r="R47">
        <f>INDEX($F$20:$F$63,K47)</f>
        <v>0.833333333333333</v>
      </c>
      <c r="S47">
        <f>INDEX($H$20:$H$63,K47)</f>
        <v>97</v>
      </c>
      <c r="T47">
        <f>IF(OR('Dashboard Gerencial'!$B$5="Todas las gerencias",P47='Dashboard Gerencial'!$B$5),ROW(),"")</f>
        <v>47</v>
      </c>
      <c r="W47" t="str">
        <f>A61</f>
        <v>OFICIALIA DE SEGURIDAD DE LA INFORMACION</v>
      </c>
      <c r="Z47">
        <f>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individual'!F47="Completado",3000000,0)+COUNTIF('Detalle individual'!$C$5:$C$297,"&lt;"&amp;'Detalle individual'!C47)*1000+ROW(),"")</f>
        <v>3169047</v>
      </c>
    </row>
    <row r="48">
      <c r="A48" t="str">
        <f>TRIM('Consolidado por área'!A33)</f>
        <v>DEPARTAMENTO DE SERVICIOS GENERALES</v>
      </c>
      <c r="B48" t="str">
        <f>'Consolidado por área'!B33</f>
        <v>Gerencia Administrativa</v>
      </c>
      <c r="C48">
        <f>'Consolidado por área'!C33</f>
        <v>17</v>
      </c>
      <c r="D48">
        <f>'Consolidado por área'!D33</f>
        <v>17</v>
      </c>
      <c r="E48">
        <f>'Consolidado por área'!E33</f>
        <v>0</v>
      </c>
      <c r="F48">
        <f>IF(C48&gt;0,D48/C48,0)</f>
        <v>1</v>
      </c>
      <c r="G48">
        <f>F48*1000000+C48*10+(1000-ROW())/10000</f>
        <v>1000170.0952</v>
      </c>
      <c r="H48">
        <f>'Consolidado por área'!H33</f>
        <v>89.7058823529412</v>
      </c>
      <c r="J48" t="n">
        <v>29</v>
      </c>
      <c r="K48">
        <f>MATCH(LARGE($G$20:$G$63,J48),$G$20:$G$63,0)</f>
        <v>3</v>
      </c>
      <c r="L48" t="str">
        <f>INDEX($A$20:$A$63,K48)&amp;"   "&amp;TEXT(INDEX($F$20:$F$63,K48),"0%")</f>
        <v>ADMINISTRACIÓN DE CARTERAS   80%</v>
      </c>
      <c r="M48">
        <f>INDEX($D$20:$D$63,K48)</f>
        <v>4</v>
      </c>
      <c r="N48">
        <f>INDEX($E$20:$E$63,K48)</f>
        <v>1</v>
      </c>
      <c r="O48" t="str">
        <f>INDEX($A$20:$A$63,K48)</f>
        <v>ADMINISTRACIÓN DE CARTERAS</v>
      </c>
      <c r="P48" t="str">
        <f>INDEX($B$20:$B$63,K48)</f>
        <v>Gerencia de Operaciones</v>
      </c>
      <c r="Q48">
        <f>INDEX($C$20:$C$63,K48)</f>
        <v>5</v>
      </c>
      <c r="R48">
        <f>INDEX($F$20:$F$63,K48)</f>
        <v>0.8</v>
      </c>
      <c r="S48">
        <f>INDEX($H$20:$H$63,K48)</f>
        <v>100</v>
      </c>
      <c r="T48">
        <f>IF(OR('Dashboard Gerencial'!$B$5="Todas las gerencias",P48='Dashboard Gerencial'!$B$5),ROW(),"")</f>
        <v>48</v>
      </c>
      <c r="W48" t="str">
        <f>A62</f>
        <v>SUB GERENCIA DE CANALES</v>
      </c>
      <c r="Z48">
        <f>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individual'!F48="Completado",3000000,0)+COUNTIF('Detalle individual'!$C$5:$C$297,"&lt;"&amp;'Detalle individual'!C48)*1000+ROW(),"")</f>
        <v>3169048</v>
      </c>
    </row>
    <row r="49">
      <c r="A49" t="str">
        <f>TRIM('Consolidado por área'!A34)</f>
        <v>DEPARTAMENTO DE SOLUCIONES FINANCIERAS</v>
      </c>
      <c r="B49" t="str">
        <f>'Consolidado por área'!B34</f>
        <v>Gerencia de Operaciones</v>
      </c>
      <c r="C49">
        <f>'Consolidado por área'!C34</f>
        <v>10</v>
      </c>
      <c r="D49">
        <f>'Consolidado por área'!D34</f>
        <v>9</v>
      </c>
      <c r="E49">
        <f>'Consolidado por área'!E34</f>
        <v>1</v>
      </c>
      <c r="F49">
        <f>IF(C49&gt;0,D49/C49,0)</f>
        <v>0.9</v>
      </c>
      <c r="G49">
        <f>F49*1000000+C49*10+(1000-ROW())/10000</f>
        <v>900100.0951</v>
      </c>
      <c r="H49">
        <f>'Consolidado por área'!H34</f>
        <v>87.7777777777778</v>
      </c>
      <c r="J49" t="n">
        <v>30</v>
      </c>
      <c r="K49">
        <f>MATCH(LARGE($G$20:$G$63,J49),$G$20:$G$63,0)</f>
        <v>18</v>
      </c>
      <c r="L49" t="str">
        <f>INDEX($A$20:$A$63,K49)&amp;"   "&amp;TEXT(INDEX($F$20:$F$63,K49),"0%")</f>
        <v>DEPARTAMENTO DE CONTABILIDAD   77%</v>
      </c>
      <c r="M49">
        <f>INDEX($D$20:$D$63,K49)</f>
        <v>10</v>
      </c>
      <c r="N49">
        <f>INDEX($E$20:$E$63,K49)</f>
        <v>3</v>
      </c>
      <c r="O49" t="str">
        <f>INDEX($A$20:$A$63,K49)</f>
        <v>DEPARTAMENTO DE CONTABILIDAD</v>
      </c>
      <c r="P49" t="str">
        <f>INDEX($B$20:$B$63,K49)</f>
        <v>Gerencia de Finanzas y Planificación</v>
      </c>
      <c r="Q49">
        <f>INDEX($C$20:$C$63,K49)</f>
        <v>13</v>
      </c>
      <c r="R49">
        <f>INDEX($F$20:$F$63,K49)</f>
        <v>0.769230769230769</v>
      </c>
      <c r="S49">
        <f>INDEX($H$20:$H$63,K49)</f>
        <v>97.5</v>
      </c>
      <c r="T49">
        <f>IF(OR('Dashboard Gerencial'!$B$5="Todas las gerencias",P49='Dashboard Gerencial'!$B$5),ROW(),"")</f>
        <v>49</v>
      </c>
      <c r="W49" t="str">
        <f>A63</f>
        <v>CONSEJO DE ADMINISTRACION</v>
      </c>
      <c r="Z49">
        <f>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individual'!F49="Completado",3000000,0)+COUNTIF('Detalle individual'!$C$5:$C$297,"&lt;"&amp;'Detalle individual'!C49)*1000+ROW(),"")</f>
        <v>242049</v>
      </c>
    </row>
    <row r="50">
      <c r="A50" t="str">
        <f>TRIM('Consolidado por área'!A35)</f>
        <v>DEPARTAMENTO DE TALENTO HUMANO</v>
      </c>
      <c r="B50" t="str">
        <f>'Consolidado por área'!B35</f>
        <v>Gerencia Administrativa</v>
      </c>
      <c r="C50">
        <f>'Consolidado por área'!C35</f>
        <v>3</v>
      </c>
      <c r="D50">
        <f>'Consolidado por área'!D35</f>
        <v>2</v>
      </c>
      <c r="E50">
        <f>'Consolidado por área'!E35</f>
        <v>1</v>
      </c>
      <c r="F50">
        <f>IF(C50&gt;0,D50/C50,0)</f>
        <v>0.666666666666667</v>
      </c>
      <c r="G50">
        <f>F50*1000000+C50*10+(1000-ROW())/10000</f>
        <v>666696.761666667</v>
      </c>
      <c r="H50">
        <f>'Consolidado por área'!H35</f>
        <v>95</v>
      </c>
      <c r="J50" t="n">
        <v>31</v>
      </c>
      <c r="K50">
        <f>MATCH(LARGE($G$20:$G$63,J50),$G$20:$G$63,0)</f>
        <v>36</v>
      </c>
      <c r="L50" t="str">
        <f>INDEX($A$20:$A$63,K50)&amp;"   "&amp;TEXT(INDEX($F$20:$F$63,K50),"0%")</f>
        <v>GERENCIA DE NEGOCIOS   75%</v>
      </c>
      <c r="M50">
        <f>INDEX($D$20:$D$63,K50)</f>
        <v>3</v>
      </c>
      <c r="N50">
        <f>INDEX($E$20:$E$63,K50)</f>
        <v>1</v>
      </c>
      <c r="O50" t="str">
        <f>INDEX($A$20:$A$63,K50)</f>
        <v>GERENCIA DE NEGOCIOS</v>
      </c>
      <c r="P50" t="str">
        <f>INDEX($B$20:$B$63,K50)</f>
        <v>Gerencia de Negocios</v>
      </c>
      <c r="Q50">
        <f>INDEX($C$20:$C$63,K50)</f>
        <v>4</v>
      </c>
      <c r="R50">
        <f>INDEX($F$20:$F$63,K50)</f>
        <v>0.75</v>
      </c>
      <c r="S50">
        <f>INDEX($H$20:$H$63,K50)</f>
        <v>100</v>
      </c>
      <c r="T50">
        <f>IF(OR('Dashboard Gerencial'!$B$5="Todas las gerencias",P50='Dashboard Gerencial'!$B$5),ROW(),"")</f>
        <v>50</v>
      </c>
      <c r="Z50">
        <f>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individual'!F50="Completado",3000000,0)+COUNTIF('Detalle individual'!$C$5:$C$297,"&lt;"&amp;'Detalle individual'!C50)*1000+ROW(),"")</f>
        <v>3242050</v>
      </c>
    </row>
    <row r="51">
      <c r="A51" t="str">
        <f>TRIM('Consolidado por área'!A36)</f>
        <v>DEPARTAMENTO DE TARJETA DE CREDITO Y DEBITO</v>
      </c>
      <c r="B51" t="str">
        <f>'Consolidado por área'!B36</f>
        <v>Gerencia de Operaciones</v>
      </c>
      <c r="C51">
        <f>'Consolidado por área'!C36</f>
        <v>6</v>
      </c>
      <c r="D51">
        <f>'Consolidado por área'!D36</f>
        <v>4</v>
      </c>
      <c r="E51">
        <f>'Consolidado por área'!E36</f>
        <v>2</v>
      </c>
      <c r="F51">
        <f>IF(C51&gt;0,D51/C51,0)</f>
        <v>0.666666666666667</v>
      </c>
      <c r="G51">
        <f>F51*1000000+C51*10+(1000-ROW())/10000</f>
        <v>666726.761566667</v>
      </c>
      <c r="H51">
        <f>'Consolidado por área'!H36</f>
        <v>98.75</v>
      </c>
      <c r="J51" t="n">
        <v>32</v>
      </c>
      <c r="K51">
        <f>MATCH(LARGE($G$20:$G$63,J51),$G$20:$G$63,0)</f>
        <v>38</v>
      </c>
      <c r="L51" t="str">
        <f>INDEX($A$20:$A$63,K51)&amp;"   "&amp;TEXT(INDEX($F$20:$F$63,K51),"0%")</f>
        <v>GERENCIA DE SISTEMAS   75%</v>
      </c>
      <c r="M51">
        <f>INDEX($D$20:$D$63,K51)</f>
        <v>3</v>
      </c>
      <c r="N51">
        <f>INDEX($E$20:$E$63,K51)</f>
        <v>1</v>
      </c>
      <c r="O51" t="str">
        <f>INDEX($A$20:$A$63,K51)</f>
        <v>GERENCIA DE SISTEMAS</v>
      </c>
      <c r="P51" t="str">
        <f>INDEX($B$20:$B$63,K51)</f>
        <v>Gerencia de Sistemas</v>
      </c>
      <c r="Q51">
        <f>INDEX($C$20:$C$63,K51)</f>
        <v>4</v>
      </c>
      <c r="R51">
        <f>INDEX($F$20:$F$63,K51)</f>
        <v>0.75</v>
      </c>
      <c r="S51">
        <f>INDEX($H$20:$H$63,K51)</f>
        <v>98.3333333333333</v>
      </c>
      <c r="T51">
        <f>IF(OR('Dashboard Gerencial'!$B$5="Todas las gerencias",P51='Dashboard Gerencial'!$B$5),ROW(),"")</f>
        <v>51</v>
      </c>
      <c r="Z51">
        <f>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individual'!F51="Completado",3000000,0)+COUNTIF('Detalle individual'!$C$5:$C$297,"&lt;"&amp;'Detalle individual'!C51)*1000+ROW(),"")</f>
        <v>3242051</v>
      </c>
    </row>
    <row r="52">
      <c r="A52" t="str">
        <f>TRIM('Consolidado por área'!A37)</f>
        <v>DEPARTAMENTO LEGAL</v>
      </c>
      <c r="B52" t="str">
        <f>'Consolidado por área'!B37</f>
        <v>Gerencia Legal y Cumplimiento Normativo</v>
      </c>
      <c r="C52">
        <f>'Consolidado por área'!C37</f>
        <v>8</v>
      </c>
      <c r="D52">
        <f>'Consolidado por área'!D37</f>
        <v>8</v>
      </c>
      <c r="E52">
        <f>'Consolidado por área'!E37</f>
        <v>0</v>
      </c>
      <c r="F52">
        <f>IF(C52&gt;0,D52/C52,0)</f>
        <v>1</v>
      </c>
      <c r="G52">
        <f>F52*1000000+C52*10+(1000-ROW())/10000</f>
        <v>1000080.0948</v>
      </c>
      <c r="H52">
        <f>'Consolidado por área'!H37</f>
        <v>97.5</v>
      </c>
      <c r="J52" t="n">
        <v>33</v>
      </c>
      <c r="K52">
        <f>MATCH(LARGE($G$20:$G$63,J52),$G$20:$G$63,0)</f>
        <v>32</v>
      </c>
      <c r="L52" t="str">
        <f>INDEX($A$20:$A$63,K52)&amp;"   "&amp;TEXT(INDEX($F$20:$F$63,K52),"0%")</f>
        <v>DEPARTAMENTO DE TARJETA DE CREDITO Y DEBITO   67%</v>
      </c>
      <c r="M52">
        <f>INDEX($D$20:$D$63,K52)</f>
        <v>4</v>
      </c>
      <c r="N52">
        <f>INDEX($E$20:$E$63,K52)</f>
        <v>2</v>
      </c>
      <c r="O52" t="str">
        <f>INDEX($A$20:$A$63,K52)</f>
        <v>DEPARTAMENTO DE TARJETA DE CREDITO Y DEBITO</v>
      </c>
      <c r="P52" t="str">
        <f>INDEX($B$20:$B$63,K52)</f>
        <v>Gerencia de Operaciones</v>
      </c>
      <c r="Q52">
        <f>INDEX($C$20:$C$63,K52)</f>
        <v>6</v>
      </c>
      <c r="R52">
        <f>INDEX($F$20:$F$63,K52)</f>
        <v>0.666666666666667</v>
      </c>
      <c r="S52">
        <f>INDEX($H$20:$H$63,K52)</f>
        <v>98.75</v>
      </c>
      <c r="T52">
        <f>IF(OR('Dashboard Gerencial'!$B$5="Todas las gerencias",P52='Dashboard Gerencial'!$B$5),ROW(),"")</f>
        <v>52</v>
      </c>
      <c r="Z52">
        <f>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individual'!F52="Completado",3000000,0)+COUNTIF('Detalle individual'!$C$5:$C$297,"&lt;"&amp;'Detalle individual'!C52)*1000+ROW(),"")</f>
        <v>3202052</v>
      </c>
    </row>
    <row r="53">
      <c r="A53" t="str">
        <f>TRIM('Consolidado por área'!A38)</f>
        <v>GERENCIA ADMINISTRATIVA</v>
      </c>
      <c r="B53" t="str">
        <f>'Consolidado por área'!B38</f>
        <v>Gerencia Administrativa</v>
      </c>
      <c r="C53">
        <f>'Consolidado por área'!C38</f>
        <v>2</v>
      </c>
      <c r="D53">
        <f>'Consolidado por área'!D38</f>
        <v>2</v>
      </c>
      <c r="E53">
        <f>'Consolidado por área'!E38</f>
        <v>0</v>
      </c>
      <c r="F53">
        <f>IF(C53&gt;0,D53/C53,0)</f>
        <v>1</v>
      </c>
      <c r="G53">
        <f>F53*1000000+C53*10+(1000-ROW())/10000</f>
        <v>1000020.0947</v>
      </c>
      <c r="H53">
        <f>'Consolidado por área'!H38</f>
        <v>100</v>
      </c>
      <c r="J53" t="n">
        <v>34</v>
      </c>
      <c r="K53">
        <f>MATCH(LARGE($G$20:$G$63,J53),$G$20:$G$63,0)</f>
        <v>25</v>
      </c>
      <c r="L53" t="str">
        <f>INDEX($A$20:$A$63,K53)&amp;"   "&amp;TEXT(INDEX($F$20:$F$63,K53),"0%")</f>
        <v>DEPARTAMENTO DE PLANIFICACIÓN Y ANALISIS   67%</v>
      </c>
      <c r="M53">
        <f>INDEX($D$20:$D$63,K53)</f>
        <v>2</v>
      </c>
      <c r="N53">
        <f>INDEX($E$20:$E$63,K53)</f>
        <v>1</v>
      </c>
      <c r="O53" t="str">
        <f>INDEX($A$20:$A$63,K53)</f>
        <v>DEPARTAMENTO DE PLANIFICACIÓN Y ANALISIS</v>
      </c>
      <c r="P53" t="str">
        <f>INDEX($B$20:$B$63,K53)</f>
        <v>Gerencia de Finanzas y Planificación</v>
      </c>
      <c r="Q53">
        <f>INDEX($C$20:$C$63,K53)</f>
        <v>3</v>
      </c>
      <c r="R53">
        <f>INDEX($F$20:$F$63,K53)</f>
        <v>0.666666666666667</v>
      </c>
      <c r="S53">
        <f>INDEX($H$20:$H$63,K53)</f>
        <v>100</v>
      </c>
      <c r="T53">
        <f>IF(OR('Dashboard Gerencial'!$B$5="Todas las gerencias",P53='Dashboard Gerencial'!$B$5),ROW(),"")</f>
        <v>53</v>
      </c>
      <c r="Z53">
        <f>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individual'!F53="Completado",3000000,0)+COUNTIF('Detalle individual'!$C$5:$C$297,"&lt;"&amp;'Detalle individual'!C53)*1000+ROW(),"")</f>
        <v>3202053</v>
      </c>
    </row>
    <row r="54">
      <c r="A54" t="str">
        <f>TRIM('Consolidado por área'!A39)</f>
        <v>GERENCIA DE FINANZAS Y PLANIFICACIÓN</v>
      </c>
      <c r="B54" t="str">
        <f>'Consolidado por área'!B39</f>
        <v>Gerencia de Finanzas y Planificación</v>
      </c>
      <c r="C54">
        <f>'Consolidado por área'!C39</f>
        <v>2</v>
      </c>
      <c r="D54">
        <f>'Consolidado por área'!D39</f>
        <v>2</v>
      </c>
      <c r="E54">
        <f>'Consolidado por área'!E39</f>
        <v>0</v>
      </c>
      <c r="F54">
        <f>IF(C54&gt;0,D54/C54,0)</f>
        <v>1</v>
      </c>
      <c r="G54">
        <f>F54*1000000+C54*10+(1000-ROW())/10000</f>
        <v>1000020.0946</v>
      </c>
      <c r="H54">
        <f>'Consolidado por área'!H39</f>
        <v>100</v>
      </c>
      <c r="J54" t="n">
        <v>35</v>
      </c>
      <c r="K54">
        <f>MATCH(LARGE($G$20:$G$63,J54),$G$20:$G$63,0)</f>
        <v>31</v>
      </c>
      <c r="L54" t="str">
        <f>INDEX($A$20:$A$63,K54)&amp;"   "&amp;TEXT(INDEX($F$20:$F$63,K54),"0%")</f>
        <v>DEPARTAMENTO DE TALENTO HUMANO   67%</v>
      </c>
      <c r="M54">
        <f>INDEX($D$20:$D$63,K54)</f>
        <v>2</v>
      </c>
      <c r="N54">
        <f>INDEX($E$20:$E$63,K54)</f>
        <v>1</v>
      </c>
      <c r="O54" t="str">
        <f>INDEX($A$20:$A$63,K54)</f>
        <v>DEPARTAMENTO DE TALENTO HUMANO</v>
      </c>
      <c r="P54" t="str">
        <f>INDEX($B$20:$B$63,K54)</f>
        <v>Gerencia Administrativa</v>
      </c>
      <c r="Q54">
        <f>INDEX($C$20:$C$63,K54)</f>
        <v>3</v>
      </c>
      <c r="R54">
        <f>INDEX($F$20:$F$63,K54)</f>
        <v>0.666666666666667</v>
      </c>
      <c r="S54">
        <f>INDEX($H$20:$H$63,K54)</f>
        <v>95</v>
      </c>
      <c r="T54">
        <f>IF(OR('Dashboard Gerencial'!$B$5="Todas las gerencias",P54='Dashboard Gerencial'!$B$5),ROW(),"")</f>
        <v>54</v>
      </c>
      <c r="Z54">
        <f>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individual'!F54="Completado",3000000,0)+COUNTIF('Detalle individual'!$C$5:$C$297,"&lt;"&amp;'Detalle individual'!C54)*1000+ROW(),"")</f>
        <v>3107054</v>
      </c>
    </row>
    <row r="55">
      <c r="A55" t="str">
        <f>TRIM('Consolidado por área'!A40)</f>
        <v>GERENCIA DE NEGOCIOS</v>
      </c>
      <c r="B55" t="str">
        <f>'Consolidado por área'!B40</f>
        <v>Gerencia de Negocios</v>
      </c>
      <c r="C55">
        <f>'Consolidado por área'!C40</f>
        <v>4</v>
      </c>
      <c r="D55">
        <f>'Consolidado por área'!D40</f>
        <v>3</v>
      </c>
      <c r="E55">
        <f>'Consolidado por área'!E40</f>
        <v>1</v>
      </c>
      <c r="F55">
        <f>IF(C55&gt;0,D55/C55,0)</f>
        <v>0.75</v>
      </c>
      <c r="G55">
        <f>F55*1000000+C55*10+(1000-ROW())/10000</f>
        <v>750040.0945</v>
      </c>
      <c r="H55">
        <f>'Consolidado por área'!H40</f>
        <v>100</v>
      </c>
      <c r="J55" t="n">
        <v>36</v>
      </c>
      <c r="K55">
        <f>MATCH(LARGE($G$20:$G$63,J55),$G$20:$G$63,0)</f>
        <v>10</v>
      </c>
      <c r="L55" t="str">
        <f>INDEX($A$20:$A$63,K55)&amp;"   "&amp;TEXT(INDEX($F$20:$F$63,K55),"0%")</f>
        <v>AGENCIA SANTA ANA   50%</v>
      </c>
      <c r="M55">
        <f>INDEX($D$20:$D$63,K55)</f>
        <v>4</v>
      </c>
      <c r="N55">
        <f>INDEX($E$20:$E$63,K55)</f>
        <v>4</v>
      </c>
      <c r="O55" t="str">
        <f>INDEX($A$20:$A$63,K55)</f>
        <v>AGENCIA SANTA ANA</v>
      </c>
      <c r="P55" t="str">
        <f>INDEX($B$20:$B$63,K55)</f>
        <v>Gerencia de Negocios</v>
      </c>
      <c r="Q55">
        <f>INDEX($C$20:$C$63,K55)</f>
        <v>8</v>
      </c>
      <c r="R55">
        <f>INDEX($F$20:$F$63,K55)</f>
        <v>0.5</v>
      </c>
      <c r="S55">
        <f>INDEX($H$20:$H$63,K55)</f>
        <v>95</v>
      </c>
      <c r="T55">
        <f>IF(OR('Dashboard Gerencial'!$B$5="Todas las gerencias",P55='Dashboard Gerencial'!$B$5),ROW(),"")</f>
        <v>55</v>
      </c>
      <c r="Z55">
        <f>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individual'!F55="Completado",3000000,0)+COUNTIF('Detalle individual'!$C$5:$C$297,"&lt;"&amp;'Detalle individual'!C55)*1000+ROW(),"")</f>
        <v>3107055</v>
      </c>
    </row>
    <row r="56">
      <c r="A56" t="str">
        <f>TRIM('Consolidado por área'!A41)</f>
        <v>GERENCIA DE OPERACIONES</v>
      </c>
      <c r="B56" t="str">
        <f>'Consolidado por área'!B41</f>
        <v>Gerencia de Operaciones</v>
      </c>
      <c r="C56">
        <f>'Consolidado por área'!C41</f>
        <v>1</v>
      </c>
      <c r="D56">
        <f>'Consolidado por área'!D41</f>
        <v>0</v>
      </c>
      <c r="E56">
        <f>'Consolidado por área'!E41</f>
        <v>1</v>
      </c>
      <c r="F56">
        <f>IF(C56&gt;0,D56/C56,0)</f>
        <v>0</v>
      </c>
      <c r="G56">
        <f>F56*1000000+C56*10+(1000-ROW())/10000</f>
        <v>10.0944</v>
      </c>
      <c r="H56" t="str">
        <f>'Consolidado por área'!H41</f>
        <v/>
      </c>
      <c r="J56" t="n">
        <v>37</v>
      </c>
      <c r="K56">
        <f>MATCH(LARGE($G$20:$G$63,J56),$G$20:$G$63,0)</f>
        <v>39</v>
      </c>
      <c r="L56" t="str">
        <f>INDEX($A$20:$A$63,K56)&amp;"   "&amp;TEXT(INDEX($F$20:$F$63,K56),"0%")</f>
        <v>GERENCIA GENERAL   50%</v>
      </c>
      <c r="M56">
        <f>INDEX($D$20:$D$63,K56)</f>
        <v>1</v>
      </c>
      <c r="N56">
        <f>INDEX($E$20:$E$63,K56)</f>
        <v>1</v>
      </c>
      <c r="O56" t="str">
        <f>INDEX($A$20:$A$63,K56)</f>
        <v>GERENCIA GENERAL</v>
      </c>
      <c r="P56" t="str">
        <f>INDEX($B$20:$B$63,K56)</f>
        <v>Gerencia General</v>
      </c>
      <c r="Q56">
        <f>INDEX($C$20:$C$63,K56)</f>
        <v>2</v>
      </c>
      <c r="R56">
        <f>INDEX($F$20:$F$63,K56)</f>
        <v>0.5</v>
      </c>
      <c r="S56">
        <f>INDEX($H$20:$H$63,K56)</f>
        <v>100</v>
      </c>
      <c r="T56">
        <f>IF(OR('Dashboard Gerencial'!$B$5="Todas las gerencias",P56='Dashboard Gerencial'!$B$5),ROW(),"")</f>
        <v>56</v>
      </c>
      <c r="Z56">
        <f>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individual'!F56="Completado",3000000,0)+COUNTIF('Detalle individual'!$C$5:$C$297,"&lt;"&amp;'Detalle individual'!C56)*1000+ROW(),"")</f>
        <v>179056</v>
      </c>
    </row>
    <row r="57">
      <c r="A57" t="str">
        <f>TRIM('Consolidado por área'!A42)</f>
        <v>GERENCIA DE SISTEMAS</v>
      </c>
      <c r="B57" t="str">
        <f>'Consolidado por área'!B42</f>
        <v>Gerencia de Sistemas</v>
      </c>
      <c r="C57">
        <f>'Consolidado por área'!C42</f>
        <v>4</v>
      </c>
      <c r="D57">
        <f>'Consolidado por área'!D42</f>
        <v>3</v>
      </c>
      <c r="E57">
        <f>'Consolidado por área'!E42</f>
        <v>1</v>
      </c>
      <c r="F57">
        <f>IF(C57&gt;0,D57/C57,0)</f>
        <v>0.75</v>
      </c>
      <c r="G57">
        <f>F57*1000000+C57*10+(1000-ROW())/10000</f>
        <v>750040.0943</v>
      </c>
      <c r="H57">
        <f>'Consolidado por área'!H42</f>
        <v>98.3333333333333</v>
      </c>
      <c r="J57" t="n">
        <v>38</v>
      </c>
      <c r="K57">
        <f>MATCH(LARGE($G$20:$G$63,J57),$G$20:$G$63,0)</f>
        <v>4</v>
      </c>
      <c r="L57" t="str">
        <f>INDEX($A$20:$A$63,K57)&amp;"   "&amp;TEXT(INDEX($F$20:$F$63,K57),"0%")</f>
        <v>AGENCIA CENTRAL   44%</v>
      </c>
      <c r="M57">
        <f>INDEX($D$20:$D$63,K57)</f>
        <v>8</v>
      </c>
      <c r="N57">
        <f>INDEX($E$20:$E$63,K57)</f>
        <v>10</v>
      </c>
      <c r="O57" t="str">
        <f>INDEX($A$20:$A$63,K57)</f>
        <v>AGENCIA CENTRAL</v>
      </c>
      <c r="P57" t="str">
        <f>INDEX($B$20:$B$63,K57)</f>
        <v>Gerencia de Negocios</v>
      </c>
      <c r="Q57">
        <f>INDEX($C$20:$C$63,K57)</f>
        <v>18</v>
      </c>
      <c r="R57">
        <f>INDEX($F$20:$F$63,K57)</f>
        <v>0.444444444444444</v>
      </c>
      <c r="S57">
        <f>INDEX($H$20:$H$63,K57)</f>
        <v>96.25</v>
      </c>
      <c r="T57">
        <f>IF(OR('Dashboard Gerencial'!$B$5="Todas las gerencias",P57='Dashboard Gerencial'!$B$5),ROW(),"")</f>
        <v>57</v>
      </c>
      <c r="Z57">
        <f>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individual'!F57="Completado",3000000,0)+COUNTIF('Detalle individual'!$C$5:$C$297,"&lt;"&amp;'Detalle individual'!C57)*1000+ROW(),"")</f>
        <v>3179057</v>
      </c>
    </row>
    <row r="58">
      <c r="A58" t="str">
        <f>TRIM('Consolidado por área'!A43)</f>
        <v>GERENCIA GENERAL</v>
      </c>
      <c r="B58" t="str">
        <f>'Consolidado por área'!B43</f>
        <v>Gerencia General</v>
      </c>
      <c r="C58">
        <f>'Consolidado por área'!C43</f>
        <v>2</v>
      </c>
      <c r="D58">
        <f>'Consolidado por área'!D43</f>
        <v>1</v>
      </c>
      <c r="E58">
        <f>'Consolidado por área'!E43</f>
        <v>1</v>
      </c>
      <c r="F58">
        <f>IF(C58&gt;0,D58/C58,0)</f>
        <v>0.5</v>
      </c>
      <c r="G58">
        <f>F58*1000000+C58*10+(1000-ROW())/10000</f>
        <v>500020.0942</v>
      </c>
      <c r="H58">
        <f>'Consolidado por área'!H43</f>
        <v>100</v>
      </c>
      <c r="J58" t="n">
        <v>39</v>
      </c>
      <c r="K58">
        <f>MATCH(LARGE($G$20:$G$63,J58),$G$20:$G$63,0)</f>
        <v>6</v>
      </c>
      <c r="L58" t="str">
        <f>INDEX($A$20:$A$63,K58)&amp;"   "&amp;TEXT(INDEX($F$20:$F$63,K58),"0%")</f>
        <v>AGENCIA COLONIA MEDICA   44%</v>
      </c>
      <c r="M58">
        <f>INDEX($D$20:$D$63,K58)</f>
        <v>7</v>
      </c>
      <c r="N58">
        <f>INDEX($E$20:$E$63,K58)</f>
        <v>9</v>
      </c>
      <c r="O58" t="str">
        <f>INDEX($A$20:$A$63,K58)</f>
        <v>AGENCIA COLONIA MEDICA</v>
      </c>
      <c r="P58" t="str">
        <f>INDEX($B$20:$B$63,K58)</f>
        <v>Gerencia de Negocios</v>
      </c>
      <c r="Q58">
        <f>INDEX($C$20:$C$63,K58)</f>
        <v>16</v>
      </c>
      <c r="R58">
        <f>INDEX($F$20:$F$63,K58)</f>
        <v>0.4375</v>
      </c>
      <c r="S58">
        <f>INDEX($H$20:$H$63,K58)</f>
        <v>97.8571428571429</v>
      </c>
      <c r="T58">
        <f>IF(OR('Dashboard Gerencial'!$B$5="Todas las gerencias",P58='Dashboard Gerencial'!$B$5),ROW(),"")</f>
        <v>58</v>
      </c>
      <c r="Z58">
        <f>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individual'!F58="Completado",3000000,0)+COUNTIF('Detalle individual'!$C$5:$C$297,"&lt;"&amp;'Detalle individual'!C58)*1000+ROW(),"")</f>
        <v>179058</v>
      </c>
    </row>
    <row r="59">
      <c r="A59" t="str">
        <f>TRIM('Consolidado por área'!A44)</f>
        <v>GERENCIA LEGAL Y DE CUMPLIMIENTO NORMATIVO</v>
      </c>
      <c r="B59" t="str">
        <f>'Consolidado por área'!B44</f>
        <v>Gerencia Legal y Cumplimiento Normativo</v>
      </c>
      <c r="C59">
        <f>'Consolidado por área'!C44</f>
        <v>1</v>
      </c>
      <c r="D59">
        <f>'Consolidado por área'!D44</f>
        <v>1</v>
      </c>
      <c r="E59">
        <f>'Consolidado por área'!E44</f>
        <v>0</v>
      </c>
      <c r="F59">
        <f>IF(C59&gt;0,D59/C59,0)</f>
        <v>1</v>
      </c>
      <c r="G59">
        <f>F59*1000000+C59*10+(1000-ROW())/10000</f>
        <v>1000010.0941</v>
      </c>
      <c r="H59">
        <f>'Consolidado por área'!H44</f>
        <v>100</v>
      </c>
      <c r="J59" t="n">
        <v>40</v>
      </c>
      <c r="K59">
        <f>MATCH(LARGE($G$20:$G$63,J59),$G$20:$G$63,0)</f>
        <v>43</v>
      </c>
      <c r="L59" t="str">
        <f>INDEX($A$20:$A$63,K59)&amp;"   "&amp;TEXT(INDEX($F$20:$F$63,K59),"0%")</f>
        <v>SUB GERENCIA DE CANALES   43%</v>
      </c>
      <c r="M59">
        <f>INDEX($D$20:$D$63,K59)</f>
        <v>3</v>
      </c>
      <c r="N59">
        <f>INDEX($E$20:$E$63,K59)</f>
        <v>4</v>
      </c>
      <c r="O59" t="str">
        <f>INDEX($A$20:$A$63,K59)</f>
        <v>SUB GERENCIA DE CANALES</v>
      </c>
      <c r="P59" t="str">
        <f>INDEX($B$20:$B$63,K59)</f>
        <v>Gerencia de Negocios</v>
      </c>
      <c r="Q59">
        <f>INDEX($C$20:$C$63,K59)</f>
        <v>7</v>
      </c>
      <c r="R59">
        <f>INDEX($F$20:$F$63,K59)</f>
        <v>0.428571428571429</v>
      </c>
      <c r="S59">
        <f>INDEX($H$20:$H$63,K59)</f>
        <v>96.6666666666667</v>
      </c>
      <c r="T59">
        <f>IF(OR('Dashboard Gerencial'!$B$5="Todas las gerencias",P59='Dashboard Gerencial'!$B$5),ROW(),"")</f>
        <v>59</v>
      </c>
      <c r="Z59">
        <f>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individual'!F59="Completado",3000000,0)+COUNTIF('Detalle individual'!$C$5:$C$297,"&lt;"&amp;'Detalle individual'!C59)*1000+ROW(),"")</f>
        <v>3232059</v>
      </c>
    </row>
    <row r="60">
      <c r="A60" t="str">
        <f>TRIM('Consolidado por área'!A45)</f>
        <v>OFICIALIA DE CUMPLIMIENTO</v>
      </c>
      <c r="B60" t="str">
        <f>'Consolidado por área'!B45</f>
        <v>Gerencia de Oficialía de Cumplimiento</v>
      </c>
      <c r="C60">
        <f>'Consolidado por área'!C45</f>
        <v>7</v>
      </c>
      <c r="D60">
        <f>'Consolidado por área'!D45</f>
        <v>7</v>
      </c>
      <c r="E60">
        <f>'Consolidado por área'!E45</f>
        <v>0</v>
      </c>
      <c r="F60">
        <f>IF(C60&gt;0,D60/C60,0)</f>
        <v>1</v>
      </c>
      <c r="G60">
        <f>F60*1000000+C60*10+(1000-ROW())/10000</f>
        <v>1000070.094</v>
      </c>
      <c r="H60">
        <f>'Consolidado por área'!H45</f>
        <v>100</v>
      </c>
      <c r="J60" t="n">
        <v>41</v>
      </c>
      <c r="K60">
        <f>MATCH(LARGE($G$20:$G$63,J60),$G$20:$G$63,0)</f>
        <v>22</v>
      </c>
      <c r="L60" t="str">
        <f>INDEX($A$20:$A$63,K60)&amp;"   "&amp;TEXT(INDEX($F$20:$F$63,K60),"0%")</f>
        <v>DEPARTAMENTO DE EDUCACION Y RESPONSABILIDAD SOCIAL   33%</v>
      </c>
      <c r="M60">
        <f>INDEX($D$20:$D$63,K60)</f>
        <v>1</v>
      </c>
      <c r="N60">
        <f>INDEX($E$20:$E$63,K60)</f>
        <v>2</v>
      </c>
      <c r="O60" t="str">
        <f>INDEX($A$20:$A$63,K60)</f>
        <v>DEPARTAMENTO DE EDUCACION Y RESPONSABILIDAD SOCIAL</v>
      </c>
      <c r="P60" t="str">
        <f>INDEX($B$20:$B$63,K60)</f>
        <v>Gerencia Administrativa</v>
      </c>
      <c r="Q60">
        <f>INDEX($C$20:$C$63,K60)</f>
        <v>3</v>
      </c>
      <c r="R60">
        <f>INDEX($F$20:$F$63,K60)</f>
        <v>0.333333333333333</v>
      </c>
      <c r="S60">
        <f>INDEX($H$20:$H$63,K60)</f>
        <v>100</v>
      </c>
      <c r="T60">
        <f>IF(OR('Dashboard Gerencial'!$B$5="Todas las gerencias",P60='Dashboard Gerencial'!$B$5),ROW(),"")</f>
        <v>60</v>
      </c>
      <c r="Z60">
        <f>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individual'!F60="Completado",3000000,0)+COUNTIF('Detalle individual'!$C$5:$C$297,"&lt;"&amp;'Detalle individual'!C60)*1000+ROW(),"")</f>
        <v>3232060</v>
      </c>
    </row>
    <row r="61">
      <c r="A61" t="str">
        <f>TRIM('Consolidado por área'!A46)</f>
        <v>OFICIALIA DE SEGURIDAD DE LA INFORMACION</v>
      </c>
      <c r="B61" t="str">
        <f>'Consolidado por área'!B46</f>
        <v>Gerencia General</v>
      </c>
      <c r="C61">
        <f>'Consolidado por área'!C46</f>
        <v>4</v>
      </c>
      <c r="D61">
        <f>'Consolidado por área'!D46</f>
        <v>4</v>
      </c>
      <c r="E61">
        <f>'Consolidado por área'!E46</f>
        <v>0</v>
      </c>
      <c r="F61">
        <f>IF(C61&gt;0,D61/C61,0)</f>
        <v>1</v>
      </c>
      <c r="G61">
        <f>F61*1000000+C61*10+(1000-ROW())/10000</f>
        <v>1000040.0939</v>
      </c>
      <c r="H61">
        <f>'Consolidado por área'!H46</f>
        <v>96.25</v>
      </c>
      <c r="J61" t="n">
        <v>42</v>
      </c>
      <c r="K61">
        <f>MATCH(LARGE($G$20:$G$63,J61),$G$20:$G$63,0)</f>
        <v>23</v>
      </c>
      <c r="L61" t="str">
        <f>INDEX($A$20:$A$63,K61)&amp;"   "&amp;TEXT(INDEX($F$20:$F$63,K61),"0%")</f>
        <v>DEPARTAMENTO DE MERCADEO   29%</v>
      </c>
      <c r="M61">
        <f>INDEX($D$20:$D$63,K61)</f>
        <v>2</v>
      </c>
      <c r="N61">
        <f>INDEX($E$20:$E$63,K61)</f>
        <v>5</v>
      </c>
      <c r="O61" t="str">
        <f>INDEX($A$20:$A$63,K61)</f>
        <v>DEPARTAMENTO DE MERCADEO</v>
      </c>
      <c r="P61" t="str">
        <f>INDEX($B$20:$B$63,K61)</f>
        <v>Gerencia de Negocios</v>
      </c>
      <c r="Q61">
        <f>INDEX($C$20:$C$63,K61)</f>
        <v>7</v>
      </c>
      <c r="R61">
        <f>INDEX($F$20:$F$63,K61)</f>
        <v>0.285714285714286</v>
      </c>
      <c r="S61">
        <f>INDEX($H$20:$H$63,K61)</f>
        <v>97.5</v>
      </c>
      <c r="T61">
        <f>IF(OR('Dashboard Gerencial'!$B$5="Todas las gerencias",P61='Dashboard Gerencial'!$B$5),ROW(),"")</f>
        <v>61</v>
      </c>
      <c r="Z61">
        <f>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individual'!F61="Completado",3000000,0)+COUNTIF('Detalle individual'!$C$5:$C$297,"&lt;"&amp;'Detalle individual'!C61)*1000+ROW(),"")</f>
        <v>3232061</v>
      </c>
    </row>
    <row r="62">
      <c r="A62" t="str">
        <f>TRIM('Consolidado por área'!A47)</f>
        <v>SUB GERENCIA DE CANALES</v>
      </c>
      <c r="B62" t="str">
        <f>'Consolidado por área'!B47</f>
        <v>Gerencia de Negocios</v>
      </c>
      <c r="C62">
        <f>'Consolidado por área'!C47</f>
        <v>7</v>
      </c>
      <c r="D62">
        <f>'Consolidado por área'!D47</f>
        <v>3</v>
      </c>
      <c r="E62">
        <f>'Consolidado por área'!E47</f>
        <v>4</v>
      </c>
      <c r="F62">
        <f>IF(C62&gt;0,D62/C62,0)</f>
        <v>0.428571428571429</v>
      </c>
      <c r="G62">
        <f>F62*1000000+C62*10+(1000-ROW())/10000</f>
        <v>428641.522371429</v>
      </c>
      <c r="H62">
        <f>'Consolidado por área'!H47</f>
        <v>96.6666666666667</v>
      </c>
      <c r="J62" t="n">
        <v>43</v>
      </c>
      <c r="K62">
        <f>MATCH(LARGE($G$20:$G$63,J62),$G$20:$G$63,0)</f>
        <v>11</v>
      </c>
      <c r="L62" t="str">
        <f>INDEX($A$20:$A$63,K62)&amp;"   "&amp;TEXT(INDEX($F$20:$F$63,K62),"0%")</f>
        <v>AGENCIA SONSONATE   14%</v>
      </c>
      <c r="M62">
        <f>INDEX($D$20:$D$63,K62)</f>
        <v>1</v>
      </c>
      <c r="N62">
        <f>INDEX($E$20:$E$63,K62)</f>
        <v>6</v>
      </c>
      <c r="O62" t="str">
        <f>INDEX($A$20:$A$63,K62)</f>
        <v>AGENCIA SONSONATE</v>
      </c>
      <c r="P62" t="str">
        <f>INDEX($B$20:$B$63,K62)</f>
        <v>Gerencia de Negocios</v>
      </c>
      <c r="Q62">
        <f>INDEX($C$20:$C$63,K62)</f>
        <v>7</v>
      </c>
      <c r="R62">
        <f>INDEX($F$20:$F$63,K62)</f>
        <v>0.142857142857143</v>
      </c>
      <c r="S62">
        <f>INDEX($H$20:$H$63,K62)</f>
        <v>80</v>
      </c>
      <c r="T62">
        <f>IF(OR('Dashboard Gerencial'!$B$5="Todas las gerencias",P62='Dashboard Gerencial'!$B$5),ROW(),"")</f>
        <v>62</v>
      </c>
      <c r="Z62">
        <f>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individual'!F62="Completado",3000000,0)+COUNTIF('Detalle individual'!$C$5:$C$297,"&lt;"&amp;'Detalle individual'!C62)*1000+ROW(),"")</f>
        <v>3232062</v>
      </c>
    </row>
    <row r="63">
      <c r="A63" t="str">
        <f>TRIM('Consolidado por área'!A48)</f>
        <v>CONSEJO DE ADMINISTRACION</v>
      </c>
      <c r="B63" t="str">
        <f>'Consolidado por área'!B48</f>
        <v>Consejo de Administración</v>
      </c>
      <c r="C63">
        <f>'Consolidado por área'!C48</f>
        <v>1</v>
      </c>
      <c r="D63">
        <f>'Consolidado por área'!D48</f>
        <v>1</v>
      </c>
      <c r="E63">
        <f>'Consolidado por área'!E48</f>
        <v>0</v>
      </c>
      <c r="F63">
        <f>IF(C63&gt;0,D63/C63,0)</f>
        <v>1</v>
      </c>
      <c r="G63">
        <f>F63*1000000+C63*10+(1000-ROW())/10000</f>
        <v>1000010.0937</v>
      </c>
      <c r="H63">
        <f>'Consolidado por área'!H48</f>
        <v>90</v>
      </c>
      <c r="J63" t="n">
        <v>44</v>
      </c>
      <c r="K63">
        <f>MATCH(LARGE($G$20:$G$63,J63),$G$20:$G$63,0)</f>
        <v>37</v>
      </c>
      <c r="L63" t="str">
        <f>INDEX($A$20:$A$63,K63)&amp;"   "&amp;TEXT(INDEX($F$20:$F$63,K63),"0%")</f>
        <v>GERENCIA DE OPERACIONES   0%</v>
      </c>
      <c r="M63">
        <f>INDEX($D$20:$D$63,K63)</f>
        <v>0</v>
      </c>
      <c r="N63">
        <f>INDEX($E$20:$E$63,K63)</f>
        <v>1</v>
      </c>
      <c r="O63" t="str">
        <f>INDEX($A$20:$A$63,K63)</f>
        <v>GERENCIA DE OPERACIONES</v>
      </c>
      <c r="P63" t="str">
        <f>INDEX($B$20:$B$63,K63)</f>
        <v>Gerencia de Operaciones</v>
      </c>
      <c r="Q63">
        <f>INDEX($C$20:$C$63,K63)</f>
        <v>1</v>
      </c>
      <c r="R63">
        <f>INDEX($F$20:$F$63,K63)</f>
        <v>0</v>
      </c>
      <c r="S63" t="str">
        <f>INDEX($H$20:$H$63,K63)</f>
        <v/>
      </c>
      <c r="T63">
        <f>IF(OR('Dashboard Gerencial'!$B$5="Todas las gerencias",P63='Dashboard Gerencial'!$B$5),ROW(),"")</f>
        <v>63</v>
      </c>
      <c r="Z63">
        <f>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individual'!F63="Completado",3000000,0)+COUNTIF('Detalle individual'!$C$5:$C$297,"&lt;"&amp;'Detalle individual'!C63)*1000+ROW(),"")</f>
        <v>3232063</v>
      </c>
    </row>
    <row r="64">
      <c r="Z64">
        <f>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individual'!F64="Completado",3000000,0)+COUNTIF('Detalle individual'!$C$5:$C$297,"&lt;"&amp;'Detalle individual'!C64)*1000+ROW(),"")</f>
        <v>3232064</v>
      </c>
    </row>
    <row r="65">
      <c r="Z65">
        <f>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individual'!F65="Completado",3000000,0)+COUNTIF('Detalle individual'!$C$5:$C$297,"&lt;"&amp;'Detalle individual'!C65)*1000+ROW(),"")</f>
        <v>3232065</v>
      </c>
    </row>
    <row r="66">
      <c r="A66" t="inlineStr">
        <is>
          <t>Completados</t>
        </is>
      </c>
      <c r="B66">
        <f>SUM('Consolidado por Gerencia'!$C$5:$C$14)</f>
        <v>230</v>
      </c>
      <c r="Z66">
        <f>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individual'!F66="Completado",3000000,0)+COUNTIF('Detalle individual'!$C$5:$C$297,"&lt;"&amp;'Detalle individual'!C66)*1000+ROW(),"")</f>
        <v>3232066</v>
      </c>
    </row>
    <row r="67">
      <c r="A67" t="inlineStr">
        <is>
          <t>Pendientes</t>
        </is>
      </c>
      <c r="B67">
        <f>SUM('Consolidado por Gerencia'!$D$5:$D$14)</f>
        <v>63</v>
      </c>
      <c r="Z67">
        <f>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individual'!F67="Completado",3000000,0)+COUNTIF('Detalle individual'!$C$5:$C$297,"&lt;"&amp;'Detalle individual'!C67)*1000+ROW(),"")</f>
        <v>3232067</v>
      </c>
    </row>
    <row r="68">
      <c r="Z68">
        <f>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individual'!F68="Completado",3000000,0)+COUNTIF('Detalle individual'!$C$5:$C$297,"&lt;"&amp;'Detalle individual'!C68)*1000+ROW(),"")</f>
        <v>232068</v>
      </c>
    </row>
    <row r="69">
      <c r="Z69">
        <f>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individual'!F69="Completado",3000000,0)+COUNTIF('Detalle individual'!$C$5:$C$297,"&lt;"&amp;'Detalle individual'!C69)*1000+ROW(),"")</f>
        <v>245069</v>
      </c>
    </row>
    <row r="70">
      <c r="Z70">
        <f>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individual'!F70="Completado",3000000,0)+COUNTIF('Detalle individual'!$C$5:$C$297,"&lt;"&amp;'Detalle individual'!C70)*1000+ROW(),"")</f>
        <v>245070</v>
      </c>
    </row>
    <row r="71">
      <c r="Z71">
        <f>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individual'!F71="Completado",3000000,0)+COUNTIF('Detalle individual'!$C$5:$C$297,"&lt;"&amp;'Detalle individual'!C71)*1000+ROW(),"")</f>
        <v>3245071</v>
      </c>
    </row>
    <row r="72">
      <c r="Z72">
        <f>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individual'!F72="Completado",3000000,0)+COUNTIF('Detalle individual'!$C$5:$C$297,"&lt;"&amp;'Detalle individual'!C72)*1000+ROW(),"")</f>
        <v>3245072</v>
      </c>
    </row>
    <row r="73">
      <c r="Z73">
        <f>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individual'!F73="Completado",3000000,0)+COUNTIF('Detalle individual'!$C$5:$C$297,"&lt;"&amp;'Detalle individual'!C73)*1000+ROW(),"")</f>
        <v>3245073</v>
      </c>
    </row>
    <row r="74">
      <c r="Z74">
        <f>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individual'!F74="Completado",3000000,0)+COUNTIF('Detalle individual'!$C$5:$C$297,"&lt;"&amp;'Detalle individual'!C74)*1000+ROW(),"")</f>
        <v>3245074</v>
      </c>
    </row>
    <row r="75">
      <c r="Z75">
        <f>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individual'!F75="Completado",3000000,0)+COUNTIF('Detalle individual'!$C$5:$C$297,"&lt;"&amp;'Detalle individual'!C75)*1000+ROW(),"")</f>
        <v>3175075</v>
      </c>
    </row>
    <row r="76">
      <c r="Z76">
        <f>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individual'!F76="Completado",3000000,0)+COUNTIF('Detalle individual'!$C$5:$C$297,"&lt;"&amp;'Detalle individual'!C76)*1000+ROW(),"")</f>
        <v>3175076</v>
      </c>
    </row>
    <row r="77">
      <c r="Z77">
        <f>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individual'!F77="Completado",3000000,0)+COUNTIF('Detalle individual'!$C$5:$C$297,"&lt;"&amp;'Detalle individual'!C77)*1000+ROW(),"")</f>
        <v>3175077</v>
      </c>
    </row>
    <row r="78">
      <c r="Z78">
        <f>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individual'!F78="Completado",3000000,0)+COUNTIF('Detalle individual'!$C$5:$C$297,"&lt;"&amp;'Detalle individual'!C78)*1000+ROW(),"")</f>
        <v>3175078</v>
      </c>
    </row>
    <row r="79">
      <c r="Z79">
        <f>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individual'!F79="Completado",3000000,0)+COUNTIF('Detalle individual'!$C$5:$C$297,"&lt;"&amp;'Detalle individual'!C79)*1000+ROW(),"")</f>
        <v>3001079</v>
      </c>
    </row>
    <row r="80">
      <c r="Z80">
        <f>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individual'!F80="Completado",3000000,0)+COUNTIF('Detalle individual'!$C$5:$C$297,"&lt;"&amp;'Detalle individual'!C80)*1000+ROW(),"")</f>
        <v>3001080</v>
      </c>
    </row>
    <row r="81">
      <c r="Z81">
        <f>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individual'!F81="Completado",3000000,0)+COUNTIF('Detalle individual'!$C$5:$C$297,"&lt;"&amp;'Detalle individual'!C81)*1000+ROW(),"")</f>
        <v>3001081</v>
      </c>
    </row>
    <row r="82">
      <c r="Z82">
        <f>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individual'!F82="Completado",3000000,0)+COUNTIF('Detalle individual'!$C$5:$C$297,"&lt;"&amp;'Detalle individual'!C82)*1000+ROW(),"")</f>
        <v>1082</v>
      </c>
    </row>
    <row r="83">
      <c r="Z83">
        <f>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individual'!F83="Completado",3000000,0)+COUNTIF('Detalle individual'!$C$5:$C$297,"&lt;"&amp;'Detalle individual'!C83)*1000+ROW(),"")</f>
        <v>3001083</v>
      </c>
    </row>
    <row r="84">
      <c r="Z84">
        <f>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individual'!F84="Completado",3000000,0)+COUNTIF('Detalle individual'!$C$5:$C$297,"&lt;"&amp;'Detalle individual'!C84)*1000+ROW(),"")</f>
        <v>3261084</v>
      </c>
    </row>
    <row r="85">
      <c r="Z85">
        <f>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individual'!F85="Completado",3000000,0)+COUNTIF('Detalle individual'!$C$5:$C$297,"&lt;"&amp;'Detalle individual'!C85)*1000+ROW(),"")</f>
        <v>143085</v>
      </c>
    </row>
    <row r="86">
      <c r="Z86">
        <f>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individual'!F86="Completado",3000000,0)+COUNTIF('Detalle individual'!$C$5:$C$297,"&lt;"&amp;'Detalle individual'!C86)*1000+ROW(),"")</f>
        <v>143086</v>
      </c>
    </row>
    <row r="87">
      <c r="Z87">
        <f>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individual'!F87="Completado",3000000,0)+COUNTIF('Detalle individual'!$C$5:$C$297,"&lt;"&amp;'Detalle individual'!C87)*1000+ROW(),"")</f>
        <v>3143087</v>
      </c>
    </row>
    <row r="88">
      <c r="Z88">
        <f>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individual'!F88="Completado",3000000,0)+COUNTIF('Detalle individual'!$C$5:$C$297,"&lt;"&amp;'Detalle individual'!C88)*1000+ROW(),"")</f>
        <v>3143088</v>
      </c>
    </row>
    <row r="89">
      <c r="Z89">
        <f>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individual'!F89="Completado",3000000,0)+COUNTIF('Detalle individual'!$C$5:$C$297,"&lt;"&amp;'Detalle individual'!C89)*1000+ROW(),"")</f>
        <v>143089</v>
      </c>
    </row>
    <row r="90">
      <c r="Z90">
        <f>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individual'!F90="Completado",3000000,0)+COUNTIF('Detalle individual'!$C$5:$C$297,"&lt;"&amp;'Detalle individual'!C90)*1000+ROW(),"")</f>
        <v>3143090</v>
      </c>
    </row>
    <row r="91">
      <c r="Z91">
        <f>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individual'!F91="Completado",3000000,0)+COUNTIF('Detalle individual'!$C$5:$C$297,"&lt;"&amp;'Detalle individual'!C91)*1000+ROW(),"")</f>
        <v>3143091</v>
      </c>
    </row>
    <row r="92">
      <c r="Z92">
        <f>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individual'!F92="Completado",3000000,0)+COUNTIF('Detalle individual'!$C$5:$C$297,"&lt;"&amp;'Detalle individual'!C92)*1000+ROW(),"")</f>
        <v>3143092</v>
      </c>
    </row>
    <row r="93">
      <c r="Z93">
        <f>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individual'!F93="Completado",3000000,0)+COUNTIF('Detalle individual'!$C$5:$C$297,"&lt;"&amp;'Detalle individual'!C93)*1000+ROW(),"")</f>
        <v>3143093</v>
      </c>
    </row>
    <row r="94">
      <c r="Z94">
        <f>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individual'!F94="Completado",3000000,0)+COUNTIF('Detalle individual'!$C$5:$C$297,"&lt;"&amp;'Detalle individual'!C94)*1000+ROW(),"")</f>
        <v>3143094</v>
      </c>
    </row>
    <row r="95">
      <c r="Z95">
        <f>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individual'!F95="Completado",3000000,0)+COUNTIF('Detalle individual'!$C$5:$C$297,"&lt;"&amp;'Detalle individual'!C95)*1000+ROW(),"")</f>
        <v>3143095</v>
      </c>
    </row>
    <row r="96">
      <c r="Z96">
        <f>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individual'!F96="Completado",3000000,0)+COUNTIF('Detalle individual'!$C$5:$C$297,"&lt;"&amp;'Detalle individual'!C96)*1000+ROW(),"")</f>
        <v>3143096</v>
      </c>
    </row>
    <row r="97">
      <c r="Z97">
        <f>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individual'!F97="Completado",3000000,0)+COUNTIF('Detalle individual'!$C$5:$C$297,"&lt;"&amp;'Detalle individual'!C97)*1000+ROW(),"")</f>
        <v>3143097</v>
      </c>
    </row>
    <row r="98">
      <c r="Z98">
        <f>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individual'!F98="Completado",3000000,0)+COUNTIF('Detalle individual'!$C$5:$C$297,"&lt;"&amp;'Detalle individual'!C98)*1000+ROW(),"")</f>
        <v>3196098</v>
      </c>
    </row>
    <row r="99">
      <c r="Z99">
        <f>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individual'!F99="Completado",3000000,0)+COUNTIF('Detalle individual'!$C$5:$C$297,"&lt;"&amp;'Detalle individual'!C99)*1000+ROW(),"")</f>
        <v>196099</v>
      </c>
    </row>
    <row r="100">
      <c r="Z100">
        <f>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individual'!F100="Completado",3000000,0)+COUNTIF('Detalle individual'!$C$5:$C$297,"&lt;"&amp;'Detalle individual'!C100)*1000+ROW(),"")</f>
        <v>3196100</v>
      </c>
    </row>
    <row r="101">
      <c r="Z101">
        <f>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individual'!F101="Completado",3000000,0)+COUNTIF('Detalle individual'!$C$5:$C$297,"&lt;"&amp;'Detalle individual'!C101)*1000+ROW(),"")</f>
        <v>3268101</v>
      </c>
    </row>
    <row r="102">
      <c r="Z102">
        <f>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individual'!F102="Completado",3000000,0)+COUNTIF('Detalle individual'!$C$5:$C$297,"&lt;"&amp;'Detalle individual'!C102)*1000+ROW(),"")</f>
        <v>3268102</v>
      </c>
    </row>
    <row r="103">
      <c r="Z103">
        <f>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individual'!F103="Completado",3000000,0)+COUNTIF('Detalle individual'!$C$5:$C$297,"&lt;"&amp;'Detalle individual'!C103)*1000+ROW(),"")</f>
        <v>3268103</v>
      </c>
    </row>
    <row r="104">
      <c r="Z104">
        <f>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individual'!F104="Completado",3000000,0)+COUNTIF('Detalle individual'!$C$5:$C$297,"&lt;"&amp;'Detalle individual'!C104)*1000+ROW(),"")</f>
        <v>189104</v>
      </c>
    </row>
    <row r="105">
      <c r="Z105">
        <f>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individual'!F105="Completado",3000000,0)+COUNTIF('Detalle individual'!$C$5:$C$297,"&lt;"&amp;'Detalle individual'!C105)*1000+ROW(),"")</f>
        <v>3189105</v>
      </c>
    </row>
    <row r="106">
      <c r="Z106">
        <f>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individual'!F106="Completado",3000000,0)+COUNTIF('Detalle individual'!$C$5:$C$297,"&lt;"&amp;'Detalle individual'!C106)*1000+ROW(),"")</f>
        <v>3189106</v>
      </c>
    </row>
    <row r="107">
      <c r="Z107">
        <f>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individual'!F107="Completado",3000000,0)+COUNTIF('Detalle individual'!$C$5:$C$297,"&lt;"&amp;'Detalle individual'!C107)*1000+ROW(),"")</f>
        <v>3189107</v>
      </c>
    </row>
    <row r="108">
      <c r="Z108">
        <f>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individual'!F108="Completado",3000000,0)+COUNTIF('Detalle individual'!$C$5:$C$297,"&lt;"&amp;'Detalle individual'!C108)*1000+ROW(),"")</f>
        <v>3189108</v>
      </c>
    </row>
    <row r="109">
      <c r="Z109">
        <f>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individual'!F109="Completado",3000000,0)+COUNTIF('Detalle individual'!$C$5:$C$297,"&lt;"&amp;'Detalle individual'!C109)*1000+ROW(),"")</f>
        <v>3189109</v>
      </c>
    </row>
    <row r="110">
      <c r="Z110">
        <f>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individual'!F110="Completado",3000000,0)+COUNTIF('Detalle individual'!$C$5:$C$297,"&lt;"&amp;'Detalle individual'!C110)*1000+ROW(),"")</f>
        <v>3189110</v>
      </c>
    </row>
    <row r="111">
      <c r="Z111">
        <f>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individual'!F111="Completado",3000000,0)+COUNTIF('Detalle individual'!$C$5:$C$297,"&lt;"&amp;'Detalle individual'!C111)*1000+ROW(),"")</f>
        <v>3118111</v>
      </c>
    </row>
    <row r="112">
      <c r="Z112">
        <f>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individual'!F112="Completado",3000000,0)+COUNTIF('Detalle individual'!$C$5:$C$297,"&lt;"&amp;'Detalle individual'!C112)*1000+ROW(),"")</f>
        <v>3118112</v>
      </c>
    </row>
    <row r="113">
      <c r="Z113">
        <f>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individual'!F113="Completado",3000000,0)+COUNTIF('Detalle individual'!$C$5:$C$297,"&lt;"&amp;'Detalle individual'!C113)*1000+ROW(),"")</f>
        <v>3118113</v>
      </c>
    </row>
    <row r="114">
      <c r="Z114">
        <f>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individual'!F114="Completado",3000000,0)+COUNTIF('Detalle individual'!$C$5:$C$297,"&lt;"&amp;'Detalle individual'!C114)*1000+ROW(),"")</f>
        <v>3118114</v>
      </c>
    </row>
    <row r="115">
      <c r="Z115">
        <f>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individual'!F115="Completado",3000000,0)+COUNTIF('Detalle individual'!$C$5:$C$297,"&lt;"&amp;'Detalle individual'!C115)*1000+ROW(),"")</f>
        <v>3118115</v>
      </c>
    </row>
    <row r="116">
      <c r="Z116">
        <f>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individual'!F116="Completado",3000000,0)+COUNTIF('Detalle individual'!$C$5:$C$297,"&lt;"&amp;'Detalle individual'!C116)*1000+ROW(),"")</f>
        <v>3118116</v>
      </c>
    </row>
    <row r="117">
      <c r="Z117">
        <f>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individual'!F117="Completado",3000000,0)+COUNTIF('Detalle individual'!$C$5:$C$297,"&lt;"&amp;'Detalle individual'!C117)*1000+ROW(),"")</f>
        <v>3118117</v>
      </c>
    </row>
    <row r="118">
      <c r="Z118">
        <f>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individual'!F118="Completado",3000000,0)+COUNTIF('Detalle individual'!$C$5:$C$297,"&lt;"&amp;'Detalle individual'!C118)*1000+ROW(),"")</f>
        <v>3118118</v>
      </c>
    </row>
    <row r="119">
      <c r="Z119">
        <f>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individual'!F119="Completado",3000000,0)+COUNTIF('Detalle individual'!$C$5:$C$297,"&lt;"&amp;'Detalle individual'!C119)*1000+ROW(),"")</f>
        <v>3118119</v>
      </c>
    </row>
    <row r="120">
      <c r="Z120">
        <f>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individual'!F120="Completado",3000000,0)+COUNTIF('Detalle individual'!$C$5:$C$297,"&lt;"&amp;'Detalle individual'!C120)*1000+ROW(),"")</f>
        <v>3118120</v>
      </c>
    </row>
    <row r="121">
      <c r="Z121">
        <f>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individual'!F121="Completado",3000000,0)+COUNTIF('Detalle individual'!$C$5:$C$297,"&lt;"&amp;'Detalle individual'!C121)*1000+ROW(),"")</f>
        <v>118121</v>
      </c>
    </row>
    <row r="122">
      <c r="Z122">
        <f>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individual'!F122="Completado",3000000,0)+COUNTIF('Detalle individual'!$C$5:$C$297,"&lt;"&amp;'Detalle individual'!C122)*1000+ROW(),"")</f>
        <v>3000122</v>
      </c>
    </row>
    <row r="123">
      <c r="Z123">
        <f>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individual'!F123="Completado",3000000,0)+COUNTIF('Detalle individual'!$C$5:$C$297,"&lt;"&amp;'Detalle individual'!C123)*1000+ROW(),"")</f>
        <v>3136123</v>
      </c>
    </row>
    <row r="124">
      <c r="Z124">
        <f>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individual'!F124="Completado",3000000,0)+COUNTIF('Detalle individual'!$C$5:$C$297,"&lt;"&amp;'Detalle individual'!C124)*1000+ROW(),"")</f>
        <v>3136124</v>
      </c>
    </row>
    <row r="125">
      <c r="Z125">
        <f>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individual'!F125="Completado",3000000,0)+COUNTIF('Detalle individual'!$C$5:$C$297,"&lt;"&amp;'Detalle individual'!C125)*1000+ROW(),"")</f>
        <v>3136125</v>
      </c>
    </row>
    <row r="126">
      <c r="Z126">
        <f>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individual'!F126="Completado",3000000,0)+COUNTIF('Detalle individual'!$C$5:$C$297,"&lt;"&amp;'Detalle individual'!C126)*1000+ROW(),"")</f>
        <v>3136126</v>
      </c>
    </row>
    <row r="127">
      <c r="Z127">
        <f>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individual'!F127="Completado",3000000,0)+COUNTIF('Detalle individual'!$C$5:$C$297,"&lt;"&amp;'Detalle individual'!C127)*1000+ROW(),"")</f>
        <v>3136127</v>
      </c>
    </row>
    <row r="128">
      <c r="Z128">
        <f>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individual'!F128="Completado",3000000,0)+COUNTIF('Detalle individual'!$C$5:$C$297,"&lt;"&amp;'Detalle individual'!C128)*1000+ROW(),"")</f>
        <v>3136128</v>
      </c>
    </row>
    <row r="129">
      <c r="Z129">
        <f>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individual'!F129="Completado",3000000,0)+COUNTIF('Detalle individual'!$C$5:$C$297,"&lt;"&amp;'Detalle individual'!C129)*1000+ROW(),"")</f>
        <v>3136129</v>
      </c>
    </row>
    <row r="130">
      <c r="Z130">
        <f>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individual'!F130="Completado",3000000,0)+COUNTIF('Detalle individual'!$C$5:$C$297,"&lt;"&amp;'Detalle individual'!C130)*1000+ROW(),"")</f>
        <v>3275130</v>
      </c>
    </row>
    <row r="131">
      <c r="Z131">
        <f>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individual'!F131="Completado",3000000,0)+COUNTIF('Detalle individual'!$C$5:$C$297,"&lt;"&amp;'Detalle individual'!C131)*1000+ROW(),"")</f>
        <v>3275131</v>
      </c>
    </row>
    <row r="132">
      <c r="Z132">
        <f>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individual'!F132="Completado",3000000,0)+COUNTIF('Detalle individual'!$C$5:$C$297,"&lt;"&amp;'Detalle individual'!C132)*1000+ROW(),"")</f>
        <v>3275132</v>
      </c>
    </row>
    <row r="133">
      <c r="Z133">
        <f>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individual'!F133="Completado",3000000,0)+COUNTIF('Detalle individual'!$C$5:$C$297,"&lt;"&amp;'Detalle individual'!C133)*1000+ROW(),"")</f>
        <v>3275133</v>
      </c>
    </row>
    <row r="134">
      <c r="Z134">
        <f>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individual'!F134="Completado",3000000,0)+COUNTIF('Detalle individual'!$C$5:$C$297,"&lt;"&amp;'Detalle individual'!C134)*1000+ROW(),"")</f>
        <v>3275134</v>
      </c>
    </row>
    <row r="135">
      <c r="Z135">
        <f>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individual'!F135="Completado",3000000,0)+COUNTIF('Detalle individual'!$C$5:$C$297,"&lt;"&amp;'Detalle individual'!C135)*1000+ROW(),"")</f>
        <v>3275135</v>
      </c>
    </row>
    <row r="136">
      <c r="Z136">
        <f>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individual'!F136="Completado",3000000,0)+COUNTIF('Detalle individual'!$C$5:$C$297,"&lt;"&amp;'Detalle individual'!C136)*1000+ROW(),"")</f>
        <v>3263136</v>
      </c>
    </row>
    <row r="137">
      <c r="Z137">
        <f>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individual'!F137="Completado",3000000,0)+COUNTIF('Detalle individual'!$C$5:$C$297,"&lt;"&amp;'Detalle individual'!C137)*1000+ROW(),"")</f>
        <v>3263137</v>
      </c>
    </row>
    <row r="138">
      <c r="Z138">
        <f>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individual'!F138="Completado",3000000,0)+COUNTIF('Detalle individual'!$C$5:$C$297,"&lt;"&amp;'Detalle individual'!C138)*1000+ROW(),"")</f>
        <v>3263138</v>
      </c>
    </row>
    <row r="139">
      <c r="Z139">
        <f>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individual'!F139="Completado",3000000,0)+COUNTIF('Detalle individual'!$C$5:$C$297,"&lt;"&amp;'Detalle individual'!C139)*1000+ROW(),"")</f>
        <v>3129139</v>
      </c>
    </row>
    <row r="140">
      <c r="Z140">
        <f>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individual'!F140="Completado",3000000,0)+COUNTIF('Detalle individual'!$C$5:$C$297,"&lt;"&amp;'Detalle individual'!C140)*1000+ROW(),"")</f>
        <v>3129140</v>
      </c>
    </row>
    <row r="141">
      <c r="Z141">
        <f>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individual'!F141="Completado",3000000,0)+COUNTIF('Detalle individual'!$C$5:$C$297,"&lt;"&amp;'Detalle individual'!C141)*1000+ROW(),"")</f>
        <v>3129141</v>
      </c>
    </row>
    <row r="142">
      <c r="Z142">
        <f>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individual'!F142="Completado",3000000,0)+COUNTIF('Detalle individual'!$C$5:$C$297,"&lt;"&amp;'Detalle individual'!C142)*1000+ROW(),"")</f>
        <v>3129142</v>
      </c>
    </row>
    <row r="143">
      <c r="Z143">
        <f>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individual'!F143="Completado",3000000,0)+COUNTIF('Detalle individual'!$C$5:$C$297,"&lt;"&amp;'Detalle individual'!C143)*1000+ROW(),"")</f>
        <v>3129143</v>
      </c>
    </row>
    <row r="144">
      <c r="Z144">
        <f>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individual'!F144="Completado",3000000,0)+COUNTIF('Detalle individual'!$C$5:$C$297,"&lt;"&amp;'Detalle individual'!C144)*1000+ROW(),"")</f>
        <v>129144</v>
      </c>
    </row>
    <row r="145">
      <c r="Z145">
        <f>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individual'!F145="Completado",3000000,0)+COUNTIF('Detalle individual'!$C$5:$C$297,"&lt;"&amp;'Detalle individual'!C145)*1000+ROW(),"")</f>
        <v>3182145</v>
      </c>
    </row>
    <row r="146">
      <c r="Z146">
        <f>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individual'!F146="Completado",3000000,0)+COUNTIF('Detalle individual'!$C$5:$C$297,"&lt;"&amp;'Detalle individual'!C146)*1000+ROW(),"")</f>
        <v>182146</v>
      </c>
    </row>
    <row r="147">
      <c r="Z147">
        <f>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individual'!F147="Completado",3000000,0)+COUNTIF('Detalle individual'!$C$5:$C$297,"&lt;"&amp;'Detalle individual'!C147)*1000+ROW(),"")</f>
        <v>182147</v>
      </c>
    </row>
    <row r="148">
      <c r="Z148">
        <f>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individual'!F148="Completado",3000000,0)+COUNTIF('Detalle individual'!$C$5:$C$297,"&lt;"&amp;'Detalle individual'!C148)*1000+ROW(),"")</f>
        <v>182148</v>
      </c>
    </row>
    <row r="149">
      <c r="Z149">
        <f>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individual'!F149="Completado",3000000,0)+COUNTIF('Detalle individual'!$C$5:$C$297,"&lt;"&amp;'Detalle individual'!C149)*1000+ROW(),"")</f>
        <v>182149</v>
      </c>
    </row>
    <row r="150">
      <c r="Z150">
        <f>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individual'!F150="Completado",3000000,0)+COUNTIF('Detalle individual'!$C$5:$C$297,"&lt;"&amp;'Detalle individual'!C150)*1000+ROW(),"")</f>
        <v>182150</v>
      </c>
    </row>
    <row r="151">
      <c r="Z151">
        <f>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individual'!F151="Completado",3000000,0)+COUNTIF('Detalle individual'!$C$5:$C$297,"&lt;"&amp;'Detalle individual'!C151)*1000+ROW(),"")</f>
        <v>3182151</v>
      </c>
    </row>
    <row r="152">
      <c r="Z152">
        <f>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individual'!F152="Completado",3000000,0)+COUNTIF('Detalle individual'!$C$5:$C$297,"&lt;"&amp;'Detalle individual'!C152)*1000+ROW(),"")</f>
        <v>3156152</v>
      </c>
    </row>
    <row r="153">
      <c r="Z153">
        <f>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individual'!F153="Completado",3000000,0)+COUNTIF('Detalle individual'!$C$5:$C$297,"&lt;"&amp;'Detalle individual'!C153)*1000+ROW(),"")</f>
        <v>3156153</v>
      </c>
    </row>
    <row r="154">
      <c r="Z154">
        <f>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individual'!F154="Completado",3000000,0)+COUNTIF('Detalle individual'!$C$5:$C$297,"&lt;"&amp;'Detalle individual'!C154)*1000+ROW(),"")</f>
        <v>3156154</v>
      </c>
    </row>
    <row r="155">
      <c r="Z155">
        <f>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individual'!F155="Completado",3000000,0)+COUNTIF('Detalle individual'!$C$5:$C$297,"&lt;"&amp;'Detalle individual'!C155)*1000+ROW(),"")</f>
        <v>3156155</v>
      </c>
    </row>
    <row r="156">
      <c r="Z156">
        <f>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individual'!F156="Completado",3000000,0)+COUNTIF('Detalle individual'!$C$5:$C$297,"&lt;"&amp;'Detalle individual'!C156)*1000+ROW(),"")</f>
        <v>3156156</v>
      </c>
    </row>
    <row r="157">
      <c r="Z157">
        <f>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individual'!F157="Completado",3000000,0)+COUNTIF('Detalle individual'!$C$5:$C$297,"&lt;"&amp;'Detalle individual'!C157)*1000+ROW(),"")</f>
        <v>3156157</v>
      </c>
    </row>
    <row r="158">
      <c r="Z158">
        <f>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individual'!F158="Completado",3000000,0)+COUNTIF('Detalle individual'!$C$5:$C$297,"&lt;"&amp;'Detalle individual'!C158)*1000+ROW(),"")</f>
        <v>3156158</v>
      </c>
    </row>
    <row r="159">
      <c r="Z159">
        <f>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individual'!F159="Completado",3000000,0)+COUNTIF('Detalle individual'!$C$5:$C$297,"&lt;"&amp;'Detalle individual'!C159)*1000+ROW(),"")</f>
        <v>3156159</v>
      </c>
    </row>
    <row r="160">
      <c r="Z160">
        <f>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individual'!F160="Completado",3000000,0)+COUNTIF('Detalle individual'!$C$5:$C$297,"&lt;"&amp;'Detalle individual'!C160)*1000+ROW(),"")</f>
        <v>3156160</v>
      </c>
    </row>
    <row r="161">
      <c r="Z161">
        <f>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individual'!F161="Completado",3000000,0)+COUNTIF('Detalle individual'!$C$5:$C$297,"&lt;"&amp;'Detalle individual'!C161)*1000+ROW(),"")</f>
        <v>3156161</v>
      </c>
    </row>
    <row r="162">
      <c r="Z162">
        <f>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individual'!F162="Completado",3000000,0)+COUNTIF('Detalle individual'!$C$5:$C$297,"&lt;"&amp;'Detalle individual'!C162)*1000+ROW(),"")</f>
        <v>3156162</v>
      </c>
    </row>
    <row r="163">
      <c r="Z163">
        <f>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individual'!F163="Completado",3000000,0)+COUNTIF('Detalle individual'!$C$5:$C$297,"&lt;"&amp;'Detalle individual'!C163)*1000+ROW(),"")</f>
        <v>3156163</v>
      </c>
    </row>
    <row r="164">
      <c r="Z164">
        <f>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individual'!F164="Completado",3000000,0)+COUNTIF('Detalle individual'!$C$5:$C$297,"&lt;"&amp;'Detalle individual'!C164)*1000+ROW(),"")</f>
        <v>3156164</v>
      </c>
    </row>
    <row r="165">
      <c r="Z165">
        <f>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individual'!F165="Completado",3000000,0)+COUNTIF('Detalle individual'!$C$5:$C$297,"&lt;"&amp;'Detalle individual'!C165)*1000+ROW(),"")</f>
        <v>3204165</v>
      </c>
    </row>
    <row r="166">
      <c r="Z166">
        <f>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individual'!F166="Completado",3000000,0)+COUNTIF('Detalle individual'!$C$5:$C$297,"&lt;"&amp;'Detalle individual'!C166)*1000+ROW(),"")</f>
        <v>3204166</v>
      </c>
    </row>
    <row r="167">
      <c r="Z167">
        <f>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individual'!F167="Completado",3000000,0)+COUNTIF('Detalle individual'!$C$5:$C$297,"&lt;"&amp;'Detalle individual'!C167)*1000+ROW(),"")</f>
        <v>3204167</v>
      </c>
    </row>
    <row r="168">
      <c r="Z168">
        <f>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individual'!F168="Completado",3000000,0)+COUNTIF('Detalle individual'!$C$5:$C$297,"&lt;"&amp;'Detalle individual'!C168)*1000+ROW(),"")</f>
        <v>3204168</v>
      </c>
    </row>
    <row r="169">
      <c r="Z169">
        <f>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individual'!F169="Completado",3000000,0)+COUNTIF('Detalle individual'!$C$5:$C$297,"&lt;"&amp;'Detalle individual'!C169)*1000+ROW(),"")</f>
        <v>3204169</v>
      </c>
    </row>
    <row r="170">
      <c r="Z170">
        <f>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individual'!F170="Completado",3000000,0)+COUNTIF('Detalle individual'!$C$5:$C$297,"&lt;"&amp;'Detalle individual'!C170)*1000+ROW(),"")</f>
        <v>3204170</v>
      </c>
    </row>
    <row r="171">
      <c r="Z171">
        <f>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individual'!F171="Completado",3000000,0)+COUNTIF('Detalle individual'!$C$5:$C$297,"&lt;"&amp;'Detalle individual'!C171)*1000+ROW(),"")</f>
        <v>3204171</v>
      </c>
    </row>
    <row r="172">
      <c r="Z172">
        <f>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individual'!F172="Completado",3000000,0)+COUNTIF('Detalle individual'!$C$5:$C$297,"&lt;"&amp;'Detalle individual'!C172)*1000+ROW(),"")</f>
        <v>204172</v>
      </c>
    </row>
    <row r="173">
      <c r="Z173">
        <f>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individual'!F173="Completado",3000000,0)+COUNTIF('Detalle individual'!$C$5:$C$297,"&lt;"&amp;'Detalle individual'!C173)*1000+ROW(),"")</f>
        <v>3204173</v>
      </c>
    </row>
    <row r="174">
      <c r="Z174">
        <f>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individual'!F174="Completado",3000000,0)+COUNTIF('Detalle individual'!$C$5:$C$297,"&lt;"&amp;'Detalle individual'!C174)*1000+ROW(),"")</f>
        <v>3204174</v>
      </c>
    </row>
    <row r="175">
      <c r="Z175">
        <f>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individual'!F175="Completado",3000000,0)+COUNTIF('Detalle individual'!$C$5:$C$297,"&lt;"&amp;'Detalle individual'!C175)*1000+ROW(),"")</f>
        <v>3204175</v>
      </c>
    </row>
    <row r="176">
      <c r="Z176">
        <f>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individual'!F176="Completado",3000000,0)+COUNTIF('Detalle individual'!$C$5:$C$297,"&lt;"&amp;'Detalle individual'!C176)*1000+ROW(),"")</f>
        <v>3110176</v>
      </c>
    </row>
    <row r="177">
      <c r="Z177">
        <f>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individual'!F177="Completado",3000000,0)+COUNTIF('Detalle individual'!$C$5:$C$297,"&lt;"&amp;'Detalle individual'!C177)*1000+ROW(),"")</f>
        <v>3110177</v>
      </c>
    </row>
    <row r="178">
      <c r="Z178">
        <f>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individual'!F178="Completado",3000000,0)+COUNTIF('Detalle individual'!$C$5:$C$297,"&lt;"&amp;'Detalle individual'!C178)*1000+ROW(),"")</f>
        <v>3110178</v>
      </c>
    </row>
    <row r="179">
      <c r="Z179">
        <f>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individual'!F179="Completado",3000000,0)+COUNTIF('Detalle individual'!$C$5:$C$297,"&lt;"&amp;'Detalle individual'!C179)*1000+ROW(),"")</f>
        <v>3110179</v>
      </c>
    </row>
    <row r="180">
      <c r="Z180">
        <f>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individual'!F180="Completado",3000000,0)+COUNTIF('Detalle individual'!$C$5:$C$297,"&lt;"&amp;'Detalle individual'!C180)*1000+ROW(),"")</f>
        <v>3110180</v>
      </c>
    </row>
    <row r="181">
      <c r="Z181">
        <f>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individual'!F181="Completado",3000000,0)+COUNTIF('Detalle individual'!$C$5:$C$297,"&lt;"&amp;'Detalle individual'!C181)*1000+ROW(),"")</f>
        <v>3110181</v>
      </c>
    </row>
    <row r="182">
      <c r="Z182">
        <f>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individual'!F182="Completado",3000000,0)+COUNTIF('Detalle individual'!$C$5:$C$297,"&lt;"&amp;'Detalle individual'!C182)*1000+ROW(),"")</f>
        <v>110182</v>
      </c>
    </row>
    <row r="183">
      <c r="Z183">
        <f>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individual'!F183="Completado",3000000,0)+COUNTIF('Detalle individual'!$C$5:$C$297,"&lt;"&amp;'Detalle individual'!C183)*1000+ROW(),"")</f>
        <v>3110183</v>
      </c>
    </row>
    <row r="184">
      <c r="Z184">
        <f>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individual'!F184="Completado",3000000,0)+COUNTIF('Detalle individual'!$C$5:$C$297,"&lt;"&amp;'Detalle individual'!C184)*1000+ROW(),"")</f>
        <v>3286184</v>
      </c>
    </row>
    <row r="185">
      <c r="Z185">
        <f>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individual'!F185="Completado",3000000,0)+COUNTIF('Detalle individual'!$C$5:$C$297,"&lt;"&amp;'Detalle individual'!C185)*1000+ROW(),"")</f>
        <v>286185</v>
      </c>
    </row>
    <row r="186">
      <c r="Z186">
        <f>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individual'!F186="Completado",3000000,0)+COUNTIF('Detalle individual'!$C$5:$C$297,"&lt;"&amp;'Detalle individual'!C186)*1000+ROW(),"")</f>
        <v>3286186</v>
      </c>
    </row>
    <row r="187">
      <c r="Z187">
        <f>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individual'!F187="Completado",3000000,0)+COUNTIF('Detalle individual'!$C$5:$C$297,"&lt;"&amp;'Detalle individual'!C187)*1000+ROW(),"")</f>
        <v>286187</v>
      </c>
    </row>
    <row r="188">
      <c r="Z188">
        <f>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individual'!F188="Completado",3000000,0)+COUNTIF('Detalle individual'!$C$5:$C$297,"&lt;"&amp;'Detalle individual'!C188)*1000+ROW(),"")</f>
        <v>286188</v>
      </c>
    </row>
    <row r="189">
      <c r="Z189">
        <f>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individual'!F189="Completado",3000000,0)+COUNTIF('Detalle individual'!$C$5:$C$297,"&lt;"&amp;'Detalle individual'!C189)*1000+ROW(),"")</f>
        <v>286189</v>
      </c>
    </row>
    <row r="190">
      <c r="Z190">
        <f>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individual'!F190="Completado",3000000,0)+COUNTIF('Detalle individual'!$C$5:$C$297,"&lt;"&amp;'Detalle individual'!C190)*1000+ROW(),"")</f>
        <v>3286190</v>
      </c>
    </row>
    <row r="191">
      <c r="Z191">
        <f>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individual'!F191="Completado",3000000,0)+COUNTIF('Detalle individual'!$C$5:$C$297,"&lt;"&amp;'Detalle individual'!C191)*1000+ROW(),"")</f>
        <v>3010191</v>
      </c>
    </row>
    <row r="192">
      <c r="Z192">
        <f>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individual'!F192="Completado",3000000,0)+COUNTIF('Detalle individual'!$C$5:$C$297,"&lt;"&amp;'Detalle individual'!C192)*1000+ROW(),"")</f>
        <v>10192</v>
      </c>
    </row>
    <row r="193">
      <c r="Z193">
        <f>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individual'!F193="Completado",3000000,0)+COUNTIF('Detalle individual'!$C$5:$C$297,"&lt;"&amp;'Detalle individual'!C193)*1000+ROW(),"")</f>
        <v>10193</v>
      </c>
    </row>
    <row r="194">
      <c r="Z194">
        <f>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individual'!F194="Completado",3000000,0)+COUNTIF('Detalle individual'!$C$5:$C$297,"&lt;"&amp;'Detalle individual'!C194)*1000+ROW(),"")</f>
        <v>10194</v>
      </c>
    </row>
    <row r="195">
      <c r="Z195">
        <f>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individual'!F195="Completado",3000000,0)+COUNTIF('Detalle individual'!$C$5:$C$297,"&lt;"&amp;'Detalle individual'!C195)*1000+ROW(),"")</f>
        <v>10195</v>
      </c>
    </row>
    <row r="196">
      <c r="Z196">
        <f>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individual'!F196="Completado",3000000,0)+COUNTIF('Detalle individual'!$C$5:$C$297,"&lt;"&amp;'Detalle individual'!C196)*1000+ROW(),"")</f>
        <v>10196</v>
      </c>
    </row>
    <row r="197">
      <c r="Z197">
        <f>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individual'!F197="Completado",3000000,0)+COUNTIF('Detalle individual'!$C$5:$C$297,"&lt;"&amp;'Detalle individual'!C197)*1000+ROW(),"")</f>
        <v>3010197</v>
      </c>
    </row>
    <row r="198">
      <c r="Z198">
        <f>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individual'!F198="Completado",3000000,0)+COUNTIF('Detalle individual'!$C$5:$C$297,"&lt;"&amp;'Detalle individual'!C198)*1000+ROW(),"")</f>
        <v>10198</v>
      </c>
    </row>
    <row r="199">
      <c r="Z199">
        <f>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individual'!F199="Completado",3000000,0)+COUNTIF('Detalle individual'!$C$5:$C$297,"&lt;"&amp;'Detalle individual'!C199)*1000+ROW(),"")</f>
        <v>3010199</v>
      </c>
    </row>
    <row r="200">
      <c r="Z200">
        <f>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individual'!F200="Completado",3000000,0)+COUNTIF('Detalle individual'!$C$5:$C$297,"&lt;"&amp;'Detalle individual'!C200)*1000+ROW(),"")</f>
        <v>10200</v>
      </c>
    </row>
    <row r="201">
      <c r="Z201">
        <f>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individual'!F201="Completado",3000000,0)+COUNTIF('Detalle individual'!$C$5:$C$297,"&lt;"&amp;'Detalle individual'!C201)*1000+ROW(),"")</f>
        <v>10201</v>
      </c>
    </row>
    <row r="202">
      <c r="Z202">
        <f>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individual'!F202="Completado",3000000,0)+COUNTIF('Detalle individual'!$C$5:$C$297,"&lt;"&amp;'Detalle individual'!C202)*1000+ROW(),"")</f>
        <v>10202</v>
      </c>
    </row>
    <row r="203">
      <c r="Z203">
        <f>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individual'!F203="Completado",3000000,0)+COUNTIF('Detalle individual'!$C$5:$C$297,"&lt;"&amp;'Detalle individual'!C203)*1000+ROW(),"")</f>
        <v>3010203</v>
      </c>
    </row>
    <row r="204">
      <c r="Z204">
        <f>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individual'!F204="Completado",3000000,0)+COUNTIF('Detalle individual'!$C$5:$C$297,"&lt;"&amp;'Detalle individual'!C204)*1000+ROW(),"")</f>
        <v>3010204</v>
      </c>
    </row>
    <row r="205">
      <c r="Z205">
        <f>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individual'!F205="Completado",3000000,0)+COUNTIF('Detalle individual'!$C$5:$C$297,"&lt;"&amp;'Detalle individual'!C205)*1000+ROW(),"")</f>
        <v>3010205</v>
      </c>
    </row>
    <row r="206">
      <c r="Z206">
        <f>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individual'!F206="Completado",3000000,0)+COUNTIF('Detalle individual'!$C$5:$C$297,"&lt;"&amp;'Detalle individual'!C206)*1000+ROW(),"")</f>
        <v>3010206</v>
      </c>
    </row>
    <row r="207">
      <c r="Z207">
        <f>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individual'!F207="Completado",3000000,0)+COUNTIF('Detalle individual'!$C$5:$C$297,"&lt;"&amp;'Detalle individual'!C207)*1000+ROW(),"")</f>
        <v>10207</v>
      </c>
    </row>
    <row r="208">
      <c r="Z208">
        <f>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individual'!F208="Completado",3000000,0)+COUNTIF('Detalle individual'!$C$5:$C$297,"&lt;"&amp;'Detalle individual'!C208)*1000+ROW(),"")</f>
        <v>3010208</v>
      </c>
    </row>
    <row r="209">
      <c r="Z209">
        <f>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individual'!F209="Completado",3000000,0)+COUNTIF('Detalle individual'!$C$5:$C$297,"&lt;"&amp;'Detalle individual'!C209)*1000+ROW(),"")</f>
        <v>28209</v>
      </c>
    </row>
    <row r="210">
      <c r="Z210">
        <f>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individual'!F210="Completado",3000000,0)+COUNTIF('Detalle individual'!$C$5:$C$297,"&lt;"&amp;'Detalle individual'!C210)*1000+ROW(),"")</f>
        <v>3028210</v>
      </c>
    </row>
    <row r="211">
      <c r="Z211">
        <f>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individual'!F211="Completado",3000000,0)+COUNTIF('Detalle individual'!$C$5:$C$297,"&lt;"&amp;'Detalle individual'!C211)*1000+ROW(),"")</f>
        <v>3028211</v>
      </c>
    </row>
    <row r="212">
      <c r="Z212">
        <f>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individual'!F212="Completado",3000000,0)+COUNTIF('Detalle individual'!$C$5:$C$297,"&lt;"&amp;'Detalle individual'!C212)*1000+ROW(),"")</f>
        <v>3028212</v>
      </c>
    </row>
    <row r="213">
      <c r="Z213">
        <f>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individual'!F213="Completado",3000000,0)+COUNTIF('Detalle individual'!$C$5:$C$297,"&lt;"&amp;'Detalle individual'!C213)*1000+ROW(),"")</f>
        <v>28213</v>
      </c>
    </row>
    <row r="214">
      <c r="Z214">
        <f>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individual'!F214="Completado",3000000,0)+COUNTIF('Detalle individual'!$C$5:$C$297,"&lt;"&amp;'Detalle individual'!C214)*1000+ROW(),"")</f>
        <v>3028214</v>
      </c>
    </row>
    <row r="215">
      <c r="Z215">
        <f>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individual'!F215="Completado",3000000,0)+COUNTIF('Detalle individual'!$C$5:$C$297,"&lt;"&amp;'Detalle individual'!C215)*1000+ROW(),"")</f>
        <v>3028215</v>
      </c>
    </row>
    <row r="216">
      <c r="Z216">
        <f>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individual'!F216="Completado",3000000,0)+COUNTIF('Detalle individual'!$C$5:$C$297,"&lt;"&amp;'Detalle individual'!C216)*1000+ROW(),"")</f>
        <v>3028216</v>
      </c>
    </row>
    <row r="217">
      <c r="Z217">
        <f>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individual'!F217="Completado",3000000,0)+COUNTIF('Detalle individual'!$C$5:$C$297,"&lt;"&amp;'Detalle individual'!C217)*1000+ROW(),"")</f>
        <v>3028217</v>
      </c>
    </row>
    <row r="218">
      <c r="Z218">
        <f>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individual'!F218="Completado",3000000,0)+COUNTIF('Detalle individual'!$C$5:$C$297,"&lt;"&amp;'Detalle individual'!C218)*1000+ROW(),"")</f>
        <v>3028218</v>
      </c>
    </row>
    <row r="219">
      <c r="Z219">
        <f>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individual'!F219="Completado",3000000,0)+COUNTIF('Detalle individual'!$C$5:$C$297,"&lt;"&amp;'Detalle individual'!C219)*1000+ROW(),"")</f>
        <v>3028219</v>
      </c>
    </row>
    <row r="220">
      <c r="Z220">
        <f>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individual'!F220="Completado",3000000,0)+COUNTIF('Detalle individual'!$C$5:$C$297,"&lt;"&amp;'Detalle individual'!C220)*1000+ROW(),"")</f>
        <v>3028220</v>
      </c>
    </row>
    <row r="221">
      <c r="Z221">
        <f>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individual'!F221="Completado",3000000,0)+COUNTIF('Detalle individual'!$C$5:$C$297,"&lt;"&amp;'Detalle individual'!C221)*1000+ROW(),"")</f>
        <v>3077221</v>
      </c>
    </row>
    <row r="222">
      <c r="Z222">
        <f>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individual'!F222="Completado",3000000,0)+COUNTIF('Detalle individual'!$C$5:$C$297,"&lt;"&amp;'Detalle individual'!C222)*1000+ROW(),"")</f>
        <v>3077222</v>
      </c>
    </row>
    <row r="223">
      <c r="Z223">
        <f>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individual'!F223="Completado",3000000,0)+COUNTIF('Detalle individual'!$C$5:$C$297,"&lt;"&amp;'Detalle individual'!C223)*1000+ROW(),"")</f>
        <v>3077223</v>
      </c>
    </row>
    <row r="224">
      <c r="Z224">
        <f>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individual'!F224="Completado",3000000,0)+COUNTIF('Detalle individual'!$C$5:$C$297,"&lt;"&amp;'Detalle individual'!C224)*1000+ROW(),"")</f>
        <v>3077224</v>
      </c>
    </row>
    <row r="225">
      <c r="Z225">
        <f>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individual'!F225="Completado",3000000,0)+COUNTIF('Detalle individual'!$C$5:$C$297,"&lt;"&amp;'Detalle individual'!C225)*1000+ROW(),"")</f>
        <v>3077225</v>
      </c>
    </row>
    <row r="226">
      <c r="Z226">
        <f>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individual'!F226="Completado",3000000,0)+COUNTIF('Detalle individual'!$C$5:$C$297,"&lt;"&amp;'Detalle individual'!C226)*1000+ROW(),"")</f>
        <v>3077226</v>
      </c>
    </row>
    <row r="227">
      <c r="Z227">
        <f>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individual'!F227="Completado",3000000,0)+COUNTIF('Detalle individual'!$C$5:$C$297,"&lt;"&amp;'Detalle individual'!C227)*1000+ROW(),"")</f>
        <v>3077227</v>
      </c>
    </row>
    <row r="228">
      <c r="Z228">
        <f>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individual'!F228="Completado",3000000,0)+COUNTIF('Detalle individual'!$C$5:$C$297,"&lt;"&amp;'Detalle individual'!C228)*1000+ROW(),"")</f>
        <v>77228</v>
      </c>
    </row>
    <row r="229">
      <c r="Z229">
        <f>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individual'!F229="Completado",3000000,0)+COUNTIF('Detalle individual'!$C$5:$C$297,"&lt;"&amp;'Detalle individual'!C229)*1000+ROW(),"")</f>
        <v>85229</v>
      </c>
    </row>
    <row r="230">
      <c r="Z230">
        <f>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individual'!F230="Completado",3000000,0)+COUNTIF('Detalle individual'!$C$5:$C$297,"&lt;"&amp;'Detalle individual'!C230)*1000+ROW(),"")</f>
        <v>3085230</v>
      </c>
    </row>
    <row r="231">
      <c r="Z231">
        <f>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individual'!F231="Completado",3000000,0)+COUNTIF('Detalle individual'!$C$5:$C$297,"&lt;"&amp;'Detalle individual'!C231)*1000+ROW(),"")</f>
        <v>3085231</v>
      </c>
    </row>
    <row r="232">
      <c r="Z232">
        <f>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individual'!F232="Completado",3000000,0)+COUNTIF('Detalle individual'!$C$5:$C$297,"&lt;"&amp;'Detalle individual'!C232)*1000+ROW(),"")</f>
        <v>85232</v>
      </c>
    </row>
    <row r="233">
      <c r="Z233">
        <f>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individual'!F233="Completado",3000000,0)+COUNTIF('Detalle individual'!$C$5:$C$297,"&lt;"&amp;'Detalle individual'!C233)*1000+ROW(),"")</f>
        <v>3085233</v>
      </c>
    </row>
    <row r="234">
      <c r="Z234">
        <f>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individual'!F234="Completado",3000000,0)+COUNTIF('Detalle individual'!$C$5:$C$297,"&lt;"&amp;'Detalle individual'!C234)*1000+ROW(),"")</f>
        <v>85234</v>
      </c>
    </row>
    <row r="235">
      <c r="Z235">
        <f>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individual'!F235="Completado",3000000,0)+COUNTIF('Detalle individual'!$C$5:$C$297,"&lt;"&amp;'Detalle individual'!C235)*1000+ROW(),"")</f>
        <v>85235</v>
      </c>
    </row>
    <row r="236">
      <c r="Z236">
        <f>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individual'!F236="Completado",3000000,0)+COUNTIF('Detalle individual'!$C$5:$C$297,"&lt;"&amp;'Detalle individual'!C236)*1000+ROW(),"")</f>
        <v>3085236</v>
      </c>
    </row>
    <row r="237">
      <c r="Z237">
        <f>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individual'!F237="Completado",3000000,0)+COUNTIF('Detalle individual'!$C$5:$C$297,"&lt;"&amp;'Detalle individual'!C237)*1000+ROW(),"")</f>
        <v>93237</v>
      </c>
    </row>
    <row r="238">
      <c r="Z238">
        <f>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individual'!F238="Completado",3000000,0)+COUNTIF('Detalle individual'!$C$5:$C$297,"&lt;"&amp;'Detalle individual'!C238)*1000+ROW(),"")</f>
        <v>93238</v>
      </c>
    </row>
    <row r="239">
      <c r="Z239">
        <f>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individual'!F239="Completado",3000000,0)+COUNTIF('Detalle individual'!$C$5:$C$297,"&lt;"&amp;'Detalle individual'!C239)*1000+ROW(),"")</f>
        <v>93239</v>
      </c>
    </row>
    <row r="240">
      <c r="Z240">
        <f>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individual'!F240="Completado",3000000,0)+COUNTIF('Detalle individual'!$C$5:$C$297,"&lt;"&amp;'Detalle individual'!C240)*1000+ROW(),"")</f>
        <v>93240</v>
      </c>
    </row>
    <row r="241">
      <c r="Z241">
        <f>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individual'!F241="Completado",3000000,0)+COUNTIF('Detalle individual'!$C$5:$C$297,"&lt;"&amp;'Detalle individual'!C241)*1000+ROW(),"")</f>
        <v>93241</v>
      </c>
    </row>
    <row r="242">
      <c r="Z242">
        <f>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individual'!F242="Completado",3000000,0)+COUNTIF('Detalle individual'!$C$5:$C$297,"&lt;"&amp;'Detalle individual'!C242)*1000+ROW(),"")</f>
        <v>3093242</v>
      </c>
    </row>
    <row r="243">
      <c r="Z243">
        <f>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individual'!F243="Completado",3000000,0)+COUNTIF('Detalle individual'!$C$5:$C$297,"&lt;"&amp;'Detalle individual'!C243)*1000+ROW(),"")</f>
        <v>93243</v>
      </c>
    </row>
    <row r="244">
      <c r="Z244">
        <f>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individual'!F244="Completado",3000000,0)+COUNTIF('Detalle individual'!$C$5:$C$297,"&lt;"&amp;'Detalle individual'!C244)*1000+ROW(),"")</f>
        <v>3056244</v>
      </c>
    </row>
    <row r="245">
      <c r="Z245">
        <f>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individual'!F245="Completado",3000000,0)+COUNTIF('Detalle individual'!$C$5:$C$297,"&lt;"&amp;'Detalle individual'!C245)*1000+ROW(),"")</f>
        <v>3056245</v>
      </c>
    </row>
    <row r="246">
      <c r="Z246">
        <f>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individual'!F246="Completado",3000000,0)+COUNTIF('Detalle individual'!$C$5:$C$297,"&lt;"&amp;'Detalle individual'!C246)*1000+ROW(),"")</f>
        <v>3056246</v>
      </c>
    </row>
    <row r="247">
      <c r="Z247">
        <f>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individual'!F247="Completado",3000000,0)+COUNTIF('Detalle individual'!$C$5:$C$297,"&lt;"&amp;'Detalle individual'!C247)*1000+ROW(),"")</f>
        <v>56247</v>
      </c>
    </row>
    <row r="248">
      <c r="Z248">
        <f>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individual'!F248="Completado",3000000,0)+COUNTIF('Detalle individual'!$C$5:$C$297,"&lt;"&amp;'Detalle individual'!C248)*1000+ROW(),"")</f>
        <v>3056248</v>
      </c>
    </row>
    <row r="249">
      <c r="Z249">
        <f>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individual'!F249="Completado",3000000,0)+COUNTIF('Detalle individual'!$C$5:$C$297,"&lt;"&amp;'Detalle individual'!C249)*1000+ROW(),"")</f>
        <v>3056249</v>
      </c>
    </row>
    <row r="250">
      <c r="Z250">
        <f>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individual'!F250="Completado",3000000,0)+COUNTIF('Detalle individual'!$C$5:$C$297,"&lt;"&amp;'Detalle individual'!C250)*1000+ROW(),"")</f>
        <v>3056250</v>
      </c>
    </row>
    <row r="251">
      <c r="Z251">
        <f>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individual'!F251="Completado",3000000,0)+COUNTIF('Detalle individual'!$C$5:$C$297,"&lt;"&amp;'Detalle individual'!C251)*1000+ROW(),"")</f>
        <v>3056251</v>
      </c>
    </row>
    <row r="252">
      <c r="Z252">
        <f>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individual'!F252="Completado",3000000,0)+COUNTIF('Detalle individual'!$C$5:$C$297,"&lt;"&amp;'Detalle individual'!C252)*1000+ROW(),"")</f>
        <v>3056252</v>
      </c>
    </row>
    <row r="253">
      <c r="Z253">
        <f>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individual'!F253="Completado",3000000,0)+COUNTIF('Detalle individual'!$C$5:$C$297,"&lt;"&amp;'Detalle individual'!C253)*1000+ROW(),"")</f>
        <v>3056253</v>
      </c>
    </row>
    <row r="254">
      <c r="Z254">
        <f>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individual'!F254="Completado",3000000,0)+COUNTIF('Detalle individual'!$C$5:$C$297,"&lt;"&amp;'Detalle individual'!C254)*1000+ROW(),"")</f>
        <v>3056254</v>
      </c>
    </row>
    <row r="255">
      <c r="Z255">
        <f>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individual'!F255="Completado",3000000,0)+COUNTIF('Detalle individual'!$C$5:$C$297,"&lt;"&amp;'Detalle individual'!C255)*1000+ROW(),"")</f>
        <v>3056255</v>
      </c>
    </row>
    <row r="256">
      <c r="Z256">
        <f>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individual'!F256="Completado",3000000,0)+COUNTIF('Detalle individual'!$C$5:$C$297,"&lt;"&amp;'Detalle individual'!C256)*1000+ROW(),"")</f>
        <v>3056256</v>
      </c>
    </row>
    <row r="257">
      <c r="Z257">
        <f>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individual'!F257="Completado",3000000,0)+COUNTIF('Detalle individual'!$C$5:$C$297,"&lt;"&amp;'Detalle individual'!C257)*1000+ROW(),"")</f>
        <v>40257</v>
      </c>
    </row>
    <row r="258">
      <c r="Z258">
        <f>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individual'!F258="Completado",3000000,0)+COUNTIF('Detalle individual'!$C$5:$C$297,"&lt;"&amp;'Detalle individual'!C258)*1000+ROW(),"")</f>
        <v>3040258</v>
      </c>
    </row>
    <row r="259">
      <c r="Z259">
        <f>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individual'!F259="Completado",3000000,0)+COUNTIF('Detalle individual'!$C$5:$C$297,"&lt;"&amp;'Detalle individual'!C259)*1000+ROW(),"")</f>
        <v>3040259</v>
      </c>
    </row>
    <row r="260">
      <c r="Z260">
        <f>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individual'!F260="Completado",3000000,0)+COUNTIF('Detalle individual'!$C$5:$C$297,"&lt;"&amp;'Detalle individual'!C260)*1000+ROW(),"")</f>
        <v>3040260</v>
      </c>
    </row>
    <row r="261">
      <c r="Z261">
        <f>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individual'!F261="Completado",3000000,0)+COUNTIF('Detalle individual'!$C$5:$C$297,"&lt;"&amp;'Detalle individual'!C261)*1000+ROW(),"")</f>
        <v>3040261</v>
      </c>
    </row>
    <row r="262">
      <c r="Z262">
        <f>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individual'!F262="Completado",3000000,0)+COUNTIF('Detalle individual'!$C$5:$C$297,"&lt;"&amp;'Detalle individual'!C262)*1000+ROW(),"")</f>
        <v>40262</v>
      </c>
    </row>
    <row r="263">
      <c r="Z263">
        <f>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individual'!F263="Completado",3000000,0)+COUNTIF('Detalle individual'!$C$5:$C$297,"&lt;"&amp;'Detalle individual'!C263)*1000+ROW(),"")</f>
        <v>40263</v>
      </c>
    </row>
    <row r="264">
      <c r="Z264">
        <f>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individual'!F264="Completado",3000000,0)+COUNTIF('Detalle individual'!$C$5:$C$297,"&lt;"&amp;'Detalle individual'!C264)*1000+ROW(),"")</f>
        <v>3040264</v>
      </c>
    </row>
    <row r="265">
      <c r="Z265">
        <f>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individual'!F265="Completado",3000000,0)+COUNTIF('Detalle individual'!$C$5:$C$297,"&lt;"&amp;'Detalle individual'!C265)*1000+ROW(),"")</f>
        <v>3040265</v>
      </c>
    </row>
    <row r="266">
      <c r="Z266">
        <f>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individual'!F266="Completado",3000000,0)+COUNTIF('Detalle individual'!$C$5:$C$297,"&lt;"&amp;'Detalle individual'!C266)*1000+ROW(),"")</f>
        <v>40266</v>
      </c>
    </row>
    <row r="267">
      <c r="Z267">
        <f>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individual'!F267="Completado",3000000,0)+COUNTIF('Detalle individual'!$C$5:$C$297,"&lt;"&amp;'Detalle individual'!C267)*1000+ROW(),"")</f>
        <v>3040267</v>
      </c>
    </row>
    <row r="268">
      <c r="Z268">
        <f>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individual'!F268="Completado",3000000,0)+COUNTIF('Detalle individual'!$C$5:$C$297,"&lt;"&amp;'Detalle individual'!C268)*1000+ROW(),"")</f>
        <v>40268</v>
      </c>
    </row>
    <row r="269">
      <c r="Z269">
        <f>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individual'!F269="Completado",3000000,0)+COUNTIF('Detalle individual'!$C$5:$C$297,"&lt;"&amp;'Detalle individual'!C269)*1000+ROW(),"")</f>
        <v>40269</v>
      </c>
    </row>
    <row r="270">
      <c r="Z270">
        <f>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individual'!F270="Completado",3000000,0)+COUNTIF('Detalle individual'!$C$5:$C$297,"&lt;"&amp;'Detalle individual'!C270)*1000+ROW(),"")</f>
        <v>40270</v>
      </c>
    </row>
    <row r="271">
      <c r="Z271">
        <f>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individual'!F271="Completado",3000000,0)+COUNTIF('Detalle individual'!$C$5:$C$297,"&lt;"&amp;'Detalle individual'!C271)*1000+ROW(),"")</f>
        <v>40271</v>
      </c>
    </row>
    <row r="272">
      <c r="Z272">
        <f>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individual'!F272="Completado",3000000,0)+COUNTIF('Detalle individual'!$C$5:$C$297,"&lt;"&amp;'Detalle individual'!C272)*1000+ROW(),"")</f>
        <v>40272</v>
      </c>
    </row>
    <row r="273">
      <c r="Z273">
        <f>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individual'!F273="Completado",3000000,0)+COUNTIF('Detalle individual'!$C$5:$C$297,"&lt;"&amp;'Detalle individual'!C273)*1000+ROW(),"")</f>
        <v>69273</v>
      </c>
    </row>
    <row r="274">
      <c r="Z274">
        <f>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individual'!F274="Completado",3000000,0)+COUNTIF('Detalle individual'!$C$5:$C$297,"&lt;"&amp;'Detalle individual'!C274)*1000+ROW(),"")</f>
        <v>3069274</v>
      </c>
    </row>
    <row r="275">
      <c r="Z275">
        <f>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individual'!F275="Completado",3000000,0)+COUNTIF('Detalle individual'!$C$5:$C$297,"&lt;"&amp;'Detalle individual'!C275)*1000+ROW(),"")</f>
        <v>3069275</v>
      </c>
    </row>
    <row r="276">
      <c r="Z276">
        <f>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individual'!F276="Completado",3000000,0)+COUNTIF('Detalle individual'!$C$5:$C$297,"&lt;"&amp;'Detalle individual'!C276)*1000+ROW(),"")</f>
        <v>3069276</v>
      </c>
    </row>
    <row r="277">
      <c r="Z277">
        <f>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individual'!F277="Completado",3000000,0)+COUNTIF('Detalle individual'!$C$5:$C$297,"&lt;"&amp;'Detalle individual'!C277)*1000+ROW(),"")</f>
        <v>3069277</v>
      </c>
    </row>
    <row r="278">
      <c r="Z278">
        <f>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individual'!F278="Completado",3000000,0)+COUNTIF('Detalle individual'!$C$5:$C$297,"&lt;"&amp;'Detalle individual'!C278)*1000+ROW(),"")</f>
        <v>3069278</v>
      </c>
    </row>
    <row r="279">
      <c r="Z279">
        <f>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individual'!F279="Completado",3000000,0)+COUNTIF('Detalle individual'!$C$5:$C$297,"&lt;"&amp;'Detalle individual'!C279)*1000+ROW(),"")</f>
        <v>3069279</v>
      </c>
    </row>
    <row r="280">
      <c r="Z280">
        <f>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individual'!F280="Completado",3000000,0)+COUNTIF('Detalle individual'!$C$5:$C$297,"&lt;"&amp;'Detalle individual'!C280)*1000+ROW(),"")</f>
        <v>3069280</v>
      </c>
    </row>
    <row r="281">
      <c r="Z281">
        <f>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individual'!F281="Completado",3000000,0)+COUNTIF('Detalle individual'!$C$5:$C$297,"&lt;"&amp;'Detalle individual'!C281)*1000+ROW(),"")</f>
        <v>3100281</v>
      </c>
    </row>
    <row r="282">
      <c r="Z282">
        <f>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individual'!F282="Completado",3000000,0)+COUNTIF('Detalle individual'!$C$5:$C$297,"&lt;"&amp;'Detalle individual'!C282)*1000+ROW(),"")</f>
        <v>3100282</v>
      </c>
    </row>
    <row r="283">
      <c r="Z283">
        <f>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individual'!F283="Completado",3000000,0)+COUNTIF('Detalle individual'!$C$5:$C$297,"&lt;"&amp;'Detalle individual'!C283)*1000+ROW(),"")</f>
        <v>3100283</v>
      </c>
    </row>
    <row r="284">
      <c r="Z284">
        <f>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individual'!F284="Completado",3000000,0)+COUNTIF('Detalle individual'!$C$5:$C$297,"&lt;"&amp;'Detalle individual'!C284)*1000+ROW(),"")</f>
        <v>3100284</v>
      </c>
    </row>
    <row r="285">
      <c r="Z285">
        <f>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individual'!F285="Completado",3000000,0)+COUNTIF('Detalle individual'!$C$5:$C$297,"&lt;"&amp;'Detalle individual'!C285)*1000+ROW(),"")</f>
        <v>3100285</v>
      </c>
    </row>
    <row r="286">
      <c r="Z286">
        <f>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individual'!F286="Completado",3000000,0)+COUNTIF('Detalle individual'!$C$5:$C$297,"&lt;"&amp;'Detalle individual'!C286)*1000+ROW(),"")</f>
        <v>3100286</v>
      </c>
    </row>
    <row r="287">
      <c r="Z287">
        <f>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individual'!F287="Completado",3000000,0)+COUNTIF('Detalle individual'!$C$5:$C$297,"&lt;"&amp;'Detalle individual'!C287)*1000+ROW(),"")</f>
        <v>3100287</v>
      </c>
    </row>
    <row r="288">
      <c r="Z288">
        <f>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individual'!F288="Completado",3000000,0)+COUNTIF('Detalle individual'!$C$5:$C$297,"&lt;"&amp;'Detalle individual'!C288)*1000+ROW(),"")</f>
        <v>3251288</v>
      </c>
    </row>
    <row r="289">
      <c r="Z289">
        <f>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individual'!F289="Completado",3000000,0)+COUNTIF('Detalle individual'!$C$5:$C$297,"&lt;"&amp;'Detalle individual'!C289)*1000+ROW(),"")</f>
        <v>3251289</v>
      </c>
    </row>
    <row r="290">
      <c r="Z290">
        <f>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individual'!F290="Completado",3000000,0)+COUNTIF('Detalle individual'!$C$5:$C$297,"&lt;"&amp;'Detalle individual'!C290)*1000+ROW(),"")</f>
        <v>3251290</v>
      </c>
    </row>
    <row r="291">
      <c r="Z291">
        <f>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individual'!F291="Completado",3000000,0)+COUNTIF('Detalle individual'!$C$5:$C$297,"&lt;"&amp;'Detalle individual'!C291)*1000+ROW(),"")</f>
        <v>3251291</v>
      </c>
    </row>
    <row r="292">
      <c r="Z292">
        <f>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individual'!F292="Completado",3000000,0)+COUNTIF('Detalle individual'!$C$5:$C$297,"&lt;"&amp;'Detalle individual'!C292)*1000+ROW(),"")</f>
        <v>3251292</v>
      </c>
    </row>
    <row r="293">
      <c r="Z293">
        <f>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individual'!F293="Completado",3000000,0)+COUNTIF('Detalle individual'!$C$5:$C$297,"&lt;"&amp;'Detalle individual'!C293)*1000+ROW(),"")</f>
        <v>3251293</v>
      </c>
    </row>
    <row r="294">
      <c r="Z294">
        <f>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individual'!F294="Completado",3000000,0)+COUNTIF('Detalle individual'!$C$5:$C$297,"&lt;"&amp;'Detalle individual'!C294)*1000+ROW(),"")</f>
        <v>3251294</v>
      </c>
    </row>
    <row r="295">
      <c r="Z295">
        <f>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individual'!F295="Completado",3000000,0)+COUNTIF('Detalle individual'!$C$5:$C$297,"&lt;"&amp;'Detalle individual'!C295)*1000+ROW(),"")</f>
        <v>3251295</v>
      </c>
    </row>
    <row r="296">
      <c r="Z296">
        <f>IF(AND(OR('Estado por Colaborador'!$D$4="Todas las gerencias",'Detalle individual'!D296='Estado por Colaborador'!$D$4),OR('Estado por Colaborador'!$D$5="Todos los departamentos",TRIM('Detalle individual'!C296)='Estado por Colaborador'!$D$5),OR('Estado por Colaborador'!$D$6="Todos",'Detalle individual'!F296='Estado por Colaborador'!$D$6)),IF('Detalle individual'!F296="Completado",3000000,0)+COUNTIF('Detalle individual'!$C$5:$C$297,"&lt;"&amp;'Detalle individual'!C296)*1000+ROW(),"")</f>
        <v>3109296</v>
      </c>
    </row>
    <row r="297">
      <c r="Z297">
        <f>IF(AND(OR('Estado por Colaborador'!$D$4="Todas las gerencias",'Detalle individual'!D297='Estado por Colaborador'!$D$4),OR('Estado por Colaborador'!$D$5="Todos los departamentos",TRIM('Detalle individual'!C297)='Estado por Colaborador'!$D$5),OR('Estado por Colaborador'!$D$6="Todos",'Detalle individual'!F297='Estado por Colaborador'!$D$6)),IF('Detalle individual'!F297="Completado",3000000,0)+COUNTIF('Detalle individual'!$C$5:$C$297,"&lt;"&amp;'Detalle individual'!C297)*1000+ROW(),"")</f>
        <v>3129297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2026-10-14T21:49:57Z</dcterms:modified>
</cp:coreProperties>
</file>