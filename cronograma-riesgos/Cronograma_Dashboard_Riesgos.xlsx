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Historial mensual" sheetId="2" state="visible" r:id="rId2"/>
    <sheet xmlns:r="http://schemas.openxmlformats.org/officeDocument/2006/relationships" name="Cronograma R. Operacional" sheetId="3" state="visible" r:id="rId3"/>
    <sheet xmlns:r="http://schemas.openxmlformats.org/officeDocument/2006/relationships" name="Actividades R. Operacional" sheetId="4" state="visible" r:id="rId4"/>
    <sheet xmlns:r="http://schemas.openxmlformats.org/officeDocument/2006/relationships" name="Cronograma R. Normativo" sheetId="5" state="visible" r:id="rId5"/>
    <sheet xmlns:r="http://schemas.openxmlformats.org/officeDocument/2006/relationships" name="Actividades R. Normativo" sheetId="6" state="visible" r:id="rId6"/>
    <sheet xmlns:r="http://schemas.openxmlformats.org/officeDocument/2006/relationships" name="Cronograma R. Financiero" sheetId="7" state="visible" r:id="rId7"/>
    <sheet xmlns:r="http://schemas.openxmlformats.org/officeDocument/2006/relationships" name="Actividades R. Financiero" sheetId="8" state="visible" r:id="rId8"/>
    <sheet xmlns:r="http://schemas.openxmlformats.org/officeDocument/2006/relationships" name="Cronograma Asistente Técnico" sheetId="9" state="visible" r:id="rId9"/>
    <sheet xmlns:r="http://schemas.openxmlformats.org/officeDocument/2006/relationships" name="Actividades Asistente Técnico" sheetId="10" state="visible" r:id="rId10"/>
    <sheet xmlns:r="http://schemas.openxmlformats.org/officeDocument/2006/relationships" name="Instrucciones" sheetId="11" state="visible" r:id="rId11"/>
    <sheet xmlns:r="http://schemas.openxmlformats.org/officeDocument/2006/relationships" name="Configuración" sheetId="12" state="visible" r:id="rId12"/>
    <sheet xmlns:r="http://schemas.openxmlformats.org/officeDocument/2006/relationships" name="Calculos" sheetId="13" state="hidden" r:id="rId13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Operacional'!$E$5:$E$1000</definedName>
    <definedName name="rPeso_RO">'Cronograma R. Operacional'!$F$5:$F$1000</definedName>
    <definedName name="rS1_RO">'Cronograma R. Operacional'!$G$5:$G$1000</definedName>
    <definedName name="rS2_RO">'Cronograma R. Operacional'!$H$5:$H$1000</definedName>
    <definedName name="rS3_RO">'Cronograma R. Operacional'!$I$5:$I$1000</definedName>
    <definedName name="rS4_RO">'Cronograma R. Operacional'!$J$5:$J$1000</definedName>
    <definedName name="rAvance_RO">'Cronograma R. Operacional'!$K$5:$K$1000</definedName>
    <definedName name="rEstado_RO">'Cronograma R. Operacional'!$L$5:$L$1000</definedName>
    <definedName name="rAlerta_RO">'Cronograma R. Operacional'!$M$5:$M$1000</definedName>
    <definedName name="rValid_RO">'Cronograma R. Operacional'!$O$5:$O$1000</definedName>
    <definedName name="rMes_RO">'Cronograma R. Operacional'!$P$5:$P$1000</definedName>
    <definedName name="rOrden_RO">'Cronograma R. Operacional'!$Q$5:$Q$1000</definedName>
    <definedName name="rTipo_RO">'Cronograma R. Operacional'!$S$5:$S$1000</definedName>
    <definedName name="rEf1_RO">'Cronograma R. Operacional'!$Y$5:$Y$1000</definedName>
    <definedName name="rEf2_RO">'Cronograma R. Operacional'!$Z$5:$Z$1000</definedName>
    <definedName name="rEf3_RO">'Cronograma R. Operacional'!$AA$5:$AA$1000</definedName>
    <definedName name="rEf4_RO">'Cronograma R. Operacional'!$AB$5:$AB$1000</definedName>
    <definedName name="rFLim_RN">'Cronograma R. Normativo'!$E$5:$E$1000</definedName>
    <definedName name="rPeso_RN">'Cronograma R. Normativo'!$F$5:$F$1000</definedName>
    <definedName name="rS1_RN">'Cronograma R. Normativo'!$G$5:$G$1000</definedName>
    <definedName name="rS2_RN">'Cronograma R. Normativo'!$H$5:$H$1000</definedName>
    <definedName name="rS3_RN">'Cronograma R. Normativo'!$I$5:$I$1000</definedName>
    <definedName name="rS4_RN">'Cronograma R. Normativo'!$J$5:$J$1000</definedName>
    <definedName name="rAvance_RN">'Cronograma R. Normativo'!$K$5:$K$1000</definedName>
    <definedName name="rEstado_RN">'Cronograma R. Normativo'!$L$5:$L$1000</definedName>
    <definedName name="rAlerta_RN">'Cronograma R. Normativo'!$M$5:$M$1000</definedName>
    <definedName name="rValid_RN">'Cronograma R. Normativo'!$O$5:$O$1000</definedName>
    <definedName name="rMes_RN">'Cronograma R. Normativo'!$P$5:$P$1000</definedName>
    <definedName name="rOrden_RN">'Cronograma R. Normativo'!$Q$5:$Q$1000</definedName>
    <definedName name="rTipo_RN">'Cronograma R. Normativo'!$S$5:$S$1000</definedName>
    <definedName name="rEf1_RN">'Cronograma R. Normativo'!$Y$5:$Y$1000</definedName>
    <definedName name="rEf2_RN">'Cronograma R. Normativo'!$Z$5:$Z$1000</definedName>
    <definedName name="rEf3_RN">'Cronograma R. Normativo'!$AA$5:$AA$1000</definedName>
    <definedName name="rEf4_RN">'Cronograma R. Normativo'!$AB$5:$AB$1000</definedName>
    <definedName name="rFLim_RF">'Cronograma R. Financiero'!$E$5:$E$1000</definedName>
    <definedName name="rPeso_RF">'Cronograma R. Financiero'!$F$5:$F$1000</definedName>
    <definedName name="rS1_RF">'Cronograma R. Financiero'!$G$5:$G$1000</definedName>
    <definedName name="rS2_RF">'Cronograma R. Financiero'!$H$5:$H$1000</definedName>
    <definedName name="rS3_RF">'Cronograma R. Financiero'!$I$5:$I$1000</definedName>
    <definedName name="rS4_RF">'Cronograma R. Financiero'!$J$5:$J$1000</definedName>
    <definedName name="rAvance_RF">'Cronograma R. Financiero'!$K$5:$K$1000</definedName>
    <definedName name="rEstado_RF">'Cronograma R. Financiero'!$L$5:$L$1000</definedName>
    <definedName name="rAlerta_RF">'Cronograma R. Financiero'!$M$5:$M$1000</definedName>
    <definedName name="rValid_RF">'Cronograma R. Financiero'!$O$5:$O$1000</definedName>
    <definedName name="rMes_RF">'Cronograma R. Financiero'!$P$5:$P$1000</definedName>
    <definedName name="rOrden_RF">'Cronograma R. Financiero'!$Q$5:$Q$1000</definedName>
    <definedName name="rTipo_RF">'Cronograma R. Financiero'!$S$5:$S$1000</definedName>
    <definedName name="rEf1_RF">'Cronograma R. Financiero'!$Y$5:$Y$1000</definedName>
    <definedName name="rEf2_RF">'Cronograma R. Financiero'!$Z$5:$Z$1000</definedName>
    <definedName name="rEf3_RF">'Cronograma R. Financiero'!$AA$5:$AA$1000</definedName>
    <definedName name="rEf4_RF">'Cronograma R. Financiero'!$AB$5:$AB$1000</definedName>
    <definedName name="rFLim_ATR">'Cronograma Asistente Técnico'!$E$5:$E$1000</definedName>
    <definedName name="rPeso_ATR">'Cronograma Asistente Técnico'!$F$5:$F$1000</definedName>
    <definedName name="rS1_ATR">'Cronograma Asistente Técnico'!$G$5:$G$1000</definedName>
    <definedName name="rS2_ATR">'Cronograma Asistente Técnico'!$H$5:$H$1000</definedName>
    <definedName name="rS3_ATR">'Cronograma Asistente Técnico'!$I$5:$I$1000</definedName>
    <definedName name="rS4_ATR">'Cronograma Asistente Técnico'!$J$5:$J$1000</definedName>
    <definedName name="rAvance_ATR">'Cronograma Asistente Técnico'!$K$5:$K$1000</definedName>
    <definedName name="rEstado_ATR">'Cronograma Asistente Técnico'!$L$5:$L$1000</definedName>
    <definedName name="rAlerta_ATR">'Cronograma Asistente Técnico'!$M$5:$M$1000</definedName>
    <definedName name="rValid_ATR">'Cronograma Asistente Técnico'!$O$5:$O$1000</definedName>
    <definedName name="rMes_ATR">'Cronograma Asistente Técnico'!$P$5:$P$1000</definedName>
    <definedName name="rOrden_ATR">'Cronograma Asistente Técnico'!$Q$5:$Q$1000</definedName>
    <definedName name="rTipo_ATR">'Cronograma Asistente Técnico'!$S$5:$S$1000</definedName>
    <definedName name="rEf1_ATR">'Cronograma Asistente Técnico'!$Y$5:$Y$1000</definedName>
    <definedName name="rEf2_ATR">'Cronograma Asistente Técnico'!$Z$5:$Z$1000</definedName>
    <definedName name="rEf3_ATR">'Cronograma Asistente Técnico'!$AA$5:$AA$1000</definedName>
    <definedName name="rEf4_ATR">'Cronograma Asistente Técnico'!$AB$5:$AB$1000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MesCiclo">'Calculos'!$B$15</definedName>
    <definedName name="_xlnm.Print_Titles" localSheetId="0">'Dashboard - Consolidado'!$1:$2</definedName>
    <definedName name="_xlnm.Print_Area" localSheetId="0">'Dashboard - Consolidado'!$A$1:$N$90</definedName>
    <definedName name="_xlnm.Print_Titles" localSheetId="2">'Cronograma R. Operacional'!$4:$4</definedName>
    <definedName name="_xlnm.Print_Area" localSheetId="2">'Cronograma R. Operacional'!$A$1:$P$304</definedName>
    <definedName name="_xlnm.Print_Titles" localSheetId="3">'Actividades R. Operacional'!$4:$4</definedName>
    <definedName name="_xlnm.Print_Area" localSheetId="3">'Actividades R. Operacional'!$A$1:$M$104</definedName>
    <definedName name="_xlnm.Print_Titles" localSheetId="4">'Cronograma R. Normativo'!$4:$4</definedName>
    <definedName name="_xlnm.Print_Area" localSheetId="4">'Cronograma R. Normativo'!$A$1:$P$304</definedName>
    <definedName name="_xlnm.Print_Titles" localSheetId="5">'Actividades R. Normativo'!$4:$4</definedName>
    <definedName name="_xlnm.Print_Area" localSheetId="5">'Actividades R. Normativo'!$A$1:$M$104</definedName>
    <definedName name="_xlnm.Print_Titles" localSheetId="6">'Cronograma R. Financiero'!$4:$4</definedName>
    <definedName name="_xlnm.Print_Area" localSheetId="6">'Cronograma R. Financiero'!$A$1:$P$304</definedName>
    <definedName name="_xlnm.Print_Titles" localSheetId="7">'Actividades R. Financiero'!$4:$4</definedName>
    <definedName name="_xlnm.Print_Area" localSheetId="7">'Actividades R. Financiero'!$A$1:$M$104</definedName>
    <definedName name="_xlnm.Print_Titles" localSheetId="8">'Cronograma Asistente Técnico'!$4:$4</definedName>
    <definedName name="_xlnm.Print_Area" localSheetId="8">'Cronograma Asistente Técnico'!$A$1:$P$304</definedName>
    <definedName name="_xlnm.Print_Titles" localSheetId="9">'Actividades Asistente Técnico'!$4:$4</definedName>
    <definedName name="_xlnm.Print_Area" localSheetId="9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0.0%"/>
    <numFmt numFmtId="169" formatCode="dd/mm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i val="1"/>
      <color rgb="001F3864"/>
      <sz val="8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7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8" fillId="7" borderId="1" applyAlignment="1" pivotButton="0" quotePrefix="0" xfId="0">
      <alignment horizontal="center" vertical="center" wrapText="1"/>
    </xf>
    <xf numFmtId="170" fontId="18" fillId="7" borderId="1" applyAlignment="1" pivotButton="0" quotePrefix="0" xfId="0">
      <alignment horizontal="center" vertical="center" wrapText="1"/>
    </xf>
    <xf numFmtId="165" fontId="18" fillId="7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4" borderId="1" applyAlignment="1" pivotButton="0" quotePrefix="0" xfId="0">
      <alignment horizontal="center" vertical="center" wrapText="1"/>
    </xf>
    <xf numFmtId="0" fontId="20" fillId="14" borderId="1" applyAlignment="1" pivotButton="0" quotePrefix="0" xfId="0">
      <alignment horizontal="center" vertical="center" wrapText="1"/>
    </xf>
    <xf numFmtId="1" fontId="20" fillId="14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4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4" borderId="1" applyAlignment="1" pivotButton="0" quotePrefix="0" xfId="0">
      <alignment horizontal="left" vertical="center" wrapText="1"/>
    </xf>
    <xf numFmtId="9" fontId="24" fillId="14" borderId="1" applyAlignment="1" pivotButton="0" quotePrefix="0" xfId="0">
      <alignment horizontal="center" vertical="center" wrapText="1"/>
    </xf>
    <xf numFmtId="172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25" fillId="14" borderId="1" applyAlignment="1" pivotButton="0" quotePrefix="0" xfId="0">
      <alignment horizontal="left" vertical="center" wrapText="1"/>
    </xf>
    <xf numFmtId="9" fontId="25" fillId="1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8" borderId="1" pivotButton="0" quotePrefix="0" xfId="0"/>
    <xf numFmtId="0" fontId="12" fillId="0" borderId="0" applyAlignment="1" pivotButton="0" quotePrefix="0" xfId="0">
      <alignment horizontal="right" vertical="center"/>
    </xf>
    <xf numFmtId="168" fontId="5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168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0" fontId="12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169" fontId="14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5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" fontId="0" fillId="0" borderId="0" pivotButton="0" quotePrefix="0" xfId="0"/>
    <xf numFmtId="0" fontId="1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9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border>
        <top style="medium">
          <color rgb="00C55A11"/>
        </top>
      </border>
    </dxf>
    <dxf>
      <font>
        <b val="1"/>
      </font>
      <fill>
        <patternFill patternType="solid">
          <fgColor rgb="00F3DECF"/>
          <bgColor rgb="00F3DECF"/>
        </patternFill>
      </fill>
    </dxf>
    <dxf>
      <font>
        <color rgb="00404040"/>
      </font>
      <numFmt numFmtId="200" formatCode="&quot;      ↳  &quot;@"/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i val="1"/>
        <color rgb="00404040"/>
      </font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border>
        <top style="medium">
          <color rgb="007030A0"/>
        </top>
      </border>
    </dxf>
    <dxf>
      <font>
        <b val="1"/>
      </font>
      <fill>
        <patternFill patternType="solid">
          <fgColor rgb="00E2D5EC"/>
          <bgColor rgb="00E2D5EC"/>
        </patternFill>
      </fill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border>
        <top style="medium">
          <color rgb="00548235"/>
        </top>
      </border>
    </dxf>
    <dxf>
      <font>
        <b val="1"/>
      </font>
      <fill>
        <patternFill patternType="solid">
          <fgColor rgb="00DCE6D6"/>
          <bgColor rgb="00DCE6D6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border>
        <top style="medium">
          <color rgb="002E75B6"/>
        </top>
      </border>
    </dxf>
    <dxf>
      <font>
        <b val="1"/>
      </font>
      <fill>
        <patternFill patternType="solid">
          <fgColor rgb="00D5E3F0"/>
          <bgColor rgb="00D5E3F0"/>
        </patternFill>
      </fill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RO" displayName="tblAct_RO" ref="A4:AG304" headerRowCount="1">
  <autoFilter ref="A4:AG304"/>
  <tableColumns count="33">
    <tableColumn id="1" name="N°">
      <calculatedColumnFormula>IF(NOT((COUNTA(tblAct_RO[[#This Row],[Tipo]:[Avance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(aux)]])=0,"?",COUNTIFS(INDEX($S$5:$S$1000,1):INDEX($S$5:$S$1000,tblAct_RO[[#This Row],[Grupo (aux)]]-4),"Macro",INDEX($P$5:$P$1000,1):INDEX($P$5:$P$1000,tblAct_RO[[#This Row],[Grupo (aux)]]-4),INDEX($P$5:$P$1000,tblAct_RO[[#This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IF(NOT((COUNTA(tblAct_RO[[#This Row],[Tipo]:[Avance Semana 4 (%)]])+COUNTA(tblAct_RO[[#This Row],[Observaciones]]))&gt;0),"",IF(N(tblAct_RO[[#This Row],[N subactividades (aux)]])&gt;0,tblAct_RO[[#This Row],[Efectivo S4 (aux)]],IFERROR(LOOKUP(2,1/(tblAct_RO[[#This Row],[Avance Semana 1 (%)]:[Avance Semana 4 (%)]]&lt;&gt;""),tblAct_RO[[#This Row],[Avance Semana 1 (%)]:[Avance Semana 4 (%)]]),0)))</calculatedColumnFormula>
    </tableColumn>
    <tableColumn id="12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3" name="Alerta de plazo">
      <calculatedColumnFormula>IF(NOT((COUNTA(tblAct_RO[[#This Row],[Tipo]:[Avance Semana 4 (%)]])+COUNTA(tblAct_RO[[#This Row],[Observaciones]]))&gt;0),"",IF(N(tblAct_RO[[#This Row],[% de Avance Total Actual]])&gt;=1,"Cumplida",IF(NOT(ISNUMBER(tblAct_RO[[#This Row],[Fecha límite]])),"Sin fecha límite",IF(tblAct_RO[[#This Row],[Fecha límite]]&lt;FechaRef,"Vencida hace "&amp;(FechaRef-tblAct_RO[[#This Row],[Fecha límite]])&amp;IF(FechaRef-tblAct_RO[[#This Row],[Fecha límite]]=1," día"," días"),IF(tblAct_RO[[#This Row],[Fecha límite]]=FechaRef,"Vence hoy",IF(tblAct_RO[[#This Row],[Fecha límite]]-FechaRef&lt;=DiasAlerta,"Vence en "&amp;(tblAct_RO[[#This Row],[Fecha límite]]-FechaRef)&amp;IF(tblAct_RO[[#This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IF(NOT((COUNTA(tblAct_RO[[#This Row],[Tipo]:[Avance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(%)]]="",N(tblAct_RO[[#This Row],[Grupo (aux)]])&gt;0,N(INDEX($AG$5:$AG$1000,tblAct_RO[[#This Row],[Grupo (aux)]]-4))&gt;0),"Falta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(%)]]="",N(tblAct_RO[[#This Row],[Grupo (aux)]])&gt;0,N(INDEX($AG$5:$AG$1000,tblAct_RO[[#This Row],[Grupo (aux)]]-4))&gt;0),"Falta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(%)]]="",N(tblAct_RO[[#This Row],[Grupo (aux)]])&gt;0,N(INDEX($AG$5:$AG$1000,tblAct_RO[[#This Row],[Grupo (aux)]]-4))&gt;0),"Falta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",""))-3)))</calculatedColumnFormula>
    </tableColumn>
    <tableColumn id="16" name="Mes">
      <calculatedColumnFormula>IF(NOT((COUNTA(tblAct_RO[[#This Row],[Tipo]:[Avance Semana 4 (%)]])+COUNTA(tblAct_RO[[#This Row],[Observaciones]]))&gt;0),"",IF(AND(tblAct_RO[[#This Row],[Tipo (aux)]]="Sub",N(tblAct_RO[[#This Row],[Grupo (aux)]])&gt;0),IF(ISNUMBER(INDEX($D$5:$D$1000,tblAct_RO[[#This Row],[Grupo (aux)]]-4)),DATE(YEAR(INDEX($D$5:$D$1000,tblAct_RO[[#This Row],[Grupo (aux)]]-4)),MONTH(INDEX($D$5:$D$1000,tblAct_RO[[#This Row],[Grupo (aux)]]-4)),1),IF(ISNUMBER(INDEX($E$5:$E$1000,tblAct_RO[[#This Row],[Grupo (aux)]]-4)),DATE(YEAR(INDEX($E$5:$E$1000,tblAct_RO[[#This Row],[Grupo (aux)]]-4)),MONTH(INDEX($E$5:$E$1000,tblAct_RO[[#This Row],[Grupo (aux)]]-4)),1),MesCiclo)),IF(ISNUMBER(tblAct_RO[[#This Row],[Fecha de inicio]]),DATE(YEAR(tblAct_RO[[#This Row],[Fecha de inicio]]),MONTH(tblAct_RO[[#This Row],[Fecha de inicio]]),1),IF(ISNUMBER(tblAct_RO[[#This Row],[Fecha límite]]),DATE(YEAR(tblAct_RO[[#This Row],[Fecha límite]]),MONTH(tblAct_RO[[#This Row],[Fecha límite]]),1),MesCiclo))))</calculatedColumnFormula>
    </tableColumn>
    <tableColumn id="17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18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19" name="Tipo (aux)">
      <calculatedColumnFormula>IF(NOT((COUNTA(tblAct_RO[[#This Row],[Tipo]:[Avance Semana 4 (%)]])+COUNTA(tblAct_RO[[#This Row],[Observaciones]]))&gt;0),"",IF(tblAct_RO[[#This Row],[Tipo]]="Subactividad","Sub","Macro"))</calculatedColumnFormula>
    </tableColumn>
    <tableColumn id="20" name="N subactividades (aux)">
      <calculatedColumnFormula>IF(tblAct_RO[[#This Row],[Tipo (aux)]]="Macro",COUNTIFS($R$5:$R$1000,ROW(),$S$5:$S$1000,"Sub"),"")</calculatedColumnFormula>
    </tableColumn>
    <tableColumn id="21" name="Propio S1 (aux)">
      <calculatedColumnFormula>IF(tblAct_RO[[#This Row],[Tipo (aux)]]="","",IF(ISNUMBER(tblAct_RO[[#This Row],[Avance Semana 1 (%)]]),tblAct_RO[[#This Row],[Avance Semana 1 (%)]],0))</calculatedColumnFormula>
    </tableColumn>
    <tableColumn id="22" name="Propio S2 (aux)">
      <calculatedColumnFormula>IF(tblAct_RO[[#This Row],[Tipo (aux)]]="","",IF(ISNUMBER(tblAct_RO[[#This Row],[Avance Semana 2 (%)]]),tblAct_RO[[#This Row],[Avance Semana 2 (%)]],tblAct_RO[[#This Row],[Propio S1 (aux)]]))</calculatedColumnFormula>
    </tableColumn>
    <tableColumn id="23" name="Propio S3 (aux)">
      <calculatedColumnFormula>IF(tblAct_RO[[#This Row],[Tipo (aux)]]="","",IF(ISNUMBER(tblAct_RO[[#This Row],[Avance Semana 3 (%)]]),tblAct_RO[[#This Row],[Avance Semana 3 (%)]],tblAct_RO[[#This Row],[Propio S2 (aux)]]))</calculatedColumnFormula>
    </tableColumn>
    <tableColumn id="24" name="Propio S4 (aux)">
      <calculatedColumnFormula>IF(tblAct_RO[[#This Row],[Tipo (aux)]]="","",IF(ISNUMBER(tblAct_RO[[#This Row],[Avance Semana 4 (%)]]),tblAct_RO[[#This Row],[Avance Semana 4 (%)]],tblAct_RO[[#This Row],[Propio S3 (aux)]]))</calculatedColumnFormula>
    </tableColumn>
    <tableColumn id="25" name="Efectivo S1 (aux)">
      <calculatedColumnFormula>IF(tblAct_RO[[#This Row],[Tipo (aux)]]="","",IF(N(tblAct_RO[[#This Row],[N subactividades (aux)]])&gt;0,IF(N(tblAct_RO[[#This Row],[Suma pesos subactividades (aux)]])&gt;0,SUMIFS($AC$5:$AC$1000,$R$5:$R$1000,ROW(),$S$5:$S$1000,"Sub")/tblAct_RO[[#This Row],[Suma pesos subactividades (aux)]],AVERAGEIFS($U$5:$U$1000,$R$5:$R$1000,ROW(),$S$5:$S$1000,"Sub")),tblAct_RO[[#This Row],[Propio S1 (aux)]]))</calculatedColumnFormula>
    </tableColumn>
    <tableColumn id="26" name="Efectivo S2 (aux)">
      <calculatedColumnFormula>IF(tblAct_RO[[#This Row],[Tipo (aux)]]="","",IF(N(tblAct_RO[[#This Row],[N subactividades (aux)]])&gt;0,IF(N(tblAct_RO[[#This Row],[Suma pesos subactividades (aux)]])&gt;0,SUMIFS($AD$5:$AD$1000,$R$5:$R$1000,ROW(),$S$5:$S$1000,"Sub")/tblAct_RO[[#This Row],[Suma pesos subactividades (aux)]],AVERAGEIFS($V$5:$V$1000,$R$5:$R$1000,ROW(),$S$5:$S$1000,"Sub")),tblAct_RO[[#This Row],[Propio S2 (aux)]]))</calculatedColumnFormula>
    </tableColumn>
    <tableColumn id="27" name="Efectivo S3 (aux)">
      <calculatedColumnFormula>IF(tblAct_RO[[#This Row],[Tipo (aux)]]="","",IF(N(tblAct_RO[[#This Row],[N subactividades (aux)]])&gt;0,IF(N(tblAct_RO[[#This Row],[Suma pesos subactividades (aux)]])&gt;0,SUMIFS($AE$5:$AE$1000,$R$5:$R$1000,ROW(),$S$5:$S$1000,"Sub")/tblAct_RO[[#This Row],[Suma pesos subactividades (aux)]],AVERAGEIFS($W$5:$W$1000,$R$5:$R$1000,ROW(),$S$5:$S$1000,"Sub")),tblAct_RO[[#This Row],[Propio S3 (aux)]]))</calculatedColumnFormula>
    </tableColumn>
    <tableColumn id="28" name="Efectivo S4 (aux)">
      <calculatedColumnFormula>IF(tblAct_RO[[#This Row],[Tipo (aux)]]="","",IF(N(tblAct_RO[[#This Row],[N subactividades (aux)]])&gt;0,IF(N(tblAct_RO[[#This Row],[Suma pesos subactividades (aux)]])&gt;0,SUMIFS($AF$5:$AF$1000,$R$5:$R$1000,ROW(),$S$5:$S$1000,"Sub")/tblAct_RO[[#This Row],[Suma pesos subactividades (aux)]],AVERAGEIFS($X$5:$X$1000,$R$5:$R$1000,ROW(),$S$5:$S$1000,"Sub")),tblAct_RO[[#This Row],[Propio S4 (aux)]]))</calculatedColumnFormula>
    </tableColumn>
    <tableColumn id="29" name="Ponderado S1 (aux)">
      <calculatedColumnFormula>IF(tblAct_RO[[#This Row],[Tipo (aux)]]="Sub",N(tblAct_RO[[#This Row],[Peso de actividad (%)]])*N(tblAct_RO[[#This Row],[Propio S1 (aux)]]),"")</calculatedColumnFormula>
    </tableColumn>
    <tableColumn id="30" name="Ponderado S2 (aux)">
      <calculatedColumnFormula>IF(tblAct_RO[[#This Row],[Tipo (aux)]]="Sub",N(tblAct_RO[[#This Row],[Peso de actividad (%)]])*N(tblAct_RO[[#This Row],[Propio S2 (aux)]]),"")</calculatedColumnFormula>
    </tableColumn>
    <tableColumn id="31" name="Ponderado S3 (aux)">
      <calculatedColumnFormula>IF(tblAct_RO[[#This Row],[Tipo (aux)]]="Sub",N(tblAct_RO[[#This Row],[Peso de actividad (%)]])*N(tblAct_RO[[#This Row],[Propio S3 (aux)]]),"")</calculatedColumnFormula>
    </tableColumn>
    <tableColumn id="32" name="Ponderado S4 (aux)">
      <calculatedColumnFormula>IF(tblAct_RO[[#This Row],[Tipo (aux)]]="Sub",N(tblAct_RO[[#This Row],[Peso de actividad (%)]])*N(tblAct_RO[[#This Row],[Propio S4 (aux)]]),"")</calculatedColumnFormula>
    </tableColumn>
    <tableColumn id="33" name="Suma pesos subactividades (aux)">
      <calculatedColumnFormula>IF(N(tblAct_RO[[#This Row],[N subactividades (aux)]])&gt;0,SUMIFS($F$5:$F$1000,$R$5:$R$1000,ROW(),$S$5:$S$1000,"Sub"),"")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3.xml><?xml version="1.0" encoding="utf-8"?>
<table xmlns="http://schemas.openxmlformats.org/spreadsheetml/2006/main" id="3" name="tblAct_RN" displayName="tblAct_RN" ref="A4:AG304" headerRowCount="1">
  <autoFilter ref="A4:AG304"/>
  <tableColumns count="33">
    <tableColumn id="1" name="N°">
      <calculatedColumnFormula>IF(NOT((COUNTA(tblAct_RN[[#This Row],[Tipo]:[Avance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(aux)]])=0,"?",COUNTIFS(INDEX($S$5:$S$1000,1):INDEX($S$5:$S$1000,tblAct_RN[[#This Row],[Grupo (aux)]]-4),"Macro",INDEX($P$5:$P$1000,1):INDEX($P$5:$P$1000,tblAct_RN[[#This Row],[Grupo (aux)]]-4),INDEX($P$5:$P$1000,tblAct_RN[[#This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IF(NOT((COUNTA(tblAct_RN[[#This Row],[Tipo]:[Avance Semana 4 (%)]])+COUNTA(tblAct_RN[[#This Row],[Observaciones]]))&gt;0),"",IF(N(tblAct_RN[[#This Row],[N subactividades (aux)]])&gt;0,tblAct_RN[[#This Row],[Efectivo S4 (aux)]],IFERROR(LOOKUP(2,1/(tblAct_RN[[#This Row],[Avance Semana 1 (%)]:[Avance Semana 4 (%)]]&lt;&gt;""),tblAct_RN[[#This Row],[Avance Semana 1 (%)]:[Avance Semana 4 (%)]]),0)))</calculatedColumnFormula>
    </tableColumn>
    <tableColumn id="12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3" name="Alerta de plazo">
      <calculatedColumnFormula>IF(NOT((COUNTA(tblAct_RN[[#This Row],[Tipo]:[Avance Semana 4 (%)]])+COUNTA(tblAct_RN[[#This Row],[Observaciones]]))&gt;0),"",IF(N(tblAct_RN[[#This Row],[% de Avance Total Actual]])&gt;=1,"Cumplida",IF(NOT(ISNUMBER(tblAct_RN[[#This Row],[Fecha límite]])),"Sin fecha límite",IF(tblAct_RN[[#This Row],[Fecha límite]]&lt;FechaRef,"Vencida hace "&amp;(FechaRef-tblAct_RN[[#This Row],[Fecha límite]])&amp;IF(FechaRef-tblAct_RN[[#This Row],[Fecha límite]]=1," día"," días"),IF(tblAct_RN[[#This Row],[Fecha límite]]=FechaRef,"Vence hoy",IF(tblAct_RN[[#This Row],[Fecha límite]]-FechaRef&lt;=DiasAlerta,"Vence en "&amp;(tblAct_RN[[#This Row],[Fecha límite]]-FechaRef)&amp;IF(tblAct_RN[[#This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IF(NOT((COUNTA(tblAct_RN[[#This Row],[Tipo]:[Avance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(%)]]="",N(tblAct_RN[[#This Row],[Grupo (aux)]])&gt;0,N(INDEX($AG$5:$AG$1000,tblAct_RN[[#This Row],[Grupo (aux)]]-4))&gt;0),"Falta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(%)]]="",N(tblAct_RN[[#This Row],[Grupo (aux)]])&gt;0,N(INDEX($AG$5:$AG$1000,tblAct_RN[[#This Row],[Grupo (aux)]]-4))&gt;0),"Falta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(%)]]="",N(tblAct_RN[[#This Row],[Grupo (aux)]])&gt;0,N(INDEX($AG$5:$AG$1000,tblAct_RN[[#This Row],[Grupo (aux)]]-4))&gt;0),"Falta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",""))-3)))</calculatedColumnFormula>
    </tableColumn>
    <tableColumn id="16" name="Mes">
      <calculatedColumnFormula>IF(NOT((COUNTA(tblAct_RN[[#This Row],[Tipo]:[Avance Semana 4 (%)]])+COUNTA(tblAct_RN[[#This Row],[Observaciones]]))&gt;0),"",IF(AND(tblAct_RN[[#This Row],[Tipo (aux)]]="Sub",N(tblAct_RN[[#This Row],[Grupo (aux)]])&gt;0),IF(ISNUMBER(INDEX($D$5:$D$1000,tblAct_RN[[#This Row],[Grupo (aux)]]-4)),DATE(YEAR(INDEX($D$5:$D$1000,tblAct_RN[[#This Row],[Grupo (aux)]]-4)),MONTH(INDEX($D$5:$D$1000,tblAct_RN[[#This Row],[Grupo (aux)]]-4)),1),IF(ISNUMBER(INDEX($E$5:$E$1000,tblAct_RN[[#This Row],[Grupo (aux)]]-4)),DATE(YEAR(INDEX($E$5:$E$1000,tblAct_RN[[#This Row],[Grupo (aux)]]-4)),MONTH(INDEX($E$5:$E$1000,tblAct_RN[[#This Row],[Grupo (aux)]]-4)),1),MesCiclo)),IF(ISNUMBER(tblAct_RN[[#This Row],[Fecha de inicio]]),DATE(YEAR(tblAct_RN[[#This Row],[Fecha de inicio]]),MONTH(tblAct_RN[[#This Row],[Fecha de inicio]]),1),IF(ISNUMBER(tblAct_RN[[#This Row],[Fecha límite]]),DATE(YEAR(tblAct_RN[[#This Row],[Fecha límite]]),MONTH(tblAct_RN[[#This Row],[Fecha límite]]),1),MesCiclo))))</calculatedColumnFormula>
    </tableColumn>
    <tableColumn id="17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18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19" name="Tipo (aux)">
      <calculatedColumnFormula>IF(NOT((COUNTA(tblAct_RN[[#This Row],[Tipo]:[Avance Semana 4 (%)]])+COUNTA(tblAct_RN[[#This Row],[Observaciones]]))&gt;0),"",IF(tblAct_RN[[#This Row],[Tipo]]="Subactividad","Sub","Macro"))</calculatedColumnFormula>
    </tableColumn>
    <tableColumn id="20" name="N subactividades (aux)">
      <calculatedColumnFormula>IF(tblAct_RN[[#This Row],[Tipo (aux)]]="Macro",COUNTIFS($R$5:$R$1000,ROW(),$S$5:$S$1000,"Sub"),"")</calculatedColumnFormula>
    </tableColumn>
    <tableColumn id="21" name="Propio S1 (aux)">
      <calculatedColumnFormula>IF(tblAct_RN[[#This Row],[Tipo (aux)]]="","",IF(ISNUMBER(tblAct_RN[[#This Row],[Avance Semana 1 (%)]]),tblAct_RN[[#This Row],[Avance Semana 1 (%)]],0))</calculatedColumnFormula>
    </tableColumn>
    <tableColumn id="22" name="Propio S2 (aux)">
      <calculatedColumnFormula>IF(tblAct_RN[[#This Row],[Tipo (aux)]]="","",IF(ISNUMBER(tblAct_RN[[#This Row],[Avance Semana 2 (%)]]),tblAct_RN[[#This Row],[Avance Semana 2 (%)]],tblAct_RN[[#This Row],[Propio S1 (aux)]]))</calculatedColumnFormula>
    </tableColumn>
    <tableColumn id="23" name="Propio S3 (aux)">
      <calculatedColumnFormula>IF(tblAct_RN[[#This Row],[Tipo (aux)]]="","",IF(ISNUMBER(tblAct_RN[[#This Row],[Avance Semana 3 (%)]]),tblAct_RN[[#This Row],[Avance Semana 3 (%)]],tblAct_RN[[#This Row],[Propio S2 (aux)]]))</calculatedColumnFormula>
    </tableColumn>
    <tableColumn id="24" name="Propio S4 (aux)">
      <calculatedColumnFormula>IF(tblAct_RN[[#This Row],[Tipo (aux)]]="","",IF(ISNUMBER(tblAct_RN[[#This Row],[Avance Semana 4 (%)]]),tblAct_RN[[#This Row],[Avance Semana 4 (%)]],tblAct_RN[[#This Row],[Propio S3 (aux)]]))</calculatedColumnFormula>
    </tableColumn>
    <tableColumn id="25" name="Efectivo S1 (aux)">
      <calculatedColumnFormula>IF(tblAct_RN[[#This Row],[Tipo (aux)]]="","",IF(N(tblAct_RN[[#This Row],[N subactividades (aux)]])&gt;0,IF(N(tblAct_RN[[#This Row],[Suma pesos subactividades (aux)]])&gt;0,SUMIFS($AC$5:$AC$1000,$R$5:$R$1000,ROW(),$S$5:$S$1000,"Sub")/tblAct_RN[[#This Row],[Suma pesos subactividades (aux)]],AVERAGEIFS($U$5:$U$1000,$R$5:$R$1000,ROW(),$S$5:$S$1000,"Sub")),tblAct_RN[[#This Row],[Propio S1 (aux)]]))</calculatedColumnFormula>
    </tableColumn>
    <tableColumn id="26" name="Efectivo S2 (aux)">
      <calculatedColumnFormula>IF(tblAct_RN[[#This Row],[Tipo (aux)]]="","",IF(N(tblAct_RN[[#This Row],[N subactividades (aux)]])&gt;0,IF(N(tblAct_RN[[#This Row],[Suma pesos subactividades (aux)]])&gt;0,SUMIFS($AD$5:$AD$1000,$R$5:$R$1000,ROW(),$S$5:$S$1000,"Sub")/tblAct_RN[[#This Row],[Suma pesos subactividades (aux)]],AVERAGEIFS($V$5:$V$1000,$R$5:$R$1000,ROW(),$S$5:$S$1000,"Sub")),tblAct_RN[[#This Row],[Propio S2 (aux)]]))</calculatedColumnFormula>
    </tableColumn>
    <tableColumn id="27" name="Efectivo S3 (aux)">
      <calculatedColumnFormula>IF(tblAct_RN[[#This Row],[Tipo (aux)]]="","",IF(N(tblAct_RN[[#This Row],[N subactividades (aux)]])&gt;0,IF(N(tblAct_RN[[#This Row],[Suma pesos subactividades (aux)]])&gt;0,SUMIFS($AE$5:$AE$1000,$R$5:$R$1000,ROW(),$S$5:$S$1000,"Sub")/tblAct_RN[[#This Row],[Suma pesos subactividades (aux)]],AVERAGEIFS($W$5:$W$1000,$R$5:$R$1000,ROW(),$S$5:$S$1000,"Sub")),tblAct_RN[[#This Row],[Propio S3 (aux)]]))</calculatedColumnFormula>
    </tableColumn>
    <tableColumn id="28" name="Efectivo S4 (aux)">
      <calculatedColumnFormula>IF(tblAct_RN[[#This Row],[Tipo (aux)]]="","",IF(N(tblAct_RN[[#This Row],[N subactividades (aux)]])&gt;0,IF(N(tblAct_RN[[#This Row],[Suma pesos subactividades (aux)]])&gt;0,SUMIFS($AF$5:$AF$1000,$R$5:$R$1000,ROW(),$S$5:$S$1000,"Sub")/tblAct_RN[[#This Row],[Suma pesos subactividades (aux)]],AVERAGEIFS($X$5:$X$1000,$R$5:$R$1000,ROW(),$S$5:$S$1000,"Sub")),tblAct_RN[[#This Row],[Propio S4 (aux)]]))</calculatedColumnFormula>
    </tableColumn>
    <tableColumn id="29" name="Ponderado S1 (aux)">
      <calculatedColumnFormula>IF(tblAct_RN[[#This Row],[Tipo (aux)]]="Sub",N(tblAct_RN[[#This Row],[Peso de actividad (%)]])*N(tblAct_RN[[#This Row],[Propio S1 (aux)]]),"")</calculatedColumnFormula>
    </tableColumn>
    <tableColumn id="30" name="Ponderado S2 (aux)">
      <calculatedColumnFormula>IF(tblAct_RN[[#This Row],[Tipo (aux)]]="Sub",N(tblAct_RN[[#This Row],[Peso de actividad (%)]])*N(tblAct_RN[[#This Row],[Propio S2 (aux)]]),"")</calculatedColumnFormula>
    </tableColumn>
    <tableColumn id="31" name="Ponderado S3 (aux)">
      <calculatedColumnFormula>IF(tblAct_RN[[#This Row],[Tipo (aux)]]="Sub",N(tblAct_RN[[#This Row],[Peso de actividad (%)]])*N(tblAct_RN[[#This Row],[Propio S3 (aux)]]),"")</calculatedColumnFormula>
    </tableColumn>
    <tableColumn id="32" name="Ponderado S4 (aux)">
      <calculatedColumnFormula>IF(tblAct_RN[[#This Row],[Tipo (aux)]]="Sub",N(tblAct_RN[[#This Row],[Peso de actividad (%)]])*N(tblAct_RN[[#This Row],[Propio S4 (aux)]]),"")</calculatedColumnFormula>
    </tableColumn>
    <tableColumn id="33" name="Suma pesos subactividades (aux)">
      <calculatedColumnFormula>IF(N(tblAct_RN[[#This Row],[N subactividades (aux)]])&gt;0,SUMIFS($F$5:$F$1000,$R$5:$R$1000,ROW(),$S$5:$S$1000,"Sub"),"")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5.xml><?xml version="1.0" encoding="utf-8"?>
<table xmlns="http://schemas.openxmlformats.org/spreadsheetml/2006/main" id="5" name="tblAct_RF" displayName="tblAct_RF" ref="A4:AG304" headerRowCount="1">
  <autoFilter ref="A4:AG304"/>
  <tableColumns count="33">
    <tableColumn id="1" name="N°">
      <calculatedColumnFormula>IF(NOT((COUNTA(tblAct_RF[[#This Row],[Tipo]:[Avance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(aux)]])=0,"?",COUNTIFS(INDEX($S$5:$S$1000,1):INDEX($S$5:$S$1000,tblAct_RF[[#This Row],[Grupo (aux)]]-4),"Macro",INDEX($P$5:$P$1000,1):INDEX($P$5:$P$1000,tblAct_RF[[#This Row],[Grupo (aux)]]-4),INDEX($P$5:$P$1000,tblAct_RF[[#This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IF(NOT((COUNTA(tblAct_RF[[#This Row],[Tipo]:[Avance Semana 4 (%)]])+COUNTA(tblAct_RF[[#This Row],[Observaciones]]))&gt;0),"",IF(N(tblAct_RF[[#This Row],[N subactividades (aux)]])&gt;0,tblAct_RF[[#This Row],[Efectivo S4 (aux)]],IFERROR(LOOKUP(2,1/(tblAct_RF[[#This Row],[Avance Semana 1 (%)]:[Avance Semana 4 (%)]]&lt;&gt;""),tblAct_RF[[#This Row],[Avance Semana 1 (%)]:[Avance Semana 4 (%)]]),0)))</calculatedColumnFormula>
    </tableColumn>
    <tableColumn id="12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3" name="Alerta de plazo">
      <calculatedColumnFormula>IF(NOT((COUNTA(tblAct_RF[[#This Row],[Tipo]:[Avance Semana 4 (%)]])+COUNTA(tblAct_RF[[#This Row],[Observaciones]]))&gt;0),"",IF(N(tblAct_RF[[#This Row],[% de Avance Total Actual]])&gt;=1,"Cumplida",IF(NOT(ISNUMBER(tblAct_RF[[#This Row],[Fecha límite]])),"Sin fecha límite",IF(tblAct_RF[[#This Row],[Fecha límite]]&lt;FechaRef,"Vencida hace "&amp;(FechaRef-tblAct_RF[[#This Row],[Fecha límite]])&amp;IF(FechaRef-tblAct_RF[[#This Row],[Fecha límite]]=1," día"," días"),IF(tblAct_RF[[#This Row],[Fecha límite]]=FechaRef,"Vence hoy",IF(tblAct_RF[[#This Row],[Fecha límite]]-FechaRef&lt;=DiasAlerta,"Vence en "&amp;(tblAct_RF[[#This Row],[Fecha límite]]-FechaRef)&amp;IF(tblAct_RF[[#This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IF(NOT((COUNTA(tblAct_RF[[#This Row],[Tipo]:[Avance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(%)]]="",N(tblAct_RF[[#This Row],[Grupo (aux)]])&gt;0,N(INDEX($AG$5:$AG$1000,tblAct_RF[[#This Row],[Grupo (aux)]]-4))&gt;0),"Falta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(%)]]="",N(tblAct_RF[[#This Row],[Grupo (aux)]])&gt;0,N(INDEX($AG$5:$AG$1000,tblAct_RF[[#This Row],[Grupo (aux)]]-4))&gt;0),"Falta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(%)]]="",N(tblAct_RF[[#This Row],[Grupo (aux)]])&gt;0,N(INDEX($AG$5:$AG$1000,tblAct_RF[[#This Row],[Grupo (aux)]]-4))&gt;0),"Falta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",""))-3)))</calculatedColumnFormula>
    </tableColumn>
    <tableColumn id="16" name="Mes">
      <calculatedColumnFormula>IF(NOT((COUNTA(tblAct_RF[[#This Row],[Tipo]:[Avance Semana 4 (%)]])+COUNTA(tblAct_RF[[#This Row],[Observaciones]]))&gt;0),"",IF(AND(tblAct_RF[[#This Row],[Tipo (aux)]]="Sub",N(tblAct_RF[[#This Row],[Grupo (aux)]])&gt;0),IF(ISNUMBER(INDEX($D$5:$D$1000,tblAct_RF[[#This Row],[Grupo (aux)]]-4)),DATE(YEAR(INDEX($D$5:$D$1000,tblAct_RF[[#This Row],[Grupo (aux)]]-4)),MONTH(INDEX($D$5:$D$1000,tblAct_RF[[#This Row],[Grupo (aux)]]-4)),1),IF(ISNUMBER(INDEX($E$5:$E$1000,tblAct_RF[[#This Row],[Grupo (aux)]]-4)),DATE(YEAR(INDEX($E$5:$E$1000,tblAct_RF[[#This Row],[Grupo (aux)]]-4)),MONTH(INDEX($E$5:$E$1000,tblAct_RF[[#This Row],[Grupo (aux)]]-4)),1),MesCiclo)),IF(ISNUMBER(tblAct_RF[[#This Row],[Fecha de inicio]]),DATE(YEAR(tblAct_RF[[#This Row],[Fecha de inicio]]),MONTH(tblAct_RF[[#This Row],[Fecha de inicio]]),1),IF(ISNUMBER(tblAct_RF[[#This Row],[Fecha límite]]),DATE(YEAR(tblAct_RF[[#This Row],[Fecha límite]]),MONTH(tblAct_RF[[#This Row],[Fecha límite]]),1),MesCiclo))))</calculatedColumnFormula>
    </tableColumn>
    <tableColumn id="17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18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19" name="Tipo (aux)">
      <calculatedColumnFormula>IF(NOT((COUNTA(tblAct_RF[[#This Row],[Tipo]:[Avance Semana 4 (%)]])+COUNTA(tblAct_RF[[#This Row],[Observaciones]]))&gt;0),"",IF(tblAct_RF[[#This Row],[Tipo]]="Subactividad","Sub","Macro"))</calculatedColumnFormula>
    </tableColumn>
    <tableColumn id="20" name="N subactividades (aux)">
      <calculatedColumnFormula>IF(tblAct_RF[[#This Row],[Tipo (aux)]]="Macro",COUNTIFS($R$5:$R$1000,ROW(),$S$5:$S$1000,"Sub"),"")</calculatedColumnFormula>
    </tableColumn>
    <tableColumn id="21" name="Propio S1 (aux)">
      <calculatedColumnFormula>IF(tblAct_RF[[#This Row],[Tipo (aux)]]="","",IF(ISNUMBER(tblAct_RF[[#This Row],[Avance Semana 1 (%)]]),tblAct_RF[[#This Row],[Avance Semana 1 (%)]],0))</calculatedColumnFormula>
    </tableColumn>
    <tableColumn id="22" name="Propio S2 (aux)">
      <calculatedColumnFormula>IF(tblAct_RF[[#This Row],[Tipo (aux)]]="","",IF(ISNUMBER(tblAct_RF[[#This Row],[Avance Semana 2 (%)]]),tblAct_RF[[#This Row],[Avance Semana 2 (%)]],tblAct_RF[[#This Row],[Propio S1 (aux)]]))</calculatedColumnFormula>
    </tableColumn>
    <tableColumn id="23" name="Propio S3 (aux)">
      <calculatedColumnFormula>IF(tblAct_RF[[#This Row],[Tipo (aux)]]="","",IF(ISNUMBER(tblAct_RF[[#This Row],[Avance Semana 3 (%)]]),tblAct_RF[[#This Row],[Avance Semana 3 (%)]],tblAct_RF[[#This Row],[Propio S2 (aux)]]))</calculatedColumnFormula>
    </tableColumn>
    <tableColumn id="24" name="Propio S4 (aux)">
      <calculatedColumnFormula>IF(tblAct_RF[[#This Row],[Tipo (aux)]]="","",IF(ISNUMBER(tblAct_RF[[#This Row],[Avance Semana 4 (%)]]),tblAct_RF[[#This Row],[Avance Semana 4 (%)]],tblAct_RF[[#This Row],[Propio S3 (aux)]]))</calculatedColumnFormula>
    </tableColumn>
    <tableColumn id="25" name="Efectivo S1 (aux)">
      <calculatedColumnFormula>IF(tblAct_RF[[#This Row],[Tipo (aux)]]="","",IF(N(tblAct_RF[[#This Row],[N subactividades (aux)]])&gt;0,IF(N(tblAct_RF[[#This Row],[Suma pesos subactividades (aux)]])&gt;0,SUMIFS($AC$5:$AC$1000,$R$5:$R$1000,ROW(),$S$5:$S$1000,"Sub")/tblAct_RF[[#This Row],[Suma pesos subactividades (aux)]],AVERAGEIFS($U$5:$U$1000,$R$5:$R$1000,ROW(),$S$5:$S$1000,"Sub")),tblAct_RF[[#This Row],[Propio S1 (aux)]]))</calculatedColumnFormula>
    </tableColumn>
    <tableColumn id="26" name="Efectivo S2 (aux)">
      <calculatedColumnFormula>IF(tblAct_RF[[#This Row],[Tipo (aux)]]="","",IF(N(tblAct_RF[[#This Row],[N subactividades (aux)]])&gt;0,IF(N(tblAct_RF[[#This Row],[Suma pesos subactividades (aux)]])&gt;0,SUMIFS($AD$5:$AD$1000,$R$5:$R$1000,ROW(),$S$5:$S$1000,"Sub")/tblAct_RF[[#This Row],[Suma pesos subactividades (aux)]],AVERAGEIFS($V$5:$V$1000,$R$5:$R$1000,ROW(),$S$5:$S$1000,"Sub")),tblAct_RF[[#This Row],[Propio S2 (aux)]]))</calculatedColumnFormula>
    </tableColumn>
    <tableColumn id="27" name="Efectivo S3 (aux)">
      <calculatedColumnFormula>IF(tblAct_RF[[#This Row],[Tipo (aux)]]="","",IF(N(tblAct_RF[[#This Row],[N subactividades (aux)]])&gt;0,IF(N(tblAct_RF[[#This Row],[Suma pesos subactividades (aux)]])&gt;0,SUMIFS($AE$5:$AE$1000,$R$5:$R$1000,ROW(),$S$5:$S$1000,"Sub")/tblAct_RF[[#This Row],[Suma pesos subactividades (aux)]],AVERAGEIFS($W$5:$W$1000,$R$5:$R$1000,ROW(),$S$5:$S$1000,"Sub")),tblAct_RF[[#This Row],[Propio S3 (aux)]]))</calculatedColumnFormula>
    </tableColumn>
    <tableColumn id="28" name="Efectivo S4 (aux)">
      <calculatedColumnFormula>IF(tblAct_RF[[#This Row],[Tipo (aux)]]="","",IF(N(tblAct_RF[[#This Row],[N subactividades (aux)]])&gt;0,IF(N(tblAct_RF[[#This Row],[Suma pesos subactividades (aux)]])&gt;0,SUMIFS($AF$5:$AF$1000,$R$5:$R$1000,ROW(),$S$5:$S$1000,"Sub")/tblAct_RF[[#This Row],[Suma pesos subactividades (aux)]],AVERAGEIFS($X$5:$X$1000,$R$5:$R$1000,ROW(),$S$5:$S$1000,"Sub")),tblAct_RF[[#This Row],[Propio S4 (aux)]]))</calculatedColumnFormula>
    </tableColumn>
    <tableColumn id="29" name="Ponderado S1 (aux)">
      <calculatedColumnFormula>IF(tblAct_RF[[#This Row],[Tipo (aux)]]="Sub",N(tblAct_RF[[#This Row],[Peso de actividad (%)]])*N(tblAct_RF[[#This Row],[Propio S1 (aux)]]),"")</calculatedColumnFormula>
    </tableColumn>
    <tableColumn id="30" name="Ponderado S2 (aux)">
      <calculatedColumnFormula>IF(tblAct_RF[[#This Row],[Tipo (aux)]]="Sub",N(tblAct_RF[[#This Row],[Peso de actividad (%)]])*N(tblAct_RF[[#This Row],[Propio S2 (aux)]]),"")</calculatedColumnFormula>
    </tableColumn>
    <tableColumn id="31" name="Ponderado S3 (aux)">
      <calculatedColumnFormula>IF(tblAct_RF[[#This Row],[Tipo (aux)]]="Sub",N(tblAct_RF[[#This Row],[Peso de actividad (%)]])*N(tblAct_RF[[#This Row],[Propio S3 (aux)]]),"")</calculatedColumnFormula>
    </tableColumn>
    <tableColumn id="32" name="Ponderado S4 (aux)">
      <calculatedColumnFormula>IF(tblAct_RF[[#This Row],[Tipo (aux)]]="Sub",N(tblAct_RF[[#This Row],[Peso de actividad (%)]])*N(tblAct_RF[[#This Row],[Propio S4 (aux)]]),"")</calculatedColumnFormula>
    </tableColumn>
    <tableColumn id="33" name="Suma pesos subactividades (aux)">
      <calculatedColumnFormula>IF(N(tblAct_RF[[#This Row],[N subactividades (aux)]])&gt;0,SUMIFS($F$5:$F$1000,$R$5:$R$1000,ROW(),$S$5:$S$1000,"Sub"),"")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7.xml><?xml version="1.0" encoding="utf-8"?>
<table xmlns="http://schemas.openxmlformats.org/spreadsheetml/2006/main" id="7" name="tblAct_ATR" displayName="tblAct_ATR" ref="A4:AG304" headerRowCount="1">
  <autoFilter ref="A4:AG304"/>
  <tableColumns count="33">
    <tableColumn id="1" name="N°">
      <calculatedColumnFormula>IF(NOT((COUNTA(tblAct_ATR[[#This Row],[Tipo]:[Avance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(aux)]])=0,"?",COUNTIFS(INDEX($S$5:$S$1000,1):INDEX($S$5:$S$1000,tblAct_ATR[[#This Row],[Grupo (aux)]]-4),"Macro",INDEX($P$5:$P$1000,1):INDEX($P$5:$P$1000,tblAct_ATR[[#This Row],[Grupo (aux)]]-4),INDEX($P$5:$P$1000,tblAct_ATR[[#This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IF(NOT((COUNTA(tblAct_ATR[[#This Row],[Tipo]:[Avance Semana 4 (%)]])+COUNTA(tblAct_ATR[[#This Row],[Observaciones]]))&gt;0),"",IF(N(tblAct_ATR[[#This Row],[N subactividades (aux)]])&gt;0,tblAct_ATR[[#This Row],[Efectivo S4 (aux)]],IFERROR(LOOKUP(2,1/(tblAct_ATR[[#This Row],[Avance Semana 1 (%)]:[Avance Semana 4 (%)]]&lt;&gt;""),tblAct_ATR[[#This Row],[Avance Semana 1 (%)]:[Avance Semana 4 (%)]]),0)))</calculatedColumnFormula>
    </tableColumn>
    <tableColumn id="12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3" name="Alerta de plazo">
      <calculatedColumnFormula>IF(NOT((COUNTA(tblAct_ATR[[#This Row],[Tipo]:[Avance Semana 4 (%)]])+COUNTA(tblAct_ATR[[#This Row],[Observaciones]]))&gt;0),"",IF(N(tblAct_ATR[[#This Row],[% de Avance Total Actual]])&gt;=1,"Cumplida",IF(NOT(ISNUMBER(tblAct_ATR[[#This Row],[Fecha límite]])),"Sin fecha límite",IF(tblAct_ATR[[#This Row],[Fecha límite]]&lt;FechaRef,"Vencida hace "&amp;(FechaRef-tblAct_ATR[[#This Row],[Fecha límite]])&amp;IF(FechaRef-tblAct_ATR[[#This Row],[Fecha límite]]=1," día"," días"),IF(tblAct_ATR[[#This Row],[Fecha límite]]=FechaRef,"Vence hoy",IF(tblAct_ATR[[#This Row],[Fecha límite]]-FechaRef&lt;=DiasAlerta,"Vence en "&amp;(tblAct_ATR[[#This Row],[Fecha límite]]-FechaRef)&amp;IF(tblAct_ATR[[#This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IF(NOT((COUNTA(tblAct_ATR[[#This Row],[Tipo]:[Avance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(%)]]="",N(tblAct_ATR[[#This Row],[Grupo (aux)]])&gt;0,N(INDEX($AG$5:$AG$1000,tblAct_ATR[[#This Row],[Grupo (aux)]]-4))&gt;0),"Falta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(%)]]="",N(tblAct_ATR[[#This Row],[Grupo (aux)]])&gt;0,N(INDEX($AG$5:$AG$1000,tblAct_ATR[[#This Row],[Grupo (aux)]]-4))&gt;0),"Falta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(%)]]="",N(tblAct_ATR[[#This Row],[Grupo (aux)]])&gt;0,N(INDEX($AG$5:$AG$1000,tblAct_ATR[[#This Row],[Grupo (aux)]]-4))&gt;0),"Falta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",""))-3)))</calculatedColumnFormula>
    </tableColumn>
    <tableColumn id="16" name="Mes">
      <calculatedColumnFormula>IF(NOT((COUNTA(tblAct_ATR[[#This Row],[Tipo]:[Avance Semana 4 (%)]])+COUNTA(tblAct_ATR[[#This Row],[Observaciones]]))&gt;0),"",IF(AND(tblAct_ATR[[#This Row],[Tipo (aux)]]="Sub",N(tblAct_ATR[[#This Row],[Grupo (aux)]])&gt;0),IF(ISNUMBER(INDEX($D$5:$D$1000,tblAct_ATR[[#This Row],[Grupo (aux)]]-4)),DATE(YEAR(INDEX($D$5:$D$1000,tblAct_ATR[[#This Row],[Grupo (aux)]]-4)),MONTH(INDEX($D$5:$D$1000,tblAct_ATR[[#This Row],[Grupo (aux)]]-4)),1),IF(ISNUMBER(INDEX($E$5:$E$1000,tblAct_ATR[[#This Row],[Grupo (aux)]]-4)),DATE(YEAR(INDEX($E$5:$E$1000,tblAct_ATR[[#This Row],[Grupo (aux)]]-4)),MONTH(INDEX($E$5:$E$1000,tblAct_ATR[[#This Row],[Grupo (aux)]]-4)),1),MesCiclo)),IF(ISNUMBER(tblAct_ATR[[#This Row],[Fecha de inicio]]),DATE(YEAR(tblAct_ATR[[#This Row],[Fecha de inicio]]),MONTH(tblAct_ATR[[#This Row],[Fecha de inicio]]),1),IF(ISNUMBER(tblAct_ATR[[#This Row],[Fecha límite]]),DATE(YEAR(tblAct_ATR[[#This Row],[Fecha límite]]),MONTH(tblAct_ATR[[#This Row],[Fecha límite]]),1),MesCiclo))))</calculatedColumnFormula>
    </tableColumn>
    <tableColumn id="17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18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19" name="Tipo (aux)">
      <calculatedColumnFormula>IF(NOT((COUNTA(tblAct_ATR[[#This Row],[Tipo]:[Avance Semana 4 (%)]])+COUNTA(tblAct_ATR[[#This Row],[Observaciones]]))&gt;0),"",IF(tblAct_ATR[[#This Row],[Tipo]]="Subactividad","Sub","Macro"))</calculatedColumnFormula>
    </tableColumn>
    <tableColumn id="20" name="N subactividades (aux)">
      <calculatedColumnFormula>IF(tblAct_ATR[[#This Row],[Tipo (aux)]]="Macro",COUNTIFS($R$5:$R$1000,ROW(),$S$5:$S$1000,"Sub"),"")</calculatedColumnFormula>
    </tableColumn>
    <tableColumn id="21" name="Propio S1 (aux)">
      <calculatedColumnFormula>IF(tblAct_ATR[[#This Row],[Tipo (aux)]]="","",IF(ISNUMBER(tblAct_ATR[[#This Row],[Avance Semana 1 (%)]]),tblAct_ATR[[#This Row],[Avance Semana 1 (%)]],0))</calculatedColumnFormula>
    </tableColumn>
    <tableColumn id="22" name="Propio S2 (aux)">
      <calculatedColumnFormula>IF(tblAct_ATR[[#This Row],[Tipo (aux)]]="","",IF(ISNUMBER(tblAct_ATR[[#This Row],[Avance Semana 2 (%)]]),tblAct_ATR[[#This Row],[Avance Semana 2 (%)]],tblAct_ATR[[#This Row],[Propio S1 (aux)]]))</calculatedColumnFormula>
    </tableColumn>
    <tableColumn id="23" name="Propio S3 (aux)">
      <calculatedColumnFormula>IF(tblAct_ATR[[#This Row],[Tipo (aux)]]="","",IF(ISNUMBER(tblAct_ATR[[#This Row],[Avance Semana 3 (%)]]),tblAct_ATR[[#This Row],[Avance Semana 3 (%)]],tblAct_ATR[[#This Row],[Propio S2 (aux)]]))</calculatedColumnFormula>
    </tableColumn>
    <tableColumn id="24" name="Propio S4 (aux)">
      <calculatedColumnFormula>IF(tblAct_ATR[[#This Row],[Tipo (aux)]]="","",IF(ISNUMBER(tblAct_ATR[[#This Row],[Avance Semana 4 (%)]]),tblAct_ATR[[#This Row],[Avance Semana 4 (%)]],tblAct_ATR[[#This Row],[Propio S3 (aux)]]))</calculatedColumnFormula>
    </tableColumn>
    <tableColumn id="25" name="Efectivo S1 (aux)">
      <calculatedColumnFormula>IF(tblAct_ATR[[#This Row],[Tipo (aux)]]="","",IF(N(tblAct_ATR[[#This Row],[N subactividades (aux)]])&gt;0,IF(N(tblAct_ATR[[#This Row],[Suma pesos subactividades (aux)]])&gt;0,SUMIFS($AC$5:$AC$1000,$R$5:$R$1000,ROW(),$S$5:$S$1000,"Sub")/tblAct_ATR[[#This Row],[Suma pesos subactividades (aux)]],AVERAGEIFS($U$5:$U$1000,$R$5:$R$1000,ROW(),$S$5:$S$1000,"Sub")),tblAct_ATR[[#This Row],[Propio S1 (aux)]]))</calculatedColumnFormula>
    </tableColumn>
    <tableColumn id="26" name="Efectivo S2 (aux)">
      <calculatedColumnFormula>IF(tblAct_ATR[[#This Row],[Tipo (aux)]]="","",IF(N(tblAct_ATR[[#This Row],[N subactividades (aux)]])&gt;0,IF(N(tblAct_ATR[[#This Row],[Suma pesos subactividades (aux)]])&gt;0,SUMIFS($AD$5:$AD$1000,$R$5:$R$1000,ROW(),$S$5:$S$1000,"Sub")/tblAct_ATR[[#This Row],[Suma pesos subactividades (aux)]],AVERAGEIFS($V$5:$V$1000,$R$5:$R$1000,ROW(),$S$5:$S$1000,"Sub")),tblAct_ATR[[#This Row],[Propio S2 (aux)]]))</calculatedColumnFormula>
    </tableColumn>
    <tableColumn id="27" name="Efectivo S3 (aux)">
      <calculatedColumnFormula>IF(tblAct_ATR[[#This Row],[Tipo (aux)]]="","",IF(N(tblAct_ATR[[#This Row],[N subactividades (aux)]])&gt;0,IF(N(tblAct_ATR[[#This Row],[Suma pesos subactividades (aux)]])&gt;0,SUMIFS($AE$5:$AE$1000,$R$5:$R$1000,ROW(),$S$5:$S$1000,"Sub")/tblAct_ATR[[#This Row],[Suma pesos subactividades (aux)]],AVERAGEIFS($W$5:$W$1000,$R$5:$R$1000,ROW(),$S$5:$S$1000,"Sub")),tblAct_ATR[[#This Row],[Propio S3 (aux)]]))</calculatedColumnFormula>
    </tableColumn>
    <tableColumn id="28" name="Efectivo S4 (aux)">
      <calculatedColumnFormula>IF(tblAct_ATR[[#This Row],[Tipo (aux)]]="","",IF(N(tblAct_ATR[[#This Row],[N subactividades (aux)]])&gt;0,IF(N(tblAct_ATR[[#This Row],[Suma pesos subactividades (aux)]])&gt;0,SUMIFS($AF$5:$AF$1000,$R$5:$R$1000,ROW(),$S$5:$S$1000,"Sub")/tblAct_ATR[[#This Row],[Suma pesos subactividades (aux)]],AVERAGEIFS($X$5:$X$1000,$R$5:$R$1000,ROW(),$S$5:$S$1000,"Sub")),tblAct_ATR[[#This Row],[Propio S4 (aux)]]))</calculatedColumnFormula>
    </tableColumn>
    <tableColumn id="29" name="Ponderado S1 (aux)">
      <calculatedColumnFormula>IF(tblAct_ATR[[#This Row],[Tipo (aux)]]="Sub",N(tblAct_ATR[[#This Row],[Peso de actividad (%)]])*N(tblAct_ATR[[#This Row],[Propio S1 (aux)]]),"")</calculatedColumnFormula>
    </tableColumn>
    <tableColumn id="30" name="Ponderado S2 (aux)">
      <calculatedColumnFormula>IF(tblAct_ATR[[#This Row],[Tipo (aux)]]="Sub",N(tblAct_ATR[[#This Row],[Peso de actividad (%)]])*N(tblAct_ATR[[#This Row],[Propio S2 (aux)]]),"")</calculatedColumnFormula>
    </tableColumn>
    <tableColumn id="31" name="Ponderado S3 (aux)">
      <calculatedColumnFormula>IF(tblAct_ATR[[#This Row],[Tipo (aux)]]="Sub",N(tblAct_ATR[[#This Row],[Peso de actividad (%)]])*N(tblAct_ATR[[#This Row],[Propio S3 (aux)]]),"")</calculatedColumnFormula>
    </tableColumn>
    <tableColumn id="32" name="Ponderado S4 (aux)">
      <calculatedColumnFormula>IF(tblAct_ATR[[#This Row],[Tipo (aux)]]="Sub",N(tblAct_ATR[[#This Row],[Peso de actividad (%)]])*N(tblAct_ATR[[#This Row],[Propio S4 (aux)]]),"")</calculatedColumnFormula>
    </tableColumn>
    <tableColumn id="33" name="Suma pesos subactividades (aux)">
      <calculatedColumnFormula>IF(N(tblAct_ATR[[#This Row],[N subactividades (aux)]])&gt;0,SUMIFS($F$5:$F$1000,$R$5:$R$1000,ROW(),$S$5:$S$1000,"Sub"),"")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drawing" Target="/xl/drawings/drawing1.xml" Id="rId9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89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suman "&amp;TEXT('Calculos'!C4,"0%")&amp;IF('Calculos'!D4&gt;0," / "&amp;'Calculos'!D4&amp;" vacío(s)",""),IF('Calculos'!L4,"Completado",IF('Calculos'!F4&gt;0,"En curso","Pendiente"))))</f>
        <v/>
      </c>
      <c r="L16" s="22">
        <f>IF('Calculos'!B4=0,"⚠ Registrar actividades",IF(NOT('Calculos'!E4),"⚠ Configurar ponderación al 100%",IF('Calculos'!M4,"¡Enhorabuena,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suman "&amp;TEXT('Calculos'!C5,"0%")&amp;IF('Calculos'!D5&gt;0," / "&amp;'Calculos'!D5&amp;" vacío(s)",""),IF('Calculos'!L5,"Completado",IF('Calculos'!F5&gt;0,"En curso","Pendiente"))))</f>
        <v/>
      </c>
      <c r="L17" s="22">
        <f>IF('Calculos'!B5=0,"⚠ Registrar actividades",IF(NOT('Calculos'!E5),"⚠ Configurar ponderación al 100%",IF('Calculos'!M5,"¡Enhorabuena,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suman "&amp;TEXT('Calculos'!C6,"0%")&amp;IF('Calculos'!D6&gt;0," / "&amp;'Calculos'!D6&amp;" vacío(s)",""),IF('Calculos'!L6,"Completado",IF('Calculos'!F6&gt;0,"En curso","Pendiente"))))</f>
        <v/>
      </c>
      <c r="L18" s="22">
        <f>IF('Calculos'!B6=0,"⚠ Registrar actividades",IF(NOT('Calculos'!E6),"⚠ Configurar ponderación al 100%",IF('Calculos'!M6,"¡Enhorabuena,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suman "&amp;TEXT('Calculos'!C7,"0%")&amp;IF('Calculos'!D7&gt;0," / "&amp;'Calculos'!D7&amp;" vacío(s)",""),IF('Calculos'!L7,"Completado",IF('Calculos'!F7&gt;0,"En curso","Pendiente"))))</f>
        <v/>
      </c>
      <c r="L19" s="22">
        <f>IF('Calculos'!B7=0,"⚠ Registrar actividades",IF(NOT('Calculos'!E7),"⚠ Configurar ponderación al 100%",IF('Calculos'!M7,"¡Enhorabuena,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cuya ponderación no suma 100% (o con pesos vacíos)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Ajustar los pesos del puesto hasta sumar 100%.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actividades",LEFT(K16,11)="Pesos suman",K16="No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89">
    <cfRule type="expression" priority="31" dxfId="8">
      <formula>H86&gt;0</formula>
    </cfRule>
  </conditionalFormatting>
  <conditionalFormatting sqref="I86:I89">
    <cfRule type="expression" priority="32" dxfId="9">
      <formula>I86&gt;0</formula>
    </cfRule>
  </conditionalFormatting>
  <conditionalFormatting sqref="J86:M89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46" t="inlineStr">
        <is>
          <t>Historial mensual de actividades</t>
        </is>
      </c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</row>
    <row r="2" ht="32" customHeight="1">
      <c r="B2" s="47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</row>
    <row r="4">
      <c r="B4" s="48" t="inlineStr">
        <is>
          <t>Mes</t>
        </is>
      </c>
      <c r="C4" s="49" t="inlineStr">
        <is>
          <t>Riesgo Operacional</t>
        </is>
      </c>
      <c r="D4" s="49" t="n"/>
      <c r="E4" s="50" t="inlineStr">
        <is>
          <t>Riesgo Normativo</t>
        </is>
      </c>
      <c r="F4" s="50" t="n"/>
      <c r="G4" s="51" t="inlineStr">
        <is>
          <t>Riesgo Financiero</t>
        </is>
      </c>
      <c r="H4" s="51" t="n"/>
      <c r="I4" s="7" t="inlineStr">
        <is>
          <t>Asistente Técnico de Riesgo</t>
        </is>
      </c>
      <c r="J4" s="7" t="n"/>
      <c r="K4" s="48" t="inlineStr">
        <is>
          <t>Avance general</t>
        </is>
      </c>
    </row>
    <row r="5" ht="28" customHeight="1">
      <c r="B5" s="48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48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52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53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52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53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52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53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52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53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52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53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52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53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52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53">
        <f>IF(COUNT(C12,E12,G12,I12)=4,AVERAGE(C12,E12,G12,I12),IF(COUNTIF(C12:J12,"Sin datos")=4,"Sin datos","No definitivo"))</f>
        <v/>
      </c>
    </row>
    <row r="13" ht="20" customHeight="1">
      <c r="B13" s="52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53">
        <f>IF(COUNT(C13,E13,G13,I13)=4,AVERAGE(C13,E13,G13,I13),IF(COUNTIF(C13:J13,"Sin datos")=4,"Sin datos","No definitivo"))</f>
        <v/>
      </c>
    </row>
    <row r="14" ht="20" customHeight="1">
      <c r="B14" s="52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53">
        <f>IF(COUNT(C14,E14,G14,I14)=4,AVERAGE(C14,E14,G14,I14),IF(COUNTIF(C14:J14,"Sin datos")=4,"Sin datos","No definitivo"))</f>
        <v/>
      </c>
    </row>
    <row r="15" ht="20" customHeight="1">
      <c r="B15" s="52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53">
        <f>IF(COUNT(C15,E15,G15,I15)=4,AVERAGE(C15,E15,G15,I15),IF(COUNTIF(C15:J15,"Sin datos")=4,"Sin datos","No definitivo"))</f>
        <v/>
      </c>
    </row>
    <row r="16" ht="20" customHeight="1">
      <c r="B16" s="52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53">
        <f>IF(COUNT(C16,E16,G16,I16)=4,AVERAGE(C16,E16,G16,I16),IF(COUNTIF(C16:J16,"Sin datos")=4,"Sin datos","No definitivo"))</f>
        <v/>
      </c>
    </row>
    <row r="17" ht="20" customHeight="1">
      <c r="B17" s="52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53">
        <f>IF(COUNT(C17,E17,G17,I17)=4,AVERAGE(C17,E17,G17,I17),IF(COUNTIF(C17:J17,"Sin datos")=4,"Sin datos","No definitivo"))</f>
        <v/>
      </c>
    </row>
    <row r="18" ht="20" customHeight="1">
      <c r="B18" s="52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53">
        <f>IF(COUNT(C18,E18,G18,I18)=4,AVERAGE(C18,E18,G18,I18),IF(COUNTIF(C18:J18,"Sin datos")=4,"Sin datos","No definitivo"))</f>
        <v/>
      </c>
    </row>
    <row r="19" ht="20" customHeight="1">
      <c r="B19" s="52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53">
        <f>IF(COUNT(C19,E19,G19,I19)=4,AVERAGE(C19,E19,G19,I19),IF(COUNTIF(C19:J19,"Sin datos")=4,"Sin datos","No definitivo"))</f>
        <v/>
      </c>
    </row>
    <row r="20" ht="20" customHeight="1">
      <c r="B20" s="52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53">
        <f>IF(COUNT(C20,E20,G20,I20)=4,AVERAGE(C20,E20,G20,I20),IF(COUNTIF(C20:J20,"Sin datos")=4,"Sin datos","No definitivo"))</f>
        <v/>
      </c>
    </row>
    <row r="21" ht="20" customHeight="1">
      <c r="B21" s="52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53">
        <f>IF(COUNT(C21,E21,G21,I21)=4,AVERAGE(C21,E21,G21,I21),IF(COUNTIF(C21:J21,"Sin datos")=4,"Sin datos","No definitivo"))</f>
        <v/>
      </c>
    </row>
    <row r="22" ht="20" customHeight="1">
      <c r="B22" s="52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53">
        <f>IF(COUNT(C22,E22,G22,I22)=4,AVERAGE(C22,E22,G22,I22),IF(COUNTIF(C22:J22,"Sin datos")=4,"Sin datos","No definitivo"))</f>
        <v/>
      </c>
    </row>
    <row r="23" ht="20" customHeight="1">
      <c r="B23" s="52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53">
        <f>IF(COUNT(C23,E23,G23,I23)=4,AVERAGE(C23,E23,G23,I23),IF(COUNTIF(C23:J23,"Sin datos")=4,"Sin datos","No definitivo"))</f>
        <v/>
      </c>
    </row>
    <row r="24" ht="20" customHeight="1">
      <c r="B24" s="52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53">
        <f>IF(COUNT(C24,E24,G24,I24)=4,AVERAGE(C24,E24,G24,I24),IF(COUNTIF(C24:J24,"Sin datos")=4,"Sin datos","No definitivo"))</f>
        <v/>
      </c>
    </row>
    <row r="25" ht="20" customHeight="1">
      <c r="B25" s="52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53">
        <f>IF(COUNT(C25,E25,G25,I25)=4,AVERAGE(C25,E25,G25,I25),IF(COUNTIF(C25:J25,"Sin datos")=4,"Sin datos","No definitivo"))</f>
        <v/>
      </c>
    </row>
    <row r="26" ht="20" customHeight="1">
      <c r="B26" s="52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53">
        <f>IF(COUNT(C26,E26,G26,I26)=4,AVERAGE(C26,E26,G26,I26),IF(COUNTIF(C26:J26,"Sin datos")=4,"Sin datos","No definitivo"))</f>
        <v/>
      </c>
    </row>
    <row r="27" ht="20" customHeight="1">
      <c r="B27" s="52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53">
        <f>IF(COUNT(C27,E27,G27,I27)=4,AVERAGE(C27,E27,G27,I27),IF(COUNTIF(C27:J27,"Sin datos")=4,"Sin datos","No definitivo"))</f>
        <v/>
      </c>
    </row>
    <row r="28" ht="20" customHeight="1">
      <c r="B28" s="52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53">
        <f>IF(COUNT(C28,E28,G28,I28)=4,AVERAGE(C28,E28,G28,I28),IF(COUNTIF(C28:J28,"Sin datos")=4,"Sin datos","No definitivo"))</f>
        <v/>
      </c>
    </row>
    <row r="29" ht="20" customHeight="1">
      <c r="B29" s="52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53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0">
      <formula>AND(ISNUMBER(C6),C6&lt;1)</formula>
    </cfRule>
    <cfRule type="expression" priority="3" dxfId="7">
      <formula>OR(C6="Pesos ≠ 100%",C6="No definitivo")</formula>
    </cfRule>
    <cfRule type="expression" priority="4" dxfId="11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54" t="inlineStr">
        <is>
          <t>Cronograma – Riesgo Operacional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57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49" t="inlineStr">
        <is>
          <t>Tipo</t>
        </is>
      </c>
      <c r="C4" s="49" t="inlineStr">
        <is>
          <t>Actividad</t>
        </is>
      </c>
      <c r="D4" s="49" t="inlineStr">
        <is>
          <t>Fecha de inicio</t>
        </is>
      </c>
      <c r="E4" s="49" t="inlineStr">
        <is>
          <t>Fecha límite</t>
        </is>
      </c>
      <c r="F4" s="49" t="inlineStr">
        <is>
          <t>Peso de actividad (%)</t>
        </is>
      </c>
      <c r="G4" s="49" t="inlineStr">
        <is>
          <t>Avance Semana 1 (%)</t>
        </is>
      </c>
      <c r="H4" s="49" t="inlineStr">
        <is>
          <t>Avance Semana 2 (%)</t>
        </is>
      </c>
      <c r="I4" s="49" t="inlineStr">
        <is>
          <t>Avance Semana 3 (%)</t>
        </is>
      </c>
      <c r="J4" s="49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49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12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13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54" t="inlineStr">
        <is>
          <t>Actividades del mes por semana – Riesgo Operacional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</row>
    <row r="2" ht="34" customHeight="1">
      <c r="A2" s="72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49" t="inlineStr">
        <is>
          <t>Semana 1</t>
        </is>
      </c>
      <c r="G4" s="49" t="inlineStr">
        <is>
          <t>Semana 2</t>
        </is>
      </c>
      <c r="H4" s="49" t="inlineStr">
        <is>
          <t>Semana 3</t>
        </is>
      </c>
      <c r="I4" s="49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Operacional'!$A$5:$A$1000,$N5))</f>
        <v/>
      </c>
      <c r="B5" s="71">
        <f>IF($N5="","",IF($O5="Sub","      ↳  "&amp;INDEX('Cronograma R. Operacional'!$C$5:$C$1000,$N5),INDEX('Cronograma R. Operacional'!$C$5:$C$1000,$N5)&amp;""))</f>
        <v/>
      </c>
      <c r="C5" s="77">
        <f>IF($N5="","",IF(INDEX('Cronograma R. Operacional'!$D$5:$D$1000,$N5)="","",INDEX('Cronograma R. Operacional'!$D$5:$D$1000,$N5)))</f>
        <v/>
      </c>
      <c r="D5" s="77">
        <f>IF($N5="","",IF(INDEX('Cronograma R. Operacional'!$E$5:$E$1000,$N5)="","",INDEX('Cronograma R. Operacional'!$E$5:$E$1000,$N5)))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Operacional'!$Y$5:$Y$1000,$N5),""),IF(INDEX('Cronograma R. Operacional'!$G$5:$G$1000,$N5)="","",INDEX('Cronograma R. Operacional'!$G$5:$G$1000,$N5))))</f>
        <v/>
      </c>
      <c r="G5" s="68">
        <f>IF($N5="","",IF($P5&gt;0,IF(2&lt;=SemanaActual,INDEX('Cronograma R. Operacional'!$Z$5:$Z$1000,$N5),""),IF(INDEX('Cronograma R. Operacional'!$H$5:$H$1000,$N5)="","",INDEX('Cronograma R. Operacional'!$H$5:$H$1000,$N5))))</f>
        <v/>
      </c>
      <c r="H5" s="68">
        <f>IF($N5="","",IF($P5&gt;0,IF(3&lt;=SemanaActual,INDEX('Cronograma R. Operacional'!$AA$5:$AA$1000,$N5),""),IF(INDEX('Cronograma R. Operacional'!$I$5:$I$1000,$N5)="","",INDEX('Cronograma R. Operacional'!$I$5:$I$1000,$N5))))</f>
        <v/>
      </c>
      <c r="I5" s="68">
        <f>IF($N5="","",IF($P5&gt;0,IF(4&lt;=SemanaActual,INDEX('Cronograma R. Operacional'!$AB$5:$AB$1000,$N5),""),IF(INDEX('Cronograma R. Operacional'!$J$5:$J$1000,$N5)="","",INDEX('Cronograma R. Operacional'!$J$5:$J$1000,$N5))))</f>
        <v/>
      </c>
      <c r="J5" s="68">
        <f>IF($N5="","",INDEX('Cronograma R. Operacional'!$K$5:$K$1000,$N5))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Operacional'!$M$5:$M$1000,$N5)&amp;"")</f>
        <v/>
      </c>
      <c r="M5" s="71">
        <f>IF($N5="","",INDEX('Cronograma R. Operacional'!$N$5:$N$1000,$N5)&amp;"")</f>
        <v/>
      </c>
      <c r="N5">
        <f>IFERROR(MATCH(ROW()-4,rOrden_RO,0),"")</f>
        <v/>
      </c>
      <c r="O5">
        <f>IF($N5="","",INDEX('Cronograma R. Operacional'!$S$5:$S$1000,$N5))</f>
        <v/>
      </c>
      <c r="P5">
        <f>IF($N5="","",N(INDEX('Cronograma R. Operacional'!$T$5:$T$1000,$N5)))</f>
        <v/>
      </c>
    </row>
    <row r="6">
      <c r="A6" s="62">
        <f>IF($N6="","",INDEX('Cronograma R. Operacional'!$A$5:$A$1000,$N6))</f>
        <v/>
      </c>
      <c r="B6" s="71">
        <f>IF($N6="","",IF($O6="Sub","      ↳  "&amp;INDEX('Cronograma R. Operacional'!$C$5:$C$1000,$N6),INDEX('Cronograma R. Operacional'!$C$5:$C$1000,$N6)&amp;""))</f>
        <v/>
      </c>
      <c r="C6" s="77">
        <f>IF($N6="","",IF(INDEX('Cronograma R. Operacional'!$D$5:$D$1000,$N6)="","",INDEX('Cronograma R. Operacional'!$D$5:$D$1000,$N6)))</f>
        <v/>
      </c>
      <c r="D6" s="77">
        <f>IF($N6="","",IF(INDEX('Cronograma R. Operacional'!$E$5:$E$1000,$N6)="","",INDEX('Cronograma R. Operacional'!$E$5:$E$1000,$N6)))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Operacional'!$Y$5:$Y$1000,$N6),""),IF(INDEX('Cronograma R. Operacional'!$G$5:$G$1000,$N6)="","",INDEX('Cronograma R. Operacional'!$G$5:$G$1000,$N6))))</f>
        <v/>
      </c>
      <c r="G6" s="68">
        <f>IF($N6="","",IF($P6&gt;0,IF(2&lt;=SemanaActual,INDEX('Cronograma R. Operacional'!$Z$5:$Z$1000,$N6),""),IF(INDEX('Cronograma R. Operacional'!$H$5:$H$1000,$N6)="","",INDEX('Cronograma R. Operacional'!$H$5:$H$1000,$N6))))</f>
        <v/>
      </c>
      <c r="H6" s="68">
        <f>IF($N6="","",IF($P6&gt;0,IF(3&lt;=SemanaActual,INDEX('Cronograma R. Operacional'!$AA$5:$AA$1000,$N6),""),IF(INDEX('Cronograma R. Operacional'!$I$5:$I$1000,$N6)="","",INDEX('Cronograma R. Operacional'!$I$5:$I$1000,$N6))))</f>
        <v/>
      </c>
      <c r="I6" s="68">
        <f>IF($N6="","",IF($P6&gt;0,IF(4&lt;=SemanaActual,INDEX('Cronograma R. Operacional'!$AB$5:$AB$1000,$N6),""),IF(INDEX('Cronograma R. Operacional'!$J$5:$J$1000,$N6)="","",INDEX('Cronograma R. Operacional'!$J$5:$J$1000,$N6))))</f>
        <v/>
      </c>
      <c r="J6" s="68">
        <f>IF($N6="","",INDEX('Cronograma R. Operacional'!$K$5:$K$1000,$N6))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Operacional'!$M$5:$M$1000,$N6)&amp;"")</f>
        <v/>
      </c>
      <c r="M6" s="71">
        <f>IF($N6="","",INDEX('Cronograma R. Operacional'!$N$5:$N$1000,$N6)&amp;"")</f>
        <v/>
      </c>
      <c r="N6">
        <f>IFERROR(MATCH(ROW()-4,rOrden_RO,0),"")</f>
        <v/>
      </c>
      <c r="O6">
        <f>IF($N6="","",INDEX('Cronograma R. Operacional'!$S$5:$S$1000,$N6))</f>
        <v/>
      </c>
      <c r="P6">
        <f>IF($N6="","",N(INDEX('Cronograma R. Operacional'!$T$5:$T$1000,$N6)))</f>
        <v/>
      </c>
    </row>
    <row r="7">
      <c r="A7" s="62">
        <f>IF($N7="","",INDEX('Cronograma R. Operacional'!$A$5:$A$1000,$N7))</f>
        <v/>
      </c>
      <c r="B7" s="71">
        <f>IF($N7="","",IF($O7="Sub","      ↳  "&amp;INDEX('Cronograma R. Operacional'!$C$5:$C$1000,$N7),INDEX('Cronograma R. Operacional'!$C$5:$C$1000,$N7)&amp;""))</f>
        <v/>
      </c>
      <c r="C7" s="77">
        <f>IF($N7="","",IF(INDEX('Cronograma R. Operacional'!$D$5:$D$1000,$N7)="","",INDEX('Cronograma R. Operacional'!$D$5:$D$1000,$N7)))</f>
        <v/>
      </c>
      <c r="D7" s="77">
        <f>IF($N7="","",IF(INDEX('Cronograma R. Operacional'!$E$5:$E$1000,$N7)="","",INDEX('Cronograma R. Operacional'!$E$5:$E$1000,$N7)))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Operacional'!$Y$5:$Y$1000,$N7),""),IF(INDEX('Cronograma R. Operacional'!$G$5:$G$1000,$N7)="","",INDEX('Cronograma R. Operacional'!$G$5:$G$1000,$N7))))</f>
        <v/>
      </c>
      <c r="G7" s="68">
        <f>IF($N7="","",IF($P7&gt;0,IF(2&lt;=SemanaActual,INDEX('Cronograma R. Operacional'!$Z$5:$Z$1000,$N7),""),IF(INDEX('Cronograma R. Operacional'!$H$5:$H$1000,$N7)="","",INDEX('Cronograma R. Operacional'!$H$5:$H$1000,$N7))))</f>
        <v/>
      </c>
      <c r="H7" s="68">
        <f>IF($N7="","",IF($P7&gt;0,IF(3&lt;=SemanaActual,INDEX('Cronograma R. Operacional'!$AA$5:$AA$1000,$N7),""),IF(INDEX('Cronograma R. Operacional'!$I$5:$I$1000,$N7)="","",INDEX('Cronograma R. Operacional'!$I$5:$I$1000,$N7))))</f>
        <v/>
      </c>
      <c r="I7" s="68">
        <f>IF($N7="","",IF($P7&gt;0,IF(4&lt;=SemanaActual,INDEX('Cronograma R. Operacional'!$AB$5:$AB$1000,$N7),""),IF(INDEX('Cronograma R. Operacional'!$J$5:$J$1000,$N7)="","",INDEX('Cronograma R. Operacional'!$J$5:$J$1000,$N7))))</f>
        <v/>
      </c>
      <c r="J7" s="68">
        <f>IF($N7="","",INDEX('Cronograma R. Operacional'!$K$5:$K$1000,$N7))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Operacional'!$M$5:$M$1000,$N7)&amp;"")</f>
        <v/>
      </c>
      <c r="M7" s="71">
        <f>IF($N7="","",INDEX('Cronograma R. Operacional'!$N$5:$N$1000,$N7)&amp;"")</f>
        <v/>
      </c>
      <c r="N7">
        <f>IFERROR(MATCH(ROW()-4,rOrden_RO,0),"")</f>
        <v/>
      </c>
      <c r="O7">
        <f>IF($N7="","",INDEX('Cronograma R. Operacional'!$S$5:$S$1000,$N7))</f>
        <v/>
      </c>
      <c r="P7">
        <f>IF($N7="","",N(INDEX('Cronograma R. Operacional'!$T$5:$T$1000,$N7)))</f>
        <v/>
      </c>
    </row>
    <row r="8">
      <c r="A8" s="62">
        <f>IF($N8="","",INDEX('Cronograma R. Operacional'!$A$5:$A$1000,$N8))</f>
        <v/>
      </c>
      <c r="B8" s="71">
        <f>IF($N8="","",IF($O8="Sub","      ↳  "&amp;INDEX('Cronograma R. Operacional'!$C$5:$C$1000,$N8),INDEX('Cronograma R. Operacional'!$C$5:$C$1000,$N8)&amp;""))</f>
        <v/>
      </c>
      <c r="C8" s="77">
        <f>IF($N8="","",IF(INDEX('Cronograma R. Operacional'!$D$5:$D$1000,$N8)="","",INDEX('Cronograma R. Operacional'!$D$5:$D$1000,$N8)))</f>
        <v/>
      </c>
      <c r="D8" s="77">
        <f>IF($N8="","",IF(INDEX('Cronograma R. Operacional'!$E$5:$E$1000,$N8)="","",INDEX('Cronograma R. Operacional'!$E$5:$E$1000,$N8)))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Operacional'!$Y$5:$Y$1000,$N8),""),IF(INDEX('Cronograma R. Operacional'!$G$5:$G$1000,$N8)="","",INDEX('Cronograma R. Operacional'!$G$5:$G$1000,$N8))))</f>
        <v/>
      </c>
      <c r="G8" s="68">
        <f>IF($N8="","",IF($P8&gt;0,IF(2&lt;=SemanaActual,INDEX('Cronograma R. Operacional'!$Z$5:$Z$1000,$N8),""),IF(INDEX('Cronograma R. Operacional'!$H$5:$H$1000,$N8)="","",INDEX('Cronograma R. Operacional'!$H$5:$H$1000,$N8))))</f>
        <v/>
      </c>
      <c r="H8" s="68">
        <f>IF($N8="","",IF($P8&gt;0,IF(3&lt;=SemanaActual,INDEX('Cronograma R. Operacional'!$AA$5:$AA$1000,$N8),""),IF(INDEX('Cronograma R. Operacional'!$I$5:$I$1000,$N8)="","",INDEX('Cronograma R. Operacional'!$I$5:$I$1000,$N8))))</f>
        <v/>
      </c>
      <c r="I8" s="68">
        <f>IF($N8="","",IF($P8&gt;0,IF(4&lt;=SemanaActual,INDEX('Cronograma R. Operacional'!$AB$5:$AB$1000,$N8),""),IF(INDEX('Cronograma R. Operacional'!$J$5:$J$1000,$N8)="","",INDEX('Cronograma R. Operacional'!$J$5:$J$1000,$N8))))</f>
        <v/>
      </c>
      <c r="J8" s="68">
        <f>IF($N8="","",INDEX('Cronograma R. Operacional'!$K$5:$K$1000,$N8))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Operacional'!$M$5:$M$1000,$N8)&amp;"")</f>
        <v/>
      </c>
      <c r="M8" s="71">
        <f>IF($N8="","",INDEX('Cronograma R. Operacional'!$N$5:$N$1000,$N8)&amp;"")</f>
        <v/>
      </c>
      <c r="N8">
        <f>IFERROR(MATCH(ROW()-4,rOrden_RO,0),"")</f>
        <v/>
      </c>
      <c r="O8">
        <f>IF($N8="","",INDEX('Cronograma R. Operacional'!$S$5:$S$1000,$N8))</f>
        <v/>
      </c>
      <c r="P8">
        <f>IF($N8="","",N(INDEX('Cronograma R. Operacional'!$T$5:$T$1000,$N8)))</f>
        <v/>
      </c>
    </row>
    <row r="9">
      <c r="A9" s="62">
        <f>IF($N9="","",INDEX('Cronograma R. Operacional'!$A$5:$A$1000,$N9))</f>
        <v/>
      </c>
      <c r="B9" s="71">
        <f>IF($N9="","",IF($O9="Sub","      ↳  "&amp;INDEX('Cronograma R. Operacional'!$C$5:$C$1000,$N9),INDEX('Cronograma R. Operacional'!$C$5:$C$1000,$N9)&amp;""))</f>
        <v/>
      </c>
      <c r="C9" s="77">
        <f>IF($N9="","",IF(INDEX('Cronograma R. Operacional'!$D$5:$D$1000,$N9)="","",INDEX('Cronograma R. Operacional'!$D$5:$D$1000,$N9)))</f>
        <v/>
      </c>
      <c r="D9" s="77">
        <f>IF($N9="","",IF(INDEX('Cronograma R. Operacional'!$E$5:$E$1000,$N9)="","",INDEX('Cronograma R. Operacional'!$E$5:$E$1000,$N9)))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Operacional'!$Y$5:$Y$1000,$N9),""),IF(INDEX('Cronograma R. Operacional'!$G$5:$G$1000,$N9)="","",INDEX('Cronograma R. Operacional'!$G$5:$G$1000,$N9))))</f>
        <v/>
      </c>
      <c r="G9" s="68">
        <f>IF($N9="","",IF($P9&gt;0,IF(2&lt;=SemanaActual,INDEX('Cronograma R. Operacional'!$Z$5:$Z$1000,$N9),""),IF(INDEX('Cronograma R. Operacional'!$H$5:$H$1000,$N9)="","",INDEX('Cronograma R. Operacional'!$H$5:$H$1000,$N9))))</f>
        <v/>
      </c>
      <c r="H9" s="68">
        <f>IF($N9="","",IF($P9&gt;0,IF(3&lt;=SemanaActual,INDEX('Cronograma R. Operacional'!$AA$5:$AA$1000,$N9),""),IF(INDEX('Cronograma R. Operacional'!$I$5:$I$1000,$N9)="","",INDEX('Cronograma R. Operacional'!$I$5:$I$1000,$N9))))</f>
        <v/>
      </c>
      <c r="I9" s="68">
        <f>IF($N9="","",IF($P9&gt;0,IF(4&lt;=SemanaActual,INDEX('Cronograma R. Operacional'!$AB$5:$AB$1000,$N9),""),IF(INDEX('Cronograma R. Operacional'!$J$5:$J$1000,$N9)="","",INDEX('Cronograma R. Operacional'!$J$5:$J$1000,$N9))))</f>
        <v/>
      </c>
      <c r="J9" s="68">
        <f>IF($N9="","",INDEX('Cronograma R. Operacional'!$K$5:$K$1000,$N9))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Operacional'!$M$5:$M$1000,$N9)&amp;"")</f>
        <v/>
      </c>
      <c r="M9" s="71">
        <f>IF($N9="","",INDEX('Cronograma R. Operacional'!$N$5:$N$1000,$N9)&amp;"")</f>
        <v/>
      </c>
      <c r="N9">
        <f>IFERROR(MATCH(ROW()-4,rOrden_RO,0),"")</f>
        <v/>
      </c>
      <c r="O9">
        <f>IF($N9="","",INDEX('Cronograma R. Operacional'!$S$5:$S$1000,$N9))</f>
        <v/>
      </c>
      <c r="P9">
        <f>IF($N9="","",N(INDEX('Cronograma R. Operacional'!$T$5:$T$1000,$N9)))</f>
        <v/>
      </c>
    </row>
    <row r="10">
      <c r="A10" s="62">
        <f>IF($N10="","",INDEX('Cronograma R. Operacional'!$A$5:$A$1000,$N10))</f>
        <v/>
      </c>
      <c r="B10" s="71">
        <f>IF($N10="","",IF($O10="Sub","      ↳  "&amp;INDEX('Cronograma R. Operacional'!$C$5:$C$1000,$N10),INDEX('Cronograma R. Operacional'!$C$5:$C$1000,$N10)&amp;""))</f>
        <v/>
      </c>
      <c r="C10" s="77">
        <f>IF($N10="","",IF(INDEX('Cronograma R. Operacional'!$D$5:$D$1000,$N10)="","",INDEX('Cronograma R. Operacional'!$D$5:$D$1000,$N10)))</f>
        <v/>
      </c>
      <c r="D10" s="77">
        <f>IF($N10="","",IF(INDEX('Cronograma R. Operacional'!$E$5:$E$1000,$N10)="","",INDEX('Cronograma R. Operacional'!$E$5:$E$1000,$N10)))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Operacional'!$Y$5:$Y$1000,$N10),""),IF(INDEX('Cronograma R. Operacional'!$G$5:$G$1000,$N10)="","",INDEX('Cronograma R. Operacional'!$G$5:$G$1000,$N10))))</f>
        <v/>
      </c>
      <c r="G10" s="68">
        <f>IF($N10="","",IF($P10&gt;0,IF(2&lt;=SemanaActual,INDEX('Cronograma R. Operacional'!$Z$5:$Z$1000,$N10),""),IF(INDEX('Cronograma R. Operacional'!$H$5:$H$1000,$N10)="","",INDEX('Cronograma R. Operacional'!$H$5:$H$1000,$N10))))</f>
        <v/>
      </c>
      <c r="H10" s="68">
        <f>IF($N10="","",IF($P10&gt;0,IF(3&lt;=SemanaActual,INDEX('Cronograma R. Operacional'!$AA$5:$AA$1000,$N10),""),IF(INDEX('Cronograma R. Operacional'!$I$5:$I$1000,$N10)="","",INDEX('Cronograma R. Operacional'!$I$5:$I$1000,$N10))))</f>
        <v/>
      </c>
      <c r="I10" s="68">
        <f>IF($N10="","",IF($P10&gt;0,IF(4&lt;=SemanaActual,INDEX('Cronograma R. Operacional'!$AB$5:$AB$1000,$N10),""),IF(INDEX('Cronograma R. Operacional'!$J$5:$J$1000,$N10)="","",INDEX('Cronograma R. Operacional'!$J$5:$J$1000,$N10))))</f>
        <v/>
      </c>
      <c r="J10" s="68">
        <f>IF($N10="","",INDEX('Cronograma R. Operacional'!$K$5:$K$1000,$N10))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Operacional'!$M$5:$M$1000,$N10)&amp;"")</f>
        <v/>
      </c>
      <c r="M10" s="71">
        <f>IF($N10="","",INDEX('Cronograma R. Operacional'!$N$5:$N$1000,$N10)&amp;"")</f>
        <v/>
      </c>
      <c r="N10">
        <f>IFERROR(MATCH(ROW()-4,rOrden_RO,0),"")</f>
        <v/>
      </c>
      <c r="O10">
        <f>IF($N10="","",INDEX('Cronograma R. Operacional'!$S$5:$S$1000,$N10))</f>
        <v/>
      </c>
      <c r="P10">
        <f>IF($N10="","",N(INDEX('Cronograma R. Operacional'!$T$5:$T$1000,$N10)))</f>
        <v/>
      </c>
    </row>
    <row r="11">
      <c r="A11" s="62">
        <f>IF($N11="","",INDEX('Cronograma R. Operacional'!$A$5:$A$1000,$N11))</f>
        <v/>
      </c>
      <c r="B11" s="71">
        <f>IF($N11="","",IF($O11="Sub","      ↳  "&amp;INDEX('Cronograma R. Operacional'!$C$5:$C$1000,$N11),INDEX('Cronograma R. Operacional'!$C$5:$C$1000,$N11)&amp;""))</f>
        <v/>
      </c>
      <c r="C11" s="77">
        <f>IF($N11="","",IF(INDEX('Cronograma R. Operacional'!$D$5:$D$1000,$N11)="","",INDEX('Cronograma R. Operacional'!$D$5:$D$1000,$N11)))</f>
        <v/>
      </c>
      <c r="D11" s="77">
        <f>IF($N11="","",IF(INDEX('Cronograma R. Operacional'!$E$5:$E$1000,$N11)="","",INDEX('Cronograma R. Operacional'!$E$5:$E$1000,$N11)))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Operacional'!$Y$5:$Y$1000,$N11),""),IF(INDEX('Cronograma R. Operacional'!$G$5:$G$1000,$N11)="","",INDEX('Cronograma R. Operacional'!$G$5:$G$1000,$N11))))</f>
        <v/>
      </c>
      <c r="G11" s="68">
        <f>IF($N11="","",IF($P11&gt;0,IF(2&lt;=SemanaActual,INDEX('Cronograma R. Operacional'!$Z$5:$Z$1000,$N11),""),IF(INDEX('Cronograma R. Operacional'!$H$5:$H$1000,$N11)="","",INDEX('Cronograma R. Operacional'!$H$5:$H$1000,$N11))))</f>
        <v/>
      </c>
      <c r="H11" s="68">
        <f>IF($N11="","",IF($P11&gt;0,IF(3&lt;=SemanaActual,INDEX('Cronograma R. Operacional'!$AA$5:$AA$1000,$N11),""),IF(INDEX('Cronograma R. Operacional'!$I$5:$I$1000,$N11)="","",INDEX('Cronograma R. Operacional'!$I$5:$I$1000,$N11))))</f>
        <v/>
      </c>
      <c r="I11" s="68">
        <f>IF($N11="","",IF($P11&gt;0,IF(4&lt;=SemanaActual,INDEX('Cronograma R. Operacional'!$AB$5:$AB$1000,$N11),""),IF(INDEX('Cronograma R. Operacional'!$J$5:$J$1000,$N11)="","",INDEX('Cronograma R. Operacional'!$J$5:$J$1000,$N11))))</f>
        <v/>
      </c>
      <c r="J11" s="68">
        <f>IF($N11="","",INDEX('Cronograma R. Operacional'!$K$5:$K$1000,$N11))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Operacional'!$M$5:$M$1000,$N11)&amp;"")</f>
        <v/>
      </c>
      <c r="M11" s="71">
        <f>IF($N11="","",INDEX('Cronograma R. Operacional'!$N$5:$N$1000,$N11)&amp;"")</f>
        <v/>
      </c>
      <c r="N11">
        <f>IFERROR(MATCH(ROW()-4,rOrden_RO,0),"")</f>
        <v/>
      </c>
      <c r="O11">
        <f>IF($N11="","",INDEX('Cronograma R. Operacional'!$S$5:$S$1000,$N11))</f>
        <v/>
      </c>
      <c r="P11">
        <f>IF($N11="","",N(INDEX('Cronograma R. Operacional'!$T$5:$T$1000,$N11)))</f>
        <v/>
      </c>
    </row>
    <row r="12">
      <c r="A12" s="62">
        <f>IF($N12="","",INDEX('Cronograma R. Operacional'!$A$5:$A$1000,$N12))</f>
        <v/>
      </c>
      <c r="B12" s="71">
        <f>IF($N12="","",IF($O12="Sub","      ↳  "&amp;INDEX('Cronograma R. Operacional'!$C$5:$C$1000,$N12),INDEX('Cronograma R. Operacional'!$C$5:$C$1000,$N12)&amp;""))</f>
        <v/>
      </c>
      <c r="C12" s="77">
        <f>IF($N12="","",IF(INDEX('Cronograma R. Operacional'!$D$5:$D$1000,$N12)="","",INDEX('Cronograma R. Operacional'!$D$5:$D$1000,$N12)))</f>
        <v/>
      </c>
      <c r="D12" s="77">
        <f>IF($N12="","",IF(INDEX('Cronograma R. Operacional'!$E$5:$E$1000,$N12)="","",INDEX('Cronograma R. Operacional'!$E$5:$E$1000,$N12)))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Operacional'!$Y$5:$Y$1000,$N12),""),IF(INDEX('Cronograma R. Operacional'!$G$5:$G$1000,$N12)="","",INDEX('Cronograma R. Operacional'!$G$5:$G$1000,$N12))))</f>
        <v/>
      </c>
      <c r="G12" s="68">
        <f>IF($N12="","",IF($P12&gt;0,IF(2&lt;=SemanaActual,INDEX('Cronograma R. Operacional'!$Z$5:$Z$1000,$N12),""),IF(INDEX('Cronograma R. Operacional'!$H$5:$H$1000,$N12)="","",INDEX('Cronograma R. Operacional'!$H$5:$H$1000,$N12))))</f>
        <v/>
      </c>
      <c r="H12" s="68">
        <f>IF($N12="","",IF($P12&gt;0,IF(3&lt;=SemanaActual,INDEX('Cronograma R. Operacional'!$AA$5:$AA$1000,$N12),""),IF(INDEX('Cronograma R. Operacional'!$I$5:$I$1000,$N12)="","",INDEX('Cronograma R. Operacional'!$I$5:$I$1000,$N12))))</f>
        <v/>
      </c>
      <c r="I12" s="68">
        <f>IF($N12="","",IF($P12&gt;0,IF(4&lt;=SemanaActual,INDEX('Cronograma R. Operacional'!$AB$5:$AB$1000,$N12),""),IF(INDEX('Cronograma R. Operacional'!$J$5:$J$1000,$N12)="","",INDEX('Cronograma R. Operacional'!$J$5:$J$1000,$N12))))</f>
        <v/>
      </c>
      <c r="J12" s="68">
        <f>IF($N12="","",INDEX('Cronograma R. Operacional'!$K$5:$K$1000,$N12))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Operacional'!$M$5:$M$1000,$N12)&amp;"")</f>
        <v/>
      </c>
      <c r="M12" s="71">
        <f>IF($N12="","",INDEX('Cronograma R. Operacional'!$N$5:$N$1000,$N12)&amp;"")</f>
        <v/>
      </c>
      <c r="N12">
        <f>IFERROR(MATCH(ROW()-4,rOrden_RO,0),"")</f>
        <v/>
      </c>
      <c r="O12">
        <f>IF($N12="","",INDEX('Cronograma R. Operacional'!$S$5:$S$1000,$N12))</f>
        <v/>
      </c>
      <c r="P12">
        <f>IF($N12="","",N(INDEX('Cronograma R. Operacional'!$T$5:$T$1000,$N12)))</f>
        <v/>
      </c>
    </row>
    <row r="13">
      <c r="A13" s="62">
        <f>IF($N13="","",INDEX('Cronograma R. Operacional'!$A$5:$A$1000,$N13))</f>
        <v/>
      </c>
      <c r="B13" s="71">
        <f>IF($N13="","",IF($O13="Sub","      ↳  "&amp;INDEX('Cronograma R. Operacional'!$C$5:$C$1000,$N13),INDEX('Cronograma R. Operacional'!$C$5:$C$1000,$N13)&amp;""))</f>
        <v/>
      </c>
      <c r="C13" s="77">
        <f>IF($N13="","",IF(INDEX('Cronograma R. Operacional'!$D$5:$D$1000,$N13)="","",INDEX('Cronograma R. Operacional'!$D$5:$D$1000,$N13)))</f>
        <v/>
      </c>
      <c r="D13" s="77">
        <f>IF($N13="","",IF(INDEX('Cronograma R. Operacional'!$E$5:$E$1000,$N13)="","",INDEX('Cronograma R. Operacional'!$E$5:$E$1000,$N13)))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Operacional'!$Y$5:$Y$1000,$N13),""),IF(INDEX('Cronograma R. Operacional'!$G$5:$G$1000,$N13)="","",INDEX('Cronograma R. Operacional'!$G$5:$G$1000,$N13))))</f>
        <v/>
      </c>
      <c r="G13" s="68">
        <f>IF($N13="","",IF($P13&gt;0,IF(2&lt;=SemanaActual,INDEX('Cronograma R. Operacional'!$Z$5:$Z$1000,$N13),""),IF(INDEX('Cronograma R. Operacional'!$H$5:$H$1000,$N13)="","",INDEX('Cronograma R. Operacional'!$H$5:$H$1000,$N13))))</f>
        <v/>
      </c>
      <c r="H13" s="68">
        <f>IF($N13="","",IF($P13&gt;0,IF(3&lt;=SemanaActual,INDEX('Cronograma R. Operacional'!$AA$5:$AA$1000,$N13),""),IF(INDEX('Cronograma R. Operacional'!$I$5:$I$1000,$N13)="","",INDEX('Cronograma R. Operacional'!$I$5:$I$1000,$N13))))</f>
        <v/>
      </c>
      <c r="I13" s="68">
        <f>IF($N13="","",IF($P13&gt;0,IF(4&lt;=SemanaActual,INDEX('Cronograma R. Operacional'!$AB$5:$AB$1000,$N13),""),IF(INDEX('Cronograma R. Operacional'!$J$5:$J$1000,$N13)="","",INDEX('Cronograma R. Operacional'!$J$5:$J$1000,$N13))))</f>
        <v/>
      </c>
      <c r="J13" s="68">
        <f>IF($N13="","",INDEX('Cronograma R. Operacional'!$K$5:$K$1000,$N13))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Operacional'!$M$5:$M$1000,$N13)&amp;"")</f>
        <v/>
      </c>
      <c r="M13" s="71">
        <f>IF($N13="","",INDEX('Cronograma R. Operacional'!$N$5:$N$1000,$N13)&amp;"")</f>
        <v/>
      </c>
      <c r="N13">
        <f>IFERROR(MATCH(ROW()-4,rOrden_RO,0),"")</f>
        <v/>
      </c>
      <c r="O13">
        <f>IF($N13="","",INDEX('Cronograma R. Operacional'!$S$5:$S$1000,$N13))</f>
        <v/>
      </c>
      <c r="P13">
        <f>IF($N13="","",N(INDEX('Cronograma R. Operacional'!$T$5:$T$1000,$N13)))</f>
        <v/>
      </c>
    </row>
    <row r="14">
      <c r="A14" s="62">
        <f>IF($N14="","",INDEX('Cronograma R. Operacional'!$A$5:$A$1000,$N14))</f>
        <v/>
      </c>
      <c r="B14" s="71">
        <f>IF($N14="","",IF($O14="Sub","      ↳  "&amp;INDEX('Cronograma R. Operacional'!$C$5:$C$1000,$N14),INDEX('Cronograma R. Operacional'!$C$5:$C$1000,$N14)&amp;""))</f>
        <v/>
      </c>
      <c r="C14" s="77">
        <f>IF($N14="","",IF(INDEX('Cronograma R. Operacional'!$D$5:$D$1000,$N14)="","",INDEX('Cronograma R. Operacional'!$D$5:$D$1000,$N14)))</f>
        <v/>
      </c>
      <c r="D14" s="77">
        <f>IF($N14="","",IF(INDEX('Cronograma R. Operacional'!$E$5:$E$1000,$N14)="","",INDEX('Cronograma R. Operacional'!$E$5:$E$1000,$N14)))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Operacional'!$Y$5:$Y$1000,$N14),""),IF(INDEX('Cronograma R. Operacional'!$G$5:$G$1000,$N14)="","",INDEX('Cronograma R. Operacional'!$G$5:$G$1000,$N14))))</f>
        <v/>
      </c>
      <c r="G14" s="68">
        <f>IF($N14="","",IF($P14&gt;0,IF(2&lt;=SemanaActual,INDEX('Cronograma R. Operacional'!$Z$5:$Z$1000,$N14),""),IF(INDEX('Cronograma R. Operacional'!$H$5:$H$1000,$N14)="","",INDEX('Cronograma R. Operacional'!$H$5:$H$1000,$N14))))</f>
        <v/>
      </c>
      <c r="H14" s="68">
        <f>IF($N14="","",IF($P14&gt;0,IF(3&lt;=SemanaActual,INDEX('Cronograma R. Operacional'!$AA$5:$AA$1000,$N14),""),IF(INDEX('Cronograma R. Operacional'!$I$5:$I$1000,$N14)="","",INDEX('Cronograma R. Operacional'!$I$5:$I$1000,$N14))))</f>
        <v/>
      </c>
      <c r="I14" s="68">
        <f>IF($N14="","",IF($P14&gt;0,IF(4&lt;=SemanaActual,INDEX('Cronograma R. Operacional'!$AB$5:$AB$1000,$N14),""),IF(INDEX('Cronograma R. Operacional'!$J$5:$J$1000,$N14)="","",INDEX('Cronograma R. Operacional'!$J$5:$J$1000,$N14))))</f>
        <v/>
      </c>
      <c r="J14" s="68">
        <f>IF($N14="","",INDEX('Cronograma R. Operacional'!$K$5:$K$1000,$N14))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Operacional'!$M$5:$M$1000,$N14)&amp;"")</f>
        <v/>
      </c>
      <c r="M14" s="71">
        <f>IF($N14="","",INDEX('Cronograma R. Operacional'!$N$5:$N$1000,$N14)&amp;"")</f>
        <v/>
      </c>
      <c r="N14">
        <f>IFERROR(MATCH(ROW()-4,rOrden_RO,0),"")</f>
        <v/>
      </c>
      <c r="O14">
        <f>IF($N14="","",INDEX('Cronograma R. Operacional'!$S$5:$S$1000,$N14))</f>
        <v/>
      </c>
      <c r="P14">
        <f>IF($N14="","",N(INDEX('Cronograma R. Operacional'!$T$5:$T$1000,$N14)))</f>
        <v/>
      </c>
    </row>
    <row r="15">
      <c r="A15" s="62">
        <f>IF($N15="","",INDEX('Cronograma R. Operacional'!$A$5:$A$1000,$N15))</f>
        <v/>
      </c>
      <c r="B15" s="71">
        <f>IF($N15="","",IF($O15="Sub","      ↳  "&amp;INDEX('Cronograma R. Operacional'!$C$5:$C$1000,$N15),INDEX('Cronograma R. Operacional'!$C$5:$C$1000,$N15)&amp;""))</f>
        <v/>
      </c>
      <c r="C15" s="77">
        <f>IF($N15="","",IF(INDEX('Cronograma R. Operacional'!$D$5:$D$1000,$N15)="","",INDEX('Cronograma R. Operacional'!$D$5:$D$1000,$N15)))</f>
        <v/>
      </c>
      <c r="D15" s="77">
        <f>IF($N15="","",IF(INDEX('Cronograma R. Operacional'!$E$5:$E$1000,$N15)="","",INDEX('Cronograma R. Operacional'!$E$5:$E$1000,$N15)))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Operacional'!$Y$5:$Y$1000,$N15),""),IF(INDEX('Cronograma R. Operacional'!$G$5:$G$1000,$N15)="","",INDEX('Cronograma R. Operacional'!$G$5:$G$1000,$N15))))</f>
        <v/>
      </c>
      <c r="G15" s="68">
        <f>IF($N15="","",IF($P15&gt;0,IF(2&lt;=SemanaActual,INDEX('Cronograma R. Operacional'!$Z$5:$Z$1000,$N15),""),IF(INDEX('Cronograma R. Operacional'!$H$5:$H$1000,$N15)="","",INDEX('Cronograma R. Operacional'!$H$5:$H$1000,$N15))))</f>
        <v/>
      </c>
      <c r="H15" s="68">
        <f>IF($N15="","",IF($P15&gt;0,IF(3&lt;=SemanaActual,INDEX('Cronograma R. Operacional'!$AA$5:$AA$1000,$N15),""),IF(INDEX('Cronograma R. Operacional'!$I$5:$I$1000,$N15)="","",INDEX('Cronograma R. Operacional'!$I$5:$I$1000,$N15))))</f>
        <v/>
      </c>
      <c r="I15" s="68">
        <f>IF($N15="","",IF($P15&gt;0,IF(4&lt;=SemanaActual,INDEX('Cronograma R. Operacional'!$AB$5:$AB$1000,$N15),""),IF(INDEX('Cronograma R. Operacional'!$J$5:$J$1000,$N15)="","",INDEX('Cronograma R. Operacional'!$J$5:$J$1000,$N15))))</f>
        <v/>
      </c>
      <c r="J15" s="68">
        <f>IF($N15="","",INDEX('Cronograma R. Operacional'!$K$5:$K$1000,$N15))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Operacional'!$M$5:$M$1000,$N15)&amp;"")</f>
        <v/>
      </c>
      <c r="M15" s="71">
        <f>IF($N15="","",INDEX('Cronograma R. Operacional'!$N$5:$N$1000,$N15)&amp;"")</f>
        <v/>
      </c>
      <c r="N15">
        <f>IFERROR(MATCH(ROW()-4,rOrden_RO,0),"")</f>
        <v/>
      </c>
      <c r="O15">
        <f>IF($N15="","",INDEX('Cronograma R. Operacional'!$S$5:$S$1000,$N15))</f>
        <v/>
      </c>
      <c r="P15">
        <f>IF($N15="","",N(INDEX('Cronograma R. Operacional'!$T$5:$T$1000,$N15)))</f>
        <v/>
      </c>
    </row>
    <row r="16">
      <c r="A16" s="62">
        <f>IF($N16="","",INDEX('Cronograma R. Operacional'!$A$5:$A$1000,$N16))</f>
        <v/>
      </c>
      <c r="B16" s="71">
        <f>IF($N16="","",IF($O16="Sub","      ↳  "&amp;INDEX('Cronograma R. Operacional'!$C$5:$C$1000,$N16),INDEX('Cronograma R. Operacional'!$C$5:$C$1000,$N16)&amp;""))</f>
        <v/>
      </c>
      <c r="C16" s="77">
        <f>IF($N16="","",IF(INDEX('Cronograma R. Operacional'!$D$5:$D$1000,$N16)="","",INDEX('Cronograma R. Operacional'!$D$5:$D$1000,$N16)))</f>
        <v/>
      </c>
      <c r="D16" s="77">
        <f>IF($N16="","",IF(INDEX('Cronograma R. Operacional'!$E$5:$E$1000,$N16)="","",INDEX('Cronograma R. Operacional'!$E$5:$E$1000,$N16)))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Operacional'!$Y$5:$Y$1000,$N16),""),IF(INDEX('Cronograma R. Operacional'!$G$5:$G$1000,$N16)="","",INDEX('Cronograma R. Operacional'!$G$5:$G$1000,$N16))))</f>
        <v/>
      </c>
      <c r="G16" s="68">
        <f>IF($N16="","",IF($P16&gt;0,IF(2&lt;=SemanaActual,INDEX('Cronograma R. Operacional'!$Z$5:$Z$1000,$N16),""),IF(INDEX('Cronograma R. Operacional'!$H$5:$H$1000,$N16)="","",INDEX('Cronograma R. Operacional'!$H$5:$H$1000,$N16))))</f>
        <v/>
      </c>
      <c r="H16" s="68">
        <f>IF($N16="","",IF($P16&gt;0,IF(3&lt;=SemanaActual,INDEX('Cronograma R. Operacional'!$AA$5:$AA$1000,$N16),""),IF(INDEX('Cronograma R. Operacional'!$I$5:$I$1000,$N16)="","",INDEX('Cronograma R. Operacional'!$I$5:$I$1000,$N16))))</f>
        <v/>
      </c>
      <c r="I16" s="68">
        <f>IF($N16="","",IF($P16&gt;0,IF(4&lt;=SemanaActual,INDEX('Cronograma R. Operacional'!$AB$5:$AB$1000,$N16),""),IF(INDEX('Cronograma R. Operacional'!$J$5:$J$1000,$N16)="","",INDEX('Cronograma R. Operacional'!$J$5:$J$1000,$N16))))</f>
        <v/>
      </c>
      <c r="J16" s="68">
        <f>IF($N16="","",INDEX('Cronograma R. Operacional'!$K$5:$K$1000,$N16))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Operacional'!$M$5:$M$1000,$N16)&amp;"")</f>
        <v/>
      </c>
      <c r="M16" s="71">
        <f>IF($N16="","",INDEX('Cronograma R. Operacional'!$N$5:$N$1000,$N16)&amp;"")</f>
        <v/>
      </c>
      <c r="N16">
        <f>IFERROR(MATCH(ROW()-4,rOrden_RO,0),"")</f>
        <v/>
      </c>
      <c r="O16">
        <f>IF($N16="","",INDEX('Cronograma R. Operacional'!$S$5:$S$1000,$N16))</f>
        <v/>
      </c>
      <c r="P16">
        <f>IF($N16="","",N(INDEX('Cronograma R. Operacional'!$T$5:$T$1000,$N16)))</f>
        <v/>
      </c>
    </row>
    <row r="17">
      <c r="A17" s="62">
        <f>IF($N17="","",INDEX('Cronograma R. Operacional'!$A$5:$A$1000,$N17))</f>
        <v/>
      </c>
      <c r="B17" s="71">
        <f>IF($N17="","",IF($O17="Sub","      ↳  "&amp;INDEX('Cronograma R. Operacional'!$C$5:$C$1000,$N17),INDEX('Cronograma R. Operacional'!$C$5:$C$1000,$N17)&amp;""))</f>
        <v/>
      </c>
      <c r="C17" s="77">
        <f>IF($N17="","",IF(INDEX('Cronograma R. Operacional'!$D$5:$D$1000,$N17)="","",INDEX('Cronograma R. Operacional'!$D$5:$D$1000,$N17)))</f>
        <v/>
      </c>
      <c r="D17" s="77">
        <f>IF($N17="","",IF(INDEX('Cronograma R. Operacional'!$E$5:$E$1000,$N17)="","",INDEX('Cronograma R. Operacional'!$E$5:$E$1000,$N17)))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Operacional'!$Y$5:$Y$1000,$N17),""),IF(INDEX('Cronograma R. Operacional'!$G$5:$G$1000,$N17)="","",INDEX('Cronograma R. Operacional'!$G$5:$G$1000,$N17))))</f>
        <v/>
      </c>
      <c r="G17" s="68">
        <f>IF($N17="","",IF($P17&gt;0,IF(2&lt;=SemanaActual,INDEX('Cronograma R. Operacional'!$Z$5:$Z$1000,$N17),""),IF(INDEX('Cronograma R. Operacional'!$H$5:$H$1000,$N17)="","",INDEX('Cronograma R. Operacional'!$H$5:$H$1000,$N17))))</f>
        <v/>
      </c>
      <c r="H17" s="68">
        <f>IF($N17="","",IF($P17&gt;0,IF(3&lt;=SemanaActual,INDEX('Cronograma R. Operacional'!$AA$5:$AA$1000,$N17),""),IF(INDEX('Cronograma R. Operacional'!$I$5:$I$1000,$N17)="","",INDEX('Cronograma R. Operacional'!$I$5:$I$1000,$N17))))</f>
        <v/>
      </c>
      <c r="I17" s="68">
        <f>IF($N17="","",IF($P17&gt;0,IF(4&lt;=SemanaActual,INDEX('Cronograma R. Operacional'!$AB$5:$AB$1000,$N17),""),IF(INDEX('Cronograma R. Operacional'!$J$5:$J$1000,$N17)="","",INDEX('Cronograma R. Operacional'!$J$5:$J$1000,$N17))))</f>
        <v/>
      </c>
      <c r="J17" s="68">
        <f>IF($N17="","",INDEX('Cronograma R. Operacional'!$K$5:$K$1000,$N17))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Operacional'!$M$5:$M$1000,$N17)&amp;"")</f>
        <v/>
      </c>
      <c r="M17" s="71">
        <f>IF($N17="","",INDEX('Cronograma R. Operacional'!$N$5:$N$1000,$N17)&amp;"")</f>
        <v/>
      </c>
      <c r="N17">
        <f>IFERROR(MATCH(ROW()-4,rOrden_RO,0),"")</f>
        <v/>
      </c>
      <c r="O17">
        <f>IF($N17="","",INDEX('Cronograma R. Operacional'!$S$5:$S$1000,$N17))</f>
        <v/>
      </c>
      <c r="P17">
        <f>IF($N17="","",N(INDEX('Cronograma R. Operacional'!$T$5:$T$1000,$N17)))</f>
        <v/>
      </c>
    </row>
    <row r="18">
      <c r="A18" s="62">
        <f>IF($N18="","",INDEX('Cronograma R. Operacional'!$A$5:$A$1000,$N18))</f>
        <v/>
      </c>
      <c r="B18" s="71">
        <f>IF($N18="","",IF($O18="Sub","      ↳  "&amp;INDEX('Cronograma R. Operacional'!$C$5:$C$1000,$N18),INDEX('Cronograma R. Operacional'!$C$5:$C$1000,$N18)&amp;""))</f>
        <v/>
      </c>
      <c r="C18" s="77">
        <f>IF($N18="","",IF(INDEX('Cronograma R. Operacional'!$D$5:$D$1000,$N18)="","",INDEX('Cronograma R. Operacional'!$D$5:$D$1000,$N18)))</f>
        <v/>
      </c>
      <c r="D18" s="77">
        <f>IF($N18="","",IF(INDEX('Cronograma R. Operacional'!$E$5:$E$1000,$N18)="","",INDEX('Cronograma R. Operacional'!$E$5:$E$1000,$N18)))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Operacional'!$Y$5:$Y$1000,$N18),""),IF(INDEX('Cronograma R. Operacional'!$G$5:$G$1000,$N18)="","",INDEX('Cronograma R. Operacional'!$G$5:$G$1000,$N18))))</f>
        <v/>
      </c>
      <c r="G18" s="68">
        <f>IF($N18="","",IF($P18&gt;0,IF(2&lt;=SemanaActual,INDEX('Cronograma R. Operacional'!$Z$5:$Z$1000,$N18),""),IF(INDEX('Cronograma R. Operacional'!$H$5:$H$1000,$N18)="","",INDEX('Cronograma R. Operacional'!$H$5:$H$1000,$N18))))</f>
        <v/>
      </c>
      <c r="H18" s="68">
        <f>IF($N18="","",IF($P18&gt;0,IF(3&lt;=SemanaActual,INDEX('Cronograma R. Operacional'!$AA$5:$AA$1000,$N18),""),IF(INDEX('Cronograma R. Operacional'!$I$5:$I$1000,$N18)="","",INDEX('Cronograma R. Operacional'!$I$5:$I$1000,$N18))))</f>
        <v/>
      </c>
      <c r="I18" s="68">
        <f>IF($N18="","",IF($P18&gt;0,IF(4&lt;=SemanaActual,INDEX('Cronograma R. Operacional'!$AB$5:$AB$1000,$N18),""),IF(INDEX('Cronograma R. Operacional'!$J$5:$J$1000,$N18)="","",INDEX('Cronograma R. Operacional'!$J$5:$J$1000,$N18))))</f>
        <v/>
      </c>
      <c r="J18" s="68">
        <f>IF($N18="","",INDEX('Cronograma R. Operacional'!$K$5:$K$1000,$N18))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Operacional'!$M$5:$M$1000,$N18)&amp;"")</f>
        <v/>
      </c>
      <c r="M18" s="71">
        <f>IF($N18="","",INDEX('Cronograma R. Operacional'!$N$5:$N$1000,$N18)&amp;"")</f>
        <v/>
      </c>
      <c r="N18">
        <f>IFERROR(MATCH(ROW()-4,rOrden_RO,0),"")</f>
        <v/>
      </c>
      <c r="O18">
        <f>IF($N18="","",INDEX('Cronograma R. Operacional'!$S$5:$S$1000,$N18))</f>
        <v/>
      </c>
      <c r="P18">
        <f>IF($N18="","",N(INDEX('Cronograma R. Operacional'!$T$5:$T$1000,$N18)))</f>
        <v/>
      </c>
    </row>
    <row r="19">
      <c r="A19" s="62">
        <f>IF($N19="","",INDEX('Cronograma R. Operacional'!$A$5:$A$1000,$N19))</f>
        <v/>
      </c>
      <c r="B19" s="71">
        <f>IF($N19="","",IF($O19="Sub","      ↳  "&amp;INDEX('Cronograma R. Operacional'!$C$5:$C$1000,$N19),INDEX('Cronograma R. Operacional'!$C$5:$C$1000,$N19)&amp;""))</f>
        <v/>
      </c>
      <c r="C19" s="77">
        <f>IF($N19="","",IF(INDEX('Cronograma R. Operacional'!$D$5:$D$1000,$N19)="","",INDEX('Cronograma R. Operacional'!$D$5:$D$1000,$N19)))</f>
        <v/>
      </c>
      <c r="D19" s="77">
        <f>IF($N19="","",IF(INDEX('Cronograma R. Operacional'!$E$5:$E$1000,$N19)="","",INDEX('Cronograma R. Operacional'!$E$5:$E$1000,$N19)))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Operacional'!$Y$5:$Y$1000,$N19),""),IF(INDEX('Cronograma R. Operacional'!$G$5:$G$1000,$N19)="","",INDEX('Cronograma R. Operacional'!$G$5:$G$1000,$N19))))</f>
        <v/>
      </c>
      <c r="G19" s="68">
        <f>IF($N19="","",IF($P19&gt;0,IF(2&lt;=SemanaActual,INDEX('Cronograma R. Operacional'!$Z$5:$Z$1000,$N19),""),IF(INDEX('Cronograma R. Operacional'!$H$5:$H$1000,$N19)="","",INDEX('Cronograma R. Operacional'!$H$5:$H$1000,$N19))))</f>
        <v/>
      </c>
      <c r="H19" s="68">
        <f>IF($N19="","",IF($P19&gt;0,IF(3&lt;=SemanaActual,INDEX('Cronograma R. Operacional'!$AA$5:$AA$1000,$N19),""),IF(INDEX('Cronograma R. Operacional'!$I$5:$I$1000,$N19)="","",INDEX('Cronograma R. Operacional'!$I$5:$I$1000,$N19))))</f>
        <v/>
      </c>
      <c r="I19" s="68">
        <f>IF($N19="","",IF($P19&gt;0,IF(4&lt;=SemanaActual,INDEX('Cronograma R. Operacional'!$AB$5:$AB$1000,$N19),""),IF(INDEX('Cronograma R. Operacional'!$J$5:$J$1000,$N19)="","",INDEX('Cronograma R. Operacional'!$J$5:$J$1000,$N19))))</f>
        <v/>
      </c>
      <c r="J19" s="68">
        <f>IF($N19="","",INDEX('Cronograma R. Operacional'!$K$5:$K$1000,$N19))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Operacional'!$M$5:$M$1000,$N19)&amp;"")</f>
        <v/>
      </c>
      <c r="M19" s="71">
        <f>IF($N19="","",INDEX('Cronograma R. Operacional'!$N$5:$N$1000,$N19)&amp;"")</f>
        <v/>
      </c>
      <c r="N19">
        <f>IFERROR(MATCH(ROW()-4,rOrden_RO,0),"")</f>
        <v/>
      </c>
      <c r="O19">
        <f>IF($N19="","",INDEX('Cronograma R. Operacional'!$S$5:$S$1000,$N19))</f>
        <v/>
      </c>
      <c r="P19">
        <f>IF($N19="","",N(INDEX('Cronograma R. Operacional'!$T$5:$T$1000,$N19)))</f>
        <v/>
      </c>
    </row>
    <row r="20">
      <c r="A20" s="62">
        <f>IF($N20="","",INDEX('Cronograma R. Operacional'!$A$5:$A$1000,$N20))</f>
        <v/>
      </c>
      <c r="B20" s="71">
        <f>IF($N20="","",IF($O20="Sub","      ↳  "&amp;INDEX('Cronograma R. Operacional'!$C$5:$C$1000,$N20),INDEX('Cronograma R. Operacional'!$C$5:$C$1000,$N20)&amp;""))</f>
        <v/>
      </c>
      <c r="C20" s="77">
        <f>IF($N20="","",IF(INDEX('Cronograma R. Operacional'!$D$5:$D$1000,$N20)="","",INDEX('Cronograma R. Operacional'!$D$5:$D$1000,$N20)))</f>
        <v/>
      </c>
      <c r="D20" s="77">
        <f>IF($N20="","",IF(INDEX('Cronograma R. Operacional'!$E$5:$E$1000,$N20)="","",INDEX('Cronograma R. Operacional'!$E$5:$E$1000,$N20)))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Operacional'!$Y$5:$Y$1000,$N20),""),IF(INDEX('Cronograma R. Operacional'!$G$5:$G$1000,$N20)="","",INDEX('Cronograma R. Operacional'!$G$5:$G$1000,$N20))))</f>
        <v/>
      </c>
      <c r="G20" s="68">
        <f>IF($N20="","",IF($P20&gt;0,IF(2&lt;=SemanaActual,INDEX('Cronograma R. Operacional'!$Z$5:$Z$1000,$N20),""),IF(INDEX('Cronograma R. Operacional'!$H$5:$H$1000,$N20)="","",INDEX('Cronograma R. Operacional'!$H$5:$H$1000,$N20))))</f>
        <v/>
      </c>
      <c r="H20" s="68">
        <f>IF($N20="","",IF($P20&gt;0,IF(3&lt;=SemanaActual,INDEX('Cronograma R. Operacional'!$AA$5:$AA$1000,$N20),""),IF(INDEX('Cronograma R. Operacional'!$I$5:$I$1000,$N20)="","",INDEX('Cronograma R. Operacional'!$I$5:$I$1000,$N20))))</f>
        <v/>
      </c>
      <c r="I20" s="68">
        <f>IF($N20="","",IF($P20&gt;0,IF(4&lt;=SemanaActual,INDEX('Cronograma R. Operacional'!$AB$5:$AB$1000,$N20),""),IF(INDEX('Cronograma R. Operacional'!$J$5:$J$1000,$N20)="","",INDEX('Cronograma R. Operacional'!$J$5:$J$1000,$N20))))</f>
        <v/>
      </c>
      <c r="J20" s="68">
        <f>IF($N20="","",INDEX('Cronograma R. Operacional'!$K$5:$K$1000,$N20))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Operacional'!$M$5:$M$1000,$N20)&amp;"")</f>
        <v/>
      </c>
      <c r="M20" s="71">
        <f>IF($N20="","",INDEX('Cronograma R. Operacional'!$N$5:$N$1000,$N20)&amp;"")</f>
        <v/>
      </c>
      <c r="N20">
        <f>IFERROR(MATCH(ROW()-4,rOrden_RO,0),"")</f>
        <v/>
      </c>
      <c r="O20">
        <f>IF($N20="","",INDEX('Cronograma R. Operacional'!$S$5:$S$1000,$N20))</f>
        <v/>
      </c>
      <c r="P20">
        <f>IF($N20="","",N(INDEX('Cronograma R. Operacional'!$T$5:$T$1000,$N20)))</f>
        <v/>
      </c>
    </row>
    <row r="21">
      <c r="A21" s="62">
        <f>IF($N21="","",INDEX('Cronograma R. Operacional'!$A$5:$A$1000,$N21))</f>
        <v/>
      </c>
      <c r="B21" s="71">
        <f>IF($N21="","",IF($O21="Sub","      ↳  "&amp;INDEX('Cronograma R. Operacional'!$C$5:$C$1000,$N21),INDEX('Cronograma R. Operacional'!$C$5:$C$1000,$N21)&amp;""))</f>
        <v/>
      </c>
      <c r="C21" s="77">
        <f>IF($N21="","",IF(INDEX('Cronograma R. Operacional'!$D$5:$D$1000,$N21)="","",INDEX('Cronograma R. Operacional'!$D$5:$D$1000,$N21)))</f>
        <v/>
      </c>
      <c r="D21" s="77">
        <f>IF($N21="","",IF(INDEX('Cronograma R. Operacional'!$E$5:$E$1000,$N21)="","",INDEX('Cronograma R. Operacional'!$E$5:$E$1000,$N21)))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Operacional'!$Y$5:$Y$1000,$N21),""),IF(INDEX('Cronograma R. Operacional'!$G$5:$G$1000,$N21)="","",INDEX('Cronograma R. Operacional'!$G$5:$G$1000,$N21))))</f>
        <v/>
      </c>
      <c r="G21" s="68">
        <f>IF($N21="","",IF($P21&gt;0,IF(2&lt;=SemanaActual,INDEX('Cronograma R. Operacional'!$Z$5:$Z$1000,$N21),""),IF(INDEX('Cronograma R. Operacional'!$H$5:$H$1000,$N21)="","",INDEX('Cronograma R. Operacional'!$H$5:$H$1000,$N21))))</f>
        <v/>
      </c>
      <c r="H21" s="68">
        <f>IF($N21="","",IF($P21&gt;0,IF(3&lt;=SemanaActual,INDEX('Cronograma R. Operacional'!$AA$5:$AA$1000,$N21),""),IF(INDEX('Cronograma R. Operacional'!$I$5:$I$1000,$N21)="","",INDEX('Cronograma R. Operacional'!$I$5:$I$1000,$N21))))</f>
        <v/>
      </c>
      <c r="I21" s="68">
        <f>IF($N21="","",IF($P21&gt;0,IF(4&lt;=SemanaActual,INDEX('Cronograma R. Operacional'!$AB$5:$AB$1000,$N21),""),IF(INDEX('Cronograma R. Operacional'!$J$5:$J$1000,$N21)="","",INDEX('Cronograma R. Operacional'!$J$5:$J$1000,$N21))))</f>
        <v/>
      </c>
      <c r="J21" s="68">
        <f>IF($N21="","",INDEX('Cronograma R. Operacional'!$K$5:$K$1000,$N21))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Operacional'!$M$5:$M$1000,$N21)&amp;"")</f>
        <v/>
      </c>
      <c r="M21" s="71">
        <f>IF($N21="","",INDEX('Cronograma R. Operacional'!$N$5:$N$1000,$N21)&amp;"")</f>
        <v/>
      </c>
      <c r="N21">
        <f>IFERROR(MATCH(ROW()-4,rOrden_RO,0),"")</f>
        <v/>
      </c>
      <c r="O21">
        <f>IF($N21="","",INDEX('Cronograma R. Operacional'!$S$5:$S$1000,$N21))</f>
        <v/>
      </c>
      <c r="P21">
        <f>IF($N21="","",N(INDEX('Cronograma R. Operacional'!$T$5:$T$1000,$N21)))</f>
        <v/>
      </c>
    </row>
    <row r="22">
      <c r="A22" s="62">
        <f>IF($N22="","",INDEX('Cronograma R. Operacional'!$A$5:$A$1000,$N22))</f>
        <v/>
      </c>
      <c r="B22" s="71">
        <f>IF($N22="","",IF($O22="Sub","      ↳  "&amp;INDEX('Cronograma R. Operacional'!$C$5:$C$1000,$N22),INDEX('Cronograma R. Operacional'!$C$5:$C$1000,$N22)&amp;""))</f>
        <v/>
      </c>
      <c r="C22" s="77">
        <f>IF($N22="","",IF(INDEX('Cronograma R. Operacional'!$D$5:$D$1000,$N22)="","",INDEX('Cronograma R. Operacional'!$D$5:$D$1000,$N22)))</f>
        <v/>
      </c>
      <c r="D22" s="77">
        <f>IF($N22="","",IF(INDEX('Cronograma R. Operacional'!$E$5:$E$1000,$N22)="","",INDEX('Cronograma R. Operacional'!$E$5:$E$1000,$N22)))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Operacional'!$Y$5:$Y$1000,$N22),""),IF(INDEX('Cronograma R. Operacional'!$G$5:$G$1000,$N22)="","",INDEX('Cronograma R. Operacional'!$G$5:$G$1000,$N22))))</f>
        <v/>
      </c>
      <c r="G22" s="68">
        <f>IF($N22="","",IF($P22&gt;0,IF(2&lt;=SemanaActual,INDEX('Cronograma R. Operacional'!$Z$5:$Z$1000,$N22),""),IF(INDEX('Cronograma R. Operacional'!$H$5:$H$1000,$N22)="","",INDEX('Cronograma R. Operacional'!$H$5:$H$1000,$N22))))</f>
        <v/>
      </c>
      <c r="H22" s="68">
        <f>IF($N22="","",IF($P22&gt;0,IF(3&lt;=SemanaActual,INDEX('Cronograma R. Operacional'!$AA$5:$AA$1000,$N22),""),IF(INDEX('Cronograma R. Operacional'!$I$5:$I$1000,$N22)="","",INDEX('Cronograma R. Operacional'!$I$5:$I$1000,$N22))))</f>
        <v/>
      </c>
      <c r="I22" s="68">
        <f>IF($N22="","",IF($P22&gt;0,IF(4&lt;=SemanaActual,INDEX('Cronograma R. Operacional'!$AB$5:$AB$1000,$N22),""),IF(INDEX('Cronograma R. Operacional'!$J$5:$J$1000,$N22)="","",INDEX('Cronograma R. Operacional'!$J$5:$J$1000,$N22))))</f>
        <v/>
      </c>
      <c r="J22" s="68">
        <f>IF($N22="","",INDEX('Cronograma R. Operacional'!$K$5:$K$1000,$N22))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Operacional'!$M$5:$M$1000,$N22)&amp;"")</f>
        <v/>
      </c>
      <c r="M22" s="71">
        <f>IF($N22="","",INDEX('Cronograma R. Operacional'!$N$5:$N$1000,$N22)&amp;"")</f>
        <v/>
      </c>
      <c r="N22">
        <f>IFERROR(MATCH(ROW()-4,rOrden_RO,0),"")</f>
        <v/>
      </c>
      <c r="O22">
        <f>IF($N22="","",INDEX('Cronograma R. Operacional'!$S$5:$S$1000,$N22))</f>
        <v/>
      </c>
      <c r="P22">
        <f>IF($N22="","",N(INDEX('Cronograma R. Operacional'!$T$5:$T$1000,$N22)))</f>
        <v/>
      </c>
    </row>
    <row r="23">
      <c r="A23" s="62">
        <f>IF($N23="","",INDEX('Cronograma R. Operacional'!$A$5:$A$1000,$N23))</f>
        <v/>
      </c>
      <c r="B23" s="71">
        <f>IF($N23="","",IF($O23="Sub","      ↳  "&amp;INDEX('Cronograma R. Operacional'!$C$5:$C$1000,$N23),INDEX('Cronograma R. Operacional'!$C$5:$C$1000,$N23)&amp;""))</f>
        <v/>
      </c>
      <c r="C23" s="77">
        <f>IF($N23="","",IF(INDEX('Cronograma R. Operacional'!$D$5:$D$1000,$N23)="","",INDEX('Cronograma R. Operacional'!$D$5:$D$1000,$N23)))</f>
        <v/>
      </c>
      <c r="D23" s="77">
        <f>IF($N23="","",IF(INDEX('Cronograma R. Operacional'!$E$5:$E$1000,$N23)="","",INDEX('Cronograma R. Operacional'!$E$5:$E$1000,$N23)))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Operacional'!$Y$5:$Y$1000,$N23),""),IF(INDEX('Cronograma R. Operacional'!$G$5:$G$1000,$N23)="","",INDEX('Cronograma R. Operacional'!$G$5:$G$1000,$N23))))</f>
        <v/>
      </c>
      <c r="G23" s="68">
        <f>IF($N23="","",IF($P23&gt;0,IF(2&lt;=SemanaActual,INDEX('Cronograma R. Operacional'!$Z$5:$Z$1000,$N23),""),IF(INDEX('Cronograma R. Operacional'!$H$5:$H$1000,$N23)="","",INDEX('Cronograma R. Operacional'!$H$5:$H$1000,$N23))))</f>
        <v/>
      </c>
      <c r="H23" s="68">
        <f>IF($N23="","",IF($P23&gt;0,IF(3&lt;=SemanaActual,INDEX('Cronograma R. Operacional'!$AA$5:$AA$1000,$N23),""),IF(INDEX('Cronograma R. Operacional'!$I$5:$I$1000,$N23)="","",INDEX('Cronograma R. Operacional'!$I$5:$I$1000,$N23))))</f>
        <v/>
      </c>
      <c r="I23" s="68">
        <f>IF($N23="","",IF($P23&gt;0,IF(4&lt;=SemanaActual,INDEX('Cronograma R. Operacional'!$AB$5:$AB$1000,$N23),""),IF(INDEX('Cronograma R. Operacional'!$J$5:$J$1000,$N23)="","",INDEX('Cronograma R. Operacional'!$J$5:$J$1000,$N23))))</f>
        <v/>
      </c>
      <c r="J23" s="68">
        <f>IF($N23="","",INDEX('Cronograma R. Operacional'!$K$5:$K$1000,$N23))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Operacional'!$M$5:$M$1000,$N23)&amp;"")</f>
        <v/>
      </c>
      <c r="M23" s="71">
        <f>IF($N23="","",INDEX('Cronograma R. Operacional'!$N$5:$N$1000,$N23)&amp;"")</f>
        <v/>
      </c>
      <c r="N23">
        <f>IFERROR(MATCH(ROW()-4,rOrden_RO,0),"")</f>
        <v/>
      </c>
      <c r="O23">
        <f>IF($N23="","",INDEX('Cronograma R. Operacional'!$S$5:$S$1000,$N23))</f>
        <v/>
      </c>
      <c r="P23">
        <f>IF($N23="","",N(INDEX('Cronograma R. Operacional'!$T$5:$T$1000,$N23)))</f>
        <v/>
      </c>
    </row>
    <row r="24">
      <c r="A24" s="62">
        <f>IF($N24="","",INDEX('Cronograma R. Operacional'!$A$5:$A$1000,$N24))</f>
        <v/>
      </c>
      <c r="B24" s="71">
        <f>IF($N24="","",IF($O24="Sub","      ↳  "&amp;INDEX('Cronograma R. Operacional'!$C$5:$C$1000,$N24),INDEX('Cronograma R. Operacional'!$C$5:$C$1000,$N24)&amp;""))</f>
        <v/>
      </c>
      <c r="C24" s="77">
        <f>IF($N24="","",IF(INDEX('Cronograma R. Operacional'!$D$5:$D$1000,$N24)="","",INDEX('Cronograma R. Operacional'!$D$5:$D$1000,$N24)))</f>
        <v/>
      </c>
      <c r="D24" s="77">
        <f>IF($N24="","",IF(INDEX('Cronograma R. Operacional'!$E$5:$E$1000,$N24)="","",INDEX('Cronograma R. Operacional'!$E$5:$E$1000,$N24)))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Operacional'!$Y$5:$Y$1000,$N24),""),IF(INDEX('Cronograma R. Operacional'!$G$5:$G$1000,$N24)="","",INDEX('Cronograma R. Operacional'!$G$5:$G$1000,$N24))))</f>
        <v/>
      </c>
      <c r="G24" s="68">
        <f>IF($N24="","",IF($P24&gt;0,IF(2&lt;=SemanaActual,INDEX('Cronograma R. Operacional'!$Z$5:$Z$1000,$N24),""),IF(INDEX('Cronograma R. Operacional'!$H$5:$H$1000,$N24)="","",INDEX('Cronograma R. Operacional'!$H$5:$H$1000,$N24))))</f>
        <v/>
      </c>
      <c r="H24" s="68">
        <f>IF($N24="","",IF($P24&gt;0,IF(3&lt;=SemanaActual,INDEX('Cronograma R. Operacional'!$AA$5:$AA$1000,$N24),""),IF(INDEX('Cronograma R. Operacional'!$I$5:$I$1000,$N24)="","",INDEX('Cronograma R. Operacional'!$I$5:$I$1000,$N24))))</f>
        <v/>
      </c>
      <c r="I24" s="68">
        <f>IF($N24="","",IF($P24&gt;0,IF(4&lt;=SemanaActual,INDEX('Cronograma R. Operacional'!$AB$5:$AB$1000,$N24),""),IF(INDEX('Cronograma R. Operacional'!$J$5:$J$1000,$N24)="","",INDEX('Cronograma R. Operacional'!$J$5:$J$1000,$N24))))</f>
        <v/>
      </c>
      <c r="J24" s="68">
        <f>IF($N24="","",INDEX('Cronograma R. Operacional'!$K$5:$K$1000,$N24))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Operacional'!$M$5:$M$1000,$N24)&amp;"")</f>
        <v/>
      </c>
      <c r="M24" s="71">
        <f>IF($N24="","",INDEX('Cronograma R. Operacional'!$N$5:$N$1000,$N24)&amp;"")</f>
        <v/>
      </c>
      <c r="N24">
        <f>IFERROR(MATCH(ROW()-4,rOrden_RO,0),"")</f>
        <v/>
      </c>
      <c r="O24">
        <f>IF($N24="","",INDEX('Cronograma R. Operacional'!$S$5:$S$1000,$N24))</f>
        <v/>
      </c>
      <c r="P24">
        <f>IF($N24="","",N(INDEX('Cronograma R. Operacional'!$T$5:$T$1000,$N24)))</f>
        <v/>
      </c>
    </row>
    <row r="25">
      <c r="A25" s="62">
        <f>IF($N25="","",INDEX('Cronograma R. Operacional'!$A$5:$A$1000,$N25))</f>
        <v/>
      </c>
      <c r="B25" s="71">
        <f>IF($N25="","",IF($O25="Sub","      ↳  "&amp;INDEX('Cronograma R. Operacional'!$C$5:$C$1000,$N25),INDEX('Cronograma R. Operacional'!$C$5:$C$1000,$N25)&amp;""))</f>
        <v/>
      </c>
      <c r="C25" s="77">
        <f>IF($N25="","",IF(INDEX('Cronograma R. Operacional'!$D$5:$D$1000,$N25)="","",INDEX('Cronograma R. Operacional'!$D$5:$D$1000,$N25)))</f>
        <v/>
      </c>
      <c r="D25" s="77">
        <f>IF($N25="","",IF(INDEX('Cronograma R. Operacional'!$E$5:$E$1000,$N25)="","",INDEX('Cronograma R. Operacional'!$E$5:$E$1000,$N25)))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Operacional'!$Y$5:$Y$1000,$N25),""),IF(INDEX('Cronograma R. Operacional'!$G$5:$G$1000,$N25)="","",INDEX('Cronograma R. Operacional'!$G$5:$G$1000,$N25))))</f>
        <v/>
      </c>
      <c r="G25" s="68">
        <f>IF($N25="","",IF($P25&gt;0,IF(2&lt;=SemanaActual,INDEX('Cronograma R. Operacional'!$Z$5:$Z$1000,$N25),""),IF(INDEX('Cronograma R. Operacional'!$H$5:$H$1000,$N25)="","",INDEX('Cronograma R. Operacional'!$H$5:$H$1000,$N25))))</f>
        <v/>
      </c>
      <c r="H25" s="68">
        <f>IF($N25="","",IF($P25&gt;0,IF(3&lt;=SemanaActual,INDEX('Cronograma R. Operacional'!$AA$5:$AA$1000,$N25),""),IF(INDEX('Cronograma R. Operacional'!$I$5:$I$1000,$N25)="","",INDEX('Cronograma R. Operacional'!$I$5:$I$1000,$N25))))</f>
        <v/>
      </c>
      <c r="I25" s="68">
        <f>IF($N25="","",IF($P25&gt;0,IF(4&lt;=SemanaActual,INDEX('Cronograma R. Operacional'!$AB$5:$AB$1000,$N25),""),IF(INDEX('Cronograma R. Operacional'!$J$5:$J$1000,$N25)="","",INDEX('Cronograma R. Operacional'!$J$5:$J$1000,$N25))))</f>
        <v/>
      </c>
      <c r="J25" s="68">
        <f>IF($N25="","",INDEX('Cronograma R. Operacional'!$K$5:$K$1000,$N25))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Operacional'!$M$5:$M$1000,$N25)&amp;"")</f>
        <v/>
      </c>
      <c r="M25" s="71">
        <f>IF($N25="","",INDEX('Cronograma R. Operacional'!$N$5:$N$1000,$N25)&amp;"")</f>
        <v/>
      </c>
      <c r="N25">
        <f>IFERROR(MATCH(ROW()-4,rOrden_RO,0),"")</f>
        <v/>
      </c>
      <c r="O25">
        <f>IF($N25="","",INDEX('Cronograma R. Operacional'!$S$5:$S$1000,$N25))</f>
        <v/>
      </c>
      <c r="P25">
        <f>IF($N25="","",N(INDEX('Cronograma R. Operacional'!$T$5:$T$1000,$N25)))</f>
        <v/>
      </c>
    </row>
    <row r="26">
      <c r="A26" s="62">
        <f>IF($N26="","",INDEX('Cronograma R. Operacional'!$A$5:$A$1000,$N26))</f>
        <v/>
      </c>
      <c r="B26" s="71">
        <f>IF($N26="","",IF($O26="Sub","      ↳  "&amp;INDEX('Cronograma R. Operacional'!$C$5:$C$1000,$N26),INDEX('Cronograma R. Operacional'!$C$5:$C$1000,$N26)&amp;""))</f>
        <v/>
      </c>
      <c r="C26" s="77">
        <f>IF($N26="","",IF(INDEX('Cronograma R. Operacional'!$D$5:$D$1000,$N26)="","",INDEX('Cronograma R. Operacional'!$D$5:$D$1000,$N26)))</f>
        <v/>
      </c>
      <c r="D26" s="77">
        <f>IF($N26="","",IF(INDEX('Cronograma R. Operacional'!$E$5:$E$1000,$N26)="","",INDEX('Cronograma R. Operacional'!$E$5:$E$1000,$N26)))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Operacional'!$Y$5:$Y$1000,$N26),""),IF(INDEX('Cronograma R. Operacional'!$G$5:$G$1000,$N26)="","",INDEX('Cronograma R. Operacional'!$G$5:$G$1000,$N26))))</f>
        <v/>
      </c>
      <c r="G26" s="68">
        <f>IF($N26="","",IF($P26&gt;0,IF(2&lt;=SemanaActual,INDEX('Cronograma R. Operacional'!$Z$5:$Z$1000,$N26),""),IF(INDEX('Cronograma R. Operacional'!$H$5:$H$1000,$N26)="","",INDEX('Cronograma R. Operacional'!$H$5:$H$1000,$N26))))</f>
        <v/>
      </c>
      <c r="H26" s="68">
        <f>IF($N26="","",IF($P26&gt;0,IF(3&lt;=SemanaActual,INDEX('Cronograma R. Operacional'!$AA$5:$AA$1000,$N26),""),IF(INDEX('Cronograma R. Operacional'!$I$5:$I$1000,$N26)="","",INDEX('Cronograma R. Operacional'!$I$5:$I$1000,$N26))))</f>
        <v/>
      </c>
      <c r="I26" s="68">
        <f>IF($N26="","",IF($P26&gt;0,IF(4&lt;=SemanaActual,INDEX('Cronograma R. Operacional'!$AB$5:$AB$1000,$N26),""),IF(INDEX('Cronograma R. Operacional'!$J$5:$J$1000,$N26)="","",INDEX('Cronograma R. Operacional'!$J$5:$J$1000,$N26))))</f>
        <v/>
      </c>
      <c r="J26" s="68">
        <f>IF($N26="","",INDEX('Cronograma R. Operacional'!$K$5:$K$1000,$N26))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Operacional'!$M$5:$M$1000,$N26)&amp;"")</f>
        <v/>
      </c>
      <c r="M26" s="71">
        <f>IF($N26="","",INDEX('Cronograma R. Operacional'!$N$5:$N$1000,$N26)&amp;"")</f>
        <v/>
      </c>
      <c r="N26">
        <f>IFERROR(MATCH(ROW()-4,rOrden_RO,0),"")</f>
        <v/>
      </c>
      <c r="O26">
        <f>IF($N26="","",INDEX('Cronograma R. Operacional'!$S$5:$S$1000,$N26))</f>
        <v/>
      </c>
      <c r="P26">
        <f>IF($N26="","",N(INDEX('Cronograma R. Operacional'!$T$5:$T$1000,$N26)))</f>
        <v/>
      </c>
    </row>
    <row r="27">
      <c r="A27" s="62">
        <f>IF($N27="","",INDEX('Cronograma R. Operacional'!$A$5:$A$1000,$N27))</f>
        <v/>
      </c>
      <c r="B27" s="71">
        <f>IF($N27="","",IF($O27="Sub","      ↳  "&amp;INDEX('Cronograma R. Operacional'!$C$5:$C$1000,$N27),INDEX('Cronograma R. Operacional'!$C$5:$C$1000,$N27)&amp;""))</f>
        <v/>
      </c>
      <c r="C27" s="77">
        <f>IF($N27="","",IF(INDEX('Cronograma R. Operacional'!$D$5:$D$1000,$N27)="","",INDEX('Cronograma R. Operacional'!$D$5:$D$1000,$N27)))</f>
        <v/>
      </c>
      <c r="D27" s="77">
        <f>IF($N27="","",IF(INDEX('Cronograma R. Operacional'!$E$5:$E$1000,$N27)="","",INDEX('Cronograma R. Operacional'!$E$5:$E$1000,$N27)))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Operacional'!$Y$5:$Y$1000,$N27),""),IF(INDEX('Cronograma R. Operacional'!$G$5:$G$1000,$N27)="","",INDEX('Cronograma R. Operacional'!$G$5:$G$1000,$N27))))</f>
        <v/>
      </c>
      <c r="G27" s="68">
        <f>IF($N27="","",IF($P27&gt;0,IF(2&lt;=SemanaActual,INDEX('Cronograma R. Operacional'!$Z$5:$Z$1000,$N27),""),IF(INDEX('Cronograma R. Operacional'!$H$5:$H$1000,$N27)="","",INDEX('Cronograma R. Operacional'!$H$5:$H$1000,$N27))))</f>
        <v/>
      </c>
      <c r="H27" s="68">
        <f>IF($N27="","",IF($P27&gt;0,IF(3&lt;=SemanaActual,INDEX('Cronograma R. Operacional'!$AA$5:$AA$1000,$N27),""),IF(INDEX('Cronograma R. Operacional'!$I$5:$I$1000,$N27)="","",INDEX('Cronograma R. Operacional'!$I$5:$I$1000,$N27))))</f>
        <v/>
      </c>
      <c r="I27" s="68">
        <f>IF($N27="","",IF($P27&gt;0,IF(4&lt;=SemanaActual,INDEX('Cronograma R. Operacional'!$AB$5:$AB$1000,$N27),""),IF(INDEX('Cronograma R. Operacional'!$J$5:$J$1000,$N27)="","",INDEX('Cronograma R. Operacional'!$J$5:$J$1000,$N27))))</f>
        <v/>
      </c>
      <c r="J27" s="68">
        <f>IF($N27="","",INDEX('Cronograma R. Operacional'!$K$5:$K$1000,$N27))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Operacional'!$M$5:$M$1000,$N27)&amp;"")</f>
        <v/>
      </c>
      <c r="M27" s="71">
        <f>IF($N27="","",INDEX('Cronograma R. Operacional'!$N$5:$N$1000,$N27)&amp;"")</f>
        <v/>
      </c>
      <c r="N27">
        <f>IFERROR(MATCH(ROW()-4,rOrden_RO,0),"")</f>
        <v/>
      </c>
      <c r="O27">
        <f>IF($N27="","",INDEX('Cronograma R. Operacional'!$S$5:$S$1000,$N27))</f>
        <v/>
      </c>
      <c r="P27">
        <f>IF($N27="","",N(INDEX('Cronograma R. Operacional'!$T$5:$T$1000,$N27)))</f>
        <v/>
      </c>
    </row>
    <row r="28">
      <c r="A28" s="62">
        <f>IF($N28="","",INDEX('Cronograma R. Operacional'!$A$5:$A$1000,$N28))</f>
        <v/>
      </c>
      <c r="B28" s="71">
        <f>IF($N28="","",IF($O28="Sub","      ↳  "&amp;INDEX('Cronograma R. Operacional'!$C$5:$C$1000,$N28),INDEX('Cronograma R. Operacional'!$C$5:$C$1000,$N28)&amp;""))</f>
        <v/>
      </c>
      <c r="C28" s="77">
        <f>IF($N28="","",IF(INDEX('Cronograma R. Operacional'!$D$5:$D$1000,$N28)="","",INDEX('Cronograma R. Operacional'!$D$5:$D$1000,$N28)))</f>
        <v/>
      </c>
      <c r="D28" s="77">
        <f>IF($N28="","",IF(INDEX('Cronograma R. Operacional'!$E$5:$E$1000,$N28)="","",INDEX('Cronograma R. Operacional'!$E$5:$E$1000,$N28)))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Operacional'!$Y$5:$Y$1000,$N28),""),IF(INDEX('Cronograma R. Operacional'!$G$5:$G$1000,$N28)="","",INDEX('Cronograma R. Operacional'!$G$5:$G$1000,$N28))))</f>
        <v/>
      </c>
      <c r="G28" s="68">
        <f>IF($N28="","",IF($P28&gt;0,IF(2&lt;=SemanaActual,INDEX('Cronograma R. Operacional'!$Z$5:$Z$1000,$N28),""),IF(INDEX('Cronograma R. Operacional'!$H$5:$H$1000,$N28)="","",INDEX('Cronograma R. Operacional'!$H$5:$H$1000,$N28))))</f>
        <v/>
      </c>
      <c r="H28" s="68">
        <f>IF($N28="","",IF($P28&gt;0,IF(3&lt;=SemanaActual,INDEX('Cronograma R. Operacional'!$AA$5:$AA$1000,$N28),""),IF(INDEX('Cronograma R. Operacional'!$I$5:$I$1000,$N28)="","",INDEX('Cronograma R. Operacional'!$I$5:$I$1000,$N28))))</f>
        <v/>
      </c>
      <c r="I28" s="68">
        <f>IF($N28="","",IF($P28&gt;0,IF(4&lt;=SemanaActual,INDEX('Cronograma R. Operacional'!$AB$5:$AB$1000,$N28),""),IF(INDEX('Cronograma R. Operacional'!$J$5:$J$1000,$N28)="","",INDEX('Cronograma R. Operacional'!$J$5:$J$1000,$N28))))</f>
        <v/>
      </c>
      <c r="J28" s="68">
        <f>IF($N28="","",INDEX('Cronograma R. Operacional'!$K$5:$K$1000,$N28))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Operacional'!$M$5:$M$1000,$N28)&amp;"")</f>
        <v/>
      </c>
      <c r="M28" s="71">
        <f>IF($N28="","",INDEX('Cronograma R. Operacional'!$N$5:$N$1000,$N28)&amp;"")</f>
        <v/>
      </c>
      <c r="N28">
        <f>IFERROR(MATCH(ROW()-4,rOrden_RO,0),"")</f>
        <v/>
      </c>
      <c r="O28">
        <f>IF($N28="","",INDEX('Cronograma R. Operacional'!$S$5:$S$1000,$N28))</f>
        <v/>
      </c>
      <c r="P28">
        <f>IF($N28="","",N(INDEX('Cronograma R. Operacional'!$T$5:$T$1000,$N28)))</f>
        <v/>
      </c>
    </row>
    <row r="29">
      <c r="A29" s="62">
        <f>IF($N29="","",INDEX('Cronograma R. Operacional'!$A$5:$A$1000,$N29))</f>
        <v/>
      </c>
      <c r="B29" s="71">
        <f>IF($N29="","",IF($O29="Sub","      ↳  "&amp;INDEX('Cronograma R. Operacional'!$C$5:$C$1000,$N29),INDEX('Cronograma R. Operacional'!$C$5:$C$1000,$N29)&amp;""))</f>
        <v/>
      </c>
      <c r="C29" s="77">
        <f>IF($N29="","",IF(INDEX('Cronograma R. Operacional'!$D$5:$D$1000,$N29)="","",INDEX('Cronograma R. Operacional'!$D$5:$D$1000,$N29)))</f>
        <v/>
      </c>
      <c r="D29" s="77">
        <f>IF($N29="","",IF(INDEX('Cronograma R. Operacional'!$E$5:$E$1000,$N29)="","",INDEX('Cronograma R. Operacional'!$E$5:$E$1000,$N29)))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Operacional'!$Y$5:$Y$1000,$N29),""),IF(INDEX('Cronograma R. Operacional'!$G$5:$G$1000,$N29)="","",INDEX('Cronograma R. Operacional'!$G$5:$G$1000,$N29))))</f>
        <v/>
      </c>
      <c r="G29" s="68">
        <f>IF($N29="","",IF($P29&gt;0,IF(2&lt;=SemanaActual,INDEX('Cronograma R. Operacional'!$Z$5:$Z$1000,$N29),""),IF(INDEX('Cronograma R. Operacional'!$H$5:$H$1000,$N29)="","",INDEX('Cronograma R. Operacional'!$H$5:$H$1000,$N29))))</f>
        <v/>
      </c>
      <c r="H29" s="68">
        <f>IF($N29="","",IF($P29&gt;0,IF(3&lt;=SemanaActual,INDEX('Cronograma R. Operacional'!$AA$5:$AA$1000,$N29),""),IF(INDEX('Cronograma R. Operacional'!$I$5:$I$1000,$N29)="","",INDEX('Cronograma R. Operacional'!$I$5:$I$1000,$N29))))</f>
        <v/>
      </c>
      <c r="I29" s="68">
        <f>IF($N29="","",IF($P29&gt;0,IF(4&lt;=SemanaActual,INDEX('Cronograma R. Operacional'!$AB$5:$AB$1000,$N29),""),IF(INDEX('Cronograma R. Operacional'!$J$5:$J$1000,$N29)="","",INDEX('Cronograma R. Operacional'!$J$5:$J$1000,$N29))))</f>
        <v/>
      </c>
      <c r="J29" s="68">
        <f>IF($N29="","",INDEX('Cronograma R. Operacional'!$K$5:$K$1000,$N29))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Operacional'!$M$5:$M$1000,$N29)&amp;"")</f>
        <v/>
      </c>
      <c r="M29" s="71">
        <f>IF($N29="","",INDEX('Cronograma R. Operacional'!$N$5:$N$1000,$N29)&amp;"")</f>
        <v/>
      </c>
      <c r="N29">
        <f>IFERROR(MATCH(ROW()-4,rOrden_RO,0),"")</f>
        <v/>
      </c>
      <c r="O29">
        <f>IF($N29="","",INDEX('Cronograma R. Operacional'!$S$5:$S$1000,$N29))</f>
        <v/>
      </c>
      <c r="P29">
        <f>IF($N29="","",N(INDEX('Cronograma R. Operacional'!$T$5:$T$1000,$N29)))</f>
        <v/>
      </c>
    </row>
    <row r="30">
      <c r="A30" s="62">
        <f>IF($N30="","",INDEX('Cronograma R. Operacional'!$A$5:$A$1000,$N30))</f>
        <v/>
      </c>
      <c r="B30" s="71">
        <f>IF($N30="","",IF($O30="Sub","      ↳  "&amp;INDEX('Cronograma R. Operacional'!$C$5:$C$1000,$N30),INDEX('Cronograma R. Operacional'!$C$5:$C$1000,$N30)&amp;""))</f>
        <v/>
      </c>
      <c r="C30" s="77">
        <f>IF($N30="","",IF(INDEX('Cronograma R. Operacional'!$D$5:$D$1000,$N30)="","",INDEX('Cronograma R. Operacional'!$D$5:$D$1000,$N30)))</f>
        <v/>
      </c>
      <c r="D30" s="77">
        <f>IF($N30="","",IF(INDEX('Cronograma R. Operacional'!$E$5:$E$1000,$N30)="","",INDEX('Cronograma R. Operacional'!$E$5:$E$1000,$N30)))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Operacional'!$Y$5:$Y$1000,$N30),""),IF(INDEX('Cronograma R. Operacional'!$G$5:$G$1000,$N30)="","",INDEX('Cronograma R. Operacional'!$G$5:$G$1000,$N30))))</f>
        <v/>
      </c>
      <c r="G30" s="68">
        <f>IF($N30="","",IF($P30&gt;0,IF(2&lt;=SemanaActual,INDEX('Cronograma R. Operacional'!$Z$5:$Z$1000,$N30),""),IF(INDEX('Cronograma R. Operacional'!$H$5:$H$1000,$N30)="","",INDEX('Cronograma R. Operacional'!$H$5:$H$1000,$N30))))</f>
        <v/>
      </c>
      <c r="H30" s="68">
        <f>IF($N30="","",IF($P30&gt;0,IF(3&lt;=SemanaActual,INDEX('Cronograma R. Operacional'!$AA$5:$AA$1000,$N30),""),IF(INDEX('Cronograma R. Operacional'!$I$5:$I$1000,$N30)="","",INDEX('Cronograma R. Operacional'!$I$5:$I$1000,$N30))))</f>
        <v/>
      </c>
      <c r="I30" s="68">
        <f>IF($N30="","",IF($P30&gt;0,IF(4&lt;=SemanaActual,INDEX('Cronograma R. Operacional'!$AB$5:$AB$1000,$N30),""),IF(INDEX('Cronograma R. Operacional'!$J$5:$J$1000,$N30)="","",INDEX('Cronograma R. Operacional'!$J$5:$J$1000,$N30))))</f>
        <v/>
      </c>
      <c r="J30" s="68">
        <f>IF($N30="","",INDEX('Cronograma R. Operacional'!$K$5:$K$1000,$N30))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Operacional'!$M$5:$M$1000,$N30)&amp;"")</f>
        <v/>
      </c>
      <c r="M30" s="71">
        <f>IF($N30="","",INDEX('Cronograma R. Operacional'!$N$5:$N$1000,$N30)&amp;"")</f>
        <v/>
      </c>
      <c r="N30">
        <f>IFERROR(MATCH(ROW()-4,rOrden_RO,0),"")</f>
        <v/>
      </c>
      <c r="O30">
        <f>IF($N30="","",INDEX('Cronograma R. Operacional'!$S$5:$S$1000,$N30))</f>
        <v/>
      </c>
      <c r="P30">
        <f>IF($N30="","",N(INDEX('Cronograma R. Operacional'!$T$5:$T$1000,$N30)))</f>
        <v/>
      </c>
    </row>
    <row r="31">
      <c r="A31" s="62">
        <f>IF($N31="","",INDEX('Cronograma R. Operacional'!$A$5:$A$1000,$N31))</f>
        <v/>
      </c>
      <c r="B31" s="71">
        <f>IF($N31="","",IF($O31="Sub","      ↳  "&amp;INDEX('Cronograma R. Operacional'!$C$5:$C$1000,$N31),INDEX('Cronograma R. Operacional'!$C$5:$C$1000,$N31)&amp;""))</f>
        <v/>
      </c>
      <c r="C31" s="77">
        <f>IF($N31="","",IF(INDEX('Cronograma R. Operacional'!$D$5:$D$1000,$N31)="","",INDEX('Cronograma R. Operacional'!$D$5:$D$1000,$N31)))</f>
        <v/>
      </c>
      <c r="D31" s="77">
        <f>IF($N31="","",IF(INDEX('Cronograma R. Operacional'!$E$5:$E$1000,$N31)="","",INDEX('Cronograma R. Operacional'!$E$5:$E$1000,$N31)))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Operacional'!$Y$5:$Y$1000,$N31),""),IF(INDEX('Cronograma R. Operacional'!$G$5:$G$1000,$N31)="","",INDEX('Cronograma R. Operacional'!$G$5:$G$1000,$N31))))</f>
        <v/>
      </c>
      <c r="G31" s="68">
        <f>IF($N31="","",IF($P31&gt;0,IF(2&lt;=SemanaActual,INDEX('Cronograma R. Operacional'!$Z$5:$Z$1000,$N31),""),IF(INDEX('Cronograma R. Operacional'!$H$5:$H$1000,$N31)="","",INDEX('Cronograma R. Operacional'!$H$5:$H$1000,$N31))))</f>
        <v/>
      </c>
      <c r="H31" s="68">
        <f>IF($N31="","",IF($P31&gt;0,IF(3&lt;=SemanaActual,INDEX('Cronograma R. Operacional'!$AA$5:$AA$1000,$N31),""),IF(INDEX('Cronograma R. Operacional'!$I$5:$I$1000,$N31)="","",INDEX('Cronograma R. Operacional'!$I$5:$I$1000,$N31))))</f>
        <v/>
      </c>
      <c r="I31" s="68">
        <f>IF($N31="","",IF($P31&gt;0,IF(4&lt;=SemanaActual,INDEX('Cronograma R. Operacional'!$AB$5:$AB$1000,$N31),""),IF(INDEX('Cronograma R. Operacional'!$J$5:$J$1000,$N31)="","",INDEX('Cronograma R. Operacional'!$J$5:$J$1000,$N31))))</f>
        <v/>
      </c>
      <c r="J31" s="68">
        <f>IF($N31="","",INDEX('Cronograma R. Operacional'!$K$5:$K$1000,$N31))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Operacional'!$M$5:$M$1000,$N31)&amp;"")</f>
        <v/>
      </c>
      <c r="M31" s="71">
        <f>IF($N31="","",INDEX('Cronograma R. Operacional'!$N$5:$N$1000,$N31)&amp;"")</f>
        <v/>
      </c>
      <c r="N31">
        <f>IFERROR(MATCH(ROW()-4,rOrden_RO,0),"")</f>
        <v/>
      </c>
      <c r="O31">
        <f>IF($N31="","",INDEX('Cronograma R. Operacional'!$S$5:$S$1000,$N31))</f>
        <v/>
      </c>
      <c r="P31">
        <f>IF($N31="","",N(INDEX('Cronograma R. Operacional'!$T$5:$T$1000,$N31)))</f>
        <v/>
      </c>
    </row>
    <row r="32">
      <c r="A32" s="62">
        <f>IF($N32="","",INDEX('Cronograma R. Operacional'!$A$5:$A$1000,$N32))</f>
        <v/>
      </c>
      <c r="B32" s="71">
        <f>IF($N32="","",IF($O32="Sub","      ↳  "&amp;INDEX('Cronograma R. Operacional'!$C$5:$C$1000,$N32),INDEX('Cronograma R. Operacional'!$C$5:$C$1000,$N32)&amp;""))</f>
        <v/>
      </c>
      <c r="C32" s="77">
        <f>IF($N32="","",IF(INDEX('Cronograma R. Operacional'!$D$5:$D$1000,$N32)="","",INDEX('Cronograma R. Operacional'!$D$5:$D$1000,$N32)))</f>
        <v/>
      </c>
      <c r="D32" s="77">
        <f>IF($N32="","",IF(INDEX('Cronograma R. Operacional'!$E$5:$E$1000,$N32)="","",INDEX('Cronograma R. Operacional'!$E$5:$E$1000,$N32)))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Operacional'!$Y$5:$Y$1000,$N32),""),IF(INDEX('Cronograma R. Operacional'!$G$5:$G$1000,$N32)="","",INDEX('Cronograma R. Operacional'!$G$5:$G$1000,$N32))))</f>
        <v/>
      </c>
      <c r="G32" s="68">
        <f>IF($N32="","",IF($P32&gt;0,IF(2&lt;=SemanaActual,INDEX('Cronograma R. Operacional'!$Z$5:$Z$1000,$N32),""),IF(INDEX('Cronograma R. Operacional'!$H$5:$H$1000,$N32)="","",INDEX('Cronograma R. Operacional'!$H$5:$H$1000,$N32))))</f>
        <v/>
      </c>
      <c r="H32" s="68">
        <f>IF($N32="","",IF($P32&gt;0,IF(3&lt;=SemanaActual,INDEX('Cronograma R. Operacional'!$AA$5:$AA$1000,$N32),""),IF(INDEX('Cronograma R. Operacional'!$I$5:$I$1000,$N32)="","",INDEX('Cronograma R. Operacional'!$I$5:$I$1000,$N32))))</f>
        <v/>
      </c>
      <c r="I32" s="68">
        <f>IF($N32="","",IF($P32&gt;0,IF(4&lt;=SemanaActual,INDEX('Cronograma R. Operacional'!$AB$5:$AB$1000,$N32),""),IF(INDEX('Cronograma R. Operacional'!$J$5:$J$1000,$N32)="","",INDEX('Cronograma R. Operacional'!$J$5:$J$1000,$N32))))</f>
        <v/>
      </c>
      <c r="J32" s="68">
        <f>IF($N32="","",INDEX('Cronograma R. Operacional'!$K$5:$K$1000,$N32))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Operacional'!$M$5:$M$1000,$N32)&amp;"")</f>
        <v/>
      </c>
      <c r="M32" s="71">
        <f>IF($N32="","",INDEX('Cronograma R. Operacional'!$N$5:$N$1000,$N32)&amp;"")</f>
        <v/>
      </c>
      <c r="N32">
        <f>IFERROR(MATCH(ROW()-4,rOrden_RO,0),"")</f>
        <v/>
      </c>
      <c r="O32">
        <f>IF($N32="","",INDEX('Cronograma R. Operacional'!$S$5:$S$1000,$N32))</f>
        <v/>
      </c>
      <c r="P32">
        <f>IF($N32="","",N(INDEX('Cronograma R. Operacional'!$T$5:$T$1000,$N32)))</f>
        <v/>
      </c>
    </row>
    <row r="33">
      <c r="A33" s="62">
        <f>IF($N33="","",INDEX('Cronograma R. Operacional'!$A$5:$A$1000,$N33))</f>
        <v/>
      </c>
      <c r="B33" s="71">
        <f>IF($N33="","",IF($O33="Sub","      ↳  "&amp;INDEX('Cronograma R. Operacional'!$C$5:$C$1000,$N33),INDEX('Cronograma R. Operacional'!$C$5:$C$1000,$N33)&amp;""))</f>
        <v/>
      </c>
      <c r="C33" s="77">
        <f>IF($N33="","",IF(INDEX('Cronograma R. Operacional'!$D$5:$D$1000,$N33)="","",INDEX('Cronograma R. Operacional'!$D$5:$D$1000,$N33)))</f>
        <v/>
      </c>
      <c r="D33" s="77">
        <f>IF($N33="","",IF(INDEX('Cronograma R. Operacional'!$E$5:$E$1000,$N33)="","",INDEX('Cronograma R. Operacional'!$E$5:$E$1000,$N33)))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Operacional'!$Y$5:$Y$1000,$N33),""),IF(INDEX('Cronograma R. Operacional'!$G$5:$G$1000,$N33)="","",INDEX('Cronograma R. Operacional'!$G$5:$G$1000,$N33))))</f>
        <v/>
      </c>
      <c r="G33" s="68">
        <f>IF($N33="","",IF($P33&gt;0,IF(2&lt;=SemanaActual,INDEX('Cronograma R. Operacional'!$Z$5:$Z$1000,$N33),""),IF(INDEX('Cronograma R. Operacional'!$H$5:$H$1000,$N33)="","",INDEX('Cronograma R. Operacional'!$H$5:$H$1000,$N33))))</f>
        <v/>
      </c>
      <c r="H33" s="68">
        <f>IF($N33="","",IF($P33&gt;0,IF(3&lt;=SemanaActual,INDEX('Cronograma R. Operacional'!$AA$5:$AA$1000,$N33),""),IF(INDEX('Cronograma R. Operacional'!$I$5:$I$1000,$N33)="","",INDEX('Cronograma R. Operacional'!$I$5:$I$1000,$N33))))</f>
        <v/>
      </c>
      <c r="I33" s="68">
        <f>IF($N33="","",IF($P33&gt;0,IF(4&lt;=SemanaActual,INDEX('Cronograma R. Operacional'!$AB$5:$AB$1000,$N33),""),IF(INDEX('Cronograma R. Operacional'!$J$5:$J$1000,$N33)="","",INDEX('Cronograma R. Operacional'!$J$5:$J$1000,$N33))))</f>
        <v/>
      </c>
      <c r="J33" s="68">
        <f>IF($N33="","",INDEX('Cronograma R. Operacional'!$K$5:$K$1000,$N33))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Operacional'!$M$5:$M$1000,$N33)&amp;"")</f>
        <v/>
      </c>
      <c r="M33" s="71">
        <f>IF($N33="","",INDEX('Cronograma R. Operacional'!$N$5:$N$1000,$N33)&amp;"")</f>
        <v/>
      </c>
      <c r="N33">
        <f>IFERROR(MATCH(ROW()-4,rOrden_RO,0),"")</f>
        <v/>
      </c>
      <c r="O33">
        <f>IF($N33="","",INDEX('Cronograma R. Operacional'!$S$5:$S$1000,$N33))</f>
        <v/>
      </c>
      <c r="P33">
        <f>IF($N33="","",N(INDEX('Cronograma R. Operacional'!$T$5:$T$1000,$N33)))</f>
        <v/>
      </c>
    </row>
    <row r="34">
      <c r="A34" s="62">
        <f>IF($N34="","",INDEX('Cronograma R. Operacional'!$A$5:$A$1000,$N34))</f>
        <v/>
      </c>
      <c r="B34" s="71">
        <f>IF($N34="","",IF($O34="Sub","      ↳  "&amp;INDEX('Cronograma R. Operacional'!$C$5:$C$1000,$N34),INDEX('Cronograma R. Operacional'!$C$5:$C$1000,$N34)&amp;""))</f>
        <v/>
      </c>
      <c r="C34" s="77">
        <f>IF($N34="","",IF(INDEX('Cronograma R. Operacional'!$D$5:$D$1000,$N34)="","",INDEX('Cronograma R. Operacional'!$D$5:$D$1000,$N34)))</f>
        <v/>
      </c>
      <c r="D34" s="77">
        <f>IF($N34="","",IF(INDEX('Cronograma R. Operacional'!$E$5:$E$1000,$N34)="","",INDEX('Cronograma R. Operacional'!$E$5:$E$1000,$N34)))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Operacional'!$Y$5:$Y$1000,$N34),""),IF(INDEX('Cronograma R. Operacional'!$G$5:$G$1000,$N34)="","",INDEX('Cronograma R. Operacional'!$G$5:$G$1000,$N34))))</f>
        <v/>
      </c>
      <c r="G34" s="68">
        <f>IF($N34="","",IF($P34&gt;0,IF(2&lt;=SemanaActual,INDEX('Cronograma R. Operacional'!$Z$5:$Z$1000,$N34),""),IF(INDEX('Cronograma R. Operacional'!$H$5:$H$1000,$N34)="","",INDEX('Cronograma R. Operacional'!$H$5:$H$1000,$N34))))</f>
        <v/>
      </c>
      <c r="H34" s="68">
        <f>IF($N34="","",IF($P34&gt;0,IF(3&lt;=SemanaActual,INDEX('Cronograma R. Operacional'!$AA$5:$AA$1000,$N34),""),IF(INDEX('Cronograma R. Operacional'!$I$5:$I$1000,$N34)="","",INDEX('Cronograma R. Operacional'!$I$5:$I$1000,$N34))))</f>
        <v/>
      </c>
      <c r="I34" s="68">
        <f>IF($N34="","",IF($P34&gt;0,IF(4&lt;=SemanaActual,INDEX('Cronograma R. Operacional'!$AB$5:$AB$1000,$N34),""),IF(INDEX('Cronograma R. Operacional'!$J$5:$J$1000,$N34)="","",INDEX('Cronograma R. Operacional'!$J$5:$J$1000,$N34))))</f>
        <v/>
      </c>
      <c r="J34" s="68">
        <f>IF($N34="","",INDEX('Cronograma R. Operacional'!$K$5:$K$1000,$N34))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Operacional'!$M$5:$M$1000,$N34)&amp;"")</f>
        <v/>
      </c>
      <c r="M34" s="71">
        <f>IF($N34="","",INDEX('Cronograma R. Operacional'!$N$5:$N$1000,$N34)&amp;"")</f>
        <v/>
      </c>
      <c r="N34">
        <f>IFERROR(MATCH(ROW()-4,rOrden_RO,0),"")</f>
        <v/>
      </c>
      <c r="O34">
        <f>IF($N34="","",INDEX('Cronograma R. Operacional'!$S$5:$S$1000,$N34))</f>
        <v/>
      </c>
      <c r="P34">
        <f>IF($N34="","",N(INDEX('Cronograma R. Operacional'!$T$5:$T$1000,$N34)))</f>
        <v/>
      </c>
    </row>
    <row r="35">
      <c r="A35" s="62">
        <f>IF($N35="","",INDEX('Cronograma R. Operacional'!$A$5:$A$1000,$N35))</f>
        <v/>
      </c>
      <c r="B35" s="71">
        <f>IF($N35="","",IF($O35="Sub","      ↳  "&amp;INDEX('Cronograma R. Operacional'!$C$5:$C$1000,$N35),INDEX('Cronograma R. Operacional'!$C$5:$C$1000,$N35)&amp;""))</f>
        <v/>
      </c>
      <c r="C35" s="77">
        <f>IF($N35="","",IF(INDEX('Cronograma R. Operacional'!$D$5:$D$1000,$N35)="","",INDEX('Cronograma R. Operacional'!$D$5:$D$1000,$N35)))</f>
        <v/>
      </c>
      <c r="D35" s="77">
        <f>IF($N35="","",IF(INDEX('Cronograma R. Operacional'!$E$5:$E$1000,$N35)="","",INDEX('Cronograma R. Operacional'!$E$5:$E$1000,$N35)))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Operacional'!$Y$5:$Y$1000,$N35),""),IF(INDEX('Cronograma R. Operacional'!$G$5:$G$1000,$N35)="","",INDEX('Cronograma R. Operacional'!$G$5:$G$1000,$N35))))</f>
        <v/>
      </c>
      <c r="G35" s="68">
        <f>IF($N35="","",IF($P35&gt;0,IF(2&lt;=SemanaActual,INDEX('Cronograma R. Operacional'!$Z$5:$Z$1000,$N35),""),IF(INDEX('Cronograma R. Operacional'!$H$5:$H$1000,$N35)="","",INDEX('Cronograma R. Operacional'!$H$5:$H$1000,$N35))))</f>
        <v/>
      </c>
      <c r="H35" s="68">
        <f>IF($N35="","",IF($P35&gt;0,IF(3&lt;=SemanaActual,INDEX('Cronograma R. Operacional'!$AA$5:$AA$1000,$N35),""),IF(INDEX('Cronograma R. Operacional'!$I$5:$I$1000,$N35)="","",INDEX('Cronograma R. Operacional'!$I$5:$I$1000,$N35))))</f>
        <v/>
      </c>
      <c r="I35" s="68">
        <f>IF($N35="","",IF($P35&gt;0,IF(4&lt;=SemanaActual,INDEX('Cronograma R. Operacional'!$AB$5:$AB$1000,$N35),""),IF(INDEX('Cronograma R. Operacional'!$J$5:$J$1000,$N35)="","",INDEX('Cronograma R. Operacional'!$J$5:$J$1000,$N35))))</f>
        <v/>
      </c>
      <c r="J35" s="68">
        <f>IF($N35="","",INDEX('Cronograma R. Operacional'!$K$5:$K$1000,$N35))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Operacional'!$M$5:$M$1000,$N35)&amp;"")</f>
        <v/>
      </c>
      <c r="M35" s="71">
        <f>IF($N35="","",INDEX('Cronograma R. Operacional'!$N$5:$N$1000,$N35)&amp;"")</f>
        <v/>
      </c>
      <c r="N35">
        <f>IFERROR(MATCH(ROW()-4,rOrden_RO,0),"")</f>
        <v/>
      </c>
      <c r="O35">
        <f>IF($N35="","",INDEX('Cronograma R. Operacional'!$S$5:$S$1000,$N35))</f>
        <v/>
      </c>
      <c r="P35">
        <f>IF($N35="","",N(INDEX('Cronograma R. Operacional'!$T$5:$T$1000,$N35)))</f>
        <v/>
      </c>
    </row>
    <row r="36">
      <c r="A36" s="62">
        <f>IF($N36="","",INDEX('Cronograma R. Operacional'!$A$5:$A$1000,$N36))</f>
        <v/>
      </c>
      <c r="B36" s="71">
        <f>IF($N36="","",IF($O36="Sub","      ↳  "&amp;INDEX('Cronograma R. Operacional'!$C$5:$C$1000,$N36),INDEX('Cronograma R. Operacional'!$C$5:$C$1000,$N36)&amp;""))</f>
        <v/>
      </c>
      <c r="C36" s="77">
        <f>IF($N36="","",IF(INDEX('Cronograma R. Operacional'!$D$5:$D$1000,$N36)="","",INDEX('Cronograma R. Operacional'!$D$5:$D$1000,$N36)))</f>
        <v/>
      </c>
      <c r="D36" s="77">
        <f>IF($N36="","",IF(INDEX('Cronograma R. Operacional'!$E$5:$E$1000,$N36)="","",INDEX('Cronograma R. Operacional'!$E$5:$E$1000,$N36)))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Operacional'!$Y$5:$Y$1000,$N36),""),IF(INDEX('Cronograma R. Operacional'!$G$5:$G$1000,$N36)="","",INDEX('Cronograma R. Operacional'!$G$5:$G$1000,$N36))))</f>
        <v/>
      </c>
      <c r="G36" s="68">
        <f>IF($N36="","",IF($P36&gt;0,IF(2&lt;=SemanaActual,INDEX('Cronograma R. Operacional'!$Z$5:$Z$1000,$N36),""),IF(INDEX('Cronograma R. Operacional'!$H$5:$H$1000,$N36)="","",INDEX('Cronograma R. Operacional'!$H$5:$H$1000,$N36))))</f>
        <v/>
      </c>
      <c r="H36" s="68">
        <f>IF($N36="","",IF($P36&gt;0,IF(3&lt;=SemanaActual,INDEX('Cronograma R. Operacional'!$AA$5:$AA$1000,$N36),""),IF(INDEX('Cronograma R. Operacional'!$I$5:$I$1000,$N36)="","",INDEX('Cronograma R. Operacional'!$I$5:$I$1000,$N36))))</f>
        <v/>
      </c>
      <c r="I36" s="68">
        <f>IF($N36="","",IF($P36&gt;0,IF(4&lt;=SemanaActual,INDEX('Cronograma R. Operacional'!$AB$5:$AB$1000,$N36),""),IF(INDEX('Cronograma R. Operacional'!$J$5:$J$1000,$N36)="","",INDEX('Cronograma R. Operacional'!$J$5:$J$1000,$N36))))</f>
        <v/>
      </c>
      <c r="J36" s="68">
        <f>IF($N36="","",INDEX('Cronograma R. Operacional'!$K$5:$K$1000,$N36))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Operacional'!$M$5:$M$1000,$N36)&amp;"")</f>
        <v/>
      </c>
      <c r="M36" s="71">
        <f>IF($N36="","",INDEX('Cronograma R. Operacional'!$N$5:$N$1000,$N36)&amp;"")</f>
        <v/>
      </c>
      <c r="N36">
        <f>IFERROR(MATCH(ROW()-4,rOrden_RO,0),"")</f>
        <v/>
      </c>
      <c r="O36">
        <f>IF($N36="","",INDEX('Cronograma R. Operacional'!$S$5:$S$1000,$N36))</f>
        <v/>
      </c>
      <c r="P36">
        <f>IF($N36="","",N(INDEX('Cronograma R. Operacional'!$T$5:$T$1000,$N36)))</f>
        <v/>
      </c>
    </row>
    <row r="37">
      <c r="A37" s="62">
        <f>IF($N37="","",INDEX('Cronograma R. Operacional'!$A$5:$A$1000,$N37))</f>
        <v/>
      </c>
      <c r="B37" s="71">
        <f>IF($N37="","",IF($O37="Sub","      ↳  "&amp;INDEX('Cronograma R. Operacional'!$C$5:$C$1000,$N37),INDEX('Cronograma R. Operacional'!$C$5:$C$1000,$N37)&amp;""))</f>
        <v/>
      </c>
      <c r="C37" s="77">
        <f>IF($N37="","",IF(INDEX('Cronograma R. Operacional'!$D$5:$D$1000,$N37)="","",INDEX('Cronograma R. Operacional'!$D$5:$D$1000,$N37)))</f>
        <v/>
      </c>
      <c r="D37" s="77">
        <f>IF($N37="","",IF(INDEX('Cronograma R. Operacional'!$E$5:$E$1000,$N37)="","",INDEX('Cronograma R. Operacional'!$E$5:$E$1000,$N37)))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Operacional'!$Y$5:$Y$1000,$N37),""),IF(INDEX('Cronograma R. Operacional'!$G$5:$G$1000,$N37)="","",INDEX('Cronograma R. Operacional'!$G$5:$G$1000,$N37))))</f>
        <v/>
      </c>
      <c r="G37" s="68">
        <f>IF($N37="","",IF($P37&gt;0,IF(2&lt;=SemanaActual,INDEX('Cronograma R. Operacional'!$Z$5:$Z$1000,$N37),""),IF(INDEX('Cronograma R. Operacional'!$H$5:$H$1000,$N37)="","",INDEX('Cronograma R. Operacional'!$H$5:$H$1000,$N37))))</f>
        <v/>
      </c>
      <c r="H37" s="68">
        <f>IF($N37="","",IF($P37&gt;0,IF(3&lt;=SemanaActual,INDEX('Cronograma R. Operacional'!$AA$5:$AA$1000,$N37),""),IF(INDEX('Cronograma R. Operacional'!$I$5:$I$1000,$N37)="","",INDEX('Cronograma R. Operacional'!$I$5:$I$1000,$N37))))</f>
        <v/>
      </c>
      <c r="I37" s="68">
        <f>IF($N37="","",IF($P37&gt;0,IF(4&lt;=SemanaActual,INDEX('Cronograma R. Operacional'!$AB$5:$AB$1000,$N37),""),IF(INDEX('Cronograma R. Operacional'!$J$5:$J$1000,$N37)="","",INDEX('Cronograma R. Operacional'!$J$5:$J$1000,$N37))))</f>
        <v/>
      </c>
      <c r="J37" s="68">
        <f>IF($N37="","",INDEX('Cronograma R. Operacional'!$K$5:$K$1000,$N37))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Operacional'!$M$5:$M$1000,$N37)&amp;"")</f>
        <v/>
      </c>
      <c r="M37" s="71">
        <f>IF($N37="","",INDEX('Cronograma R. Operacional'!$N$5:$N$1000,$N37)&amp;"")</f>
        <v/>
      </c>
      <c r="N37">
        <f>IFERROR(MATCH(ROW()-4,rOrden_RO,0),"")</f>
        <v/>
      </c>
      <c r="O37">
        <f>IF($N37="","",INDEX('Cronograma R. Operacional'!$S$5:$S$1000,$N37))</f>
        <v/>
      </c>
      <c r="P37">
        <f>IF($N37="","",N(INDEX('Cronograma R. Operacional'!$T$5:$T$1000,$N37)))</f>
        <v/>
      </c>
    </row>
    <row r="38">
      <c r="A38" s="62">
        <f>IF($N38="","",INDEX('Cronograma R. Operacional'!$A$5:$A$1000,$N38))</f>
        <v/>
      </c>
      <c r="B38" s="71">
        <f>IF($N38="","",IF($O38="Sub","      ↳  "&amp;INDEX('Cronograma R. Operacional'!$C$5:$C$1000,$N38),INDEX('Cronograma R. Operacional'!$C$5:$C$1000,$N38)&amp;""))</f>
        <v/>
      </c>
      <c r="C38" s="77">
        <f>IF($N38="","",IF(INDEX('Cronograma R. Operacional'!$D$5:$D$1000,$N38)="","",INDEX('Cronograma R. Operacional'!$D$5:$D$1000,$N38)))</f>
        <v/>
      </c>
      <c r="D38" s="77">
        <f>IF($N38="","",IF(INDEX('Cronograma R. Operacional'!$E$5:$E$1000,$N38)="","",INDEX('Cronograma R. Operacional'!$E$5:$E$1000,$N38)))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Operacional'!$Y$5:$Y$1000,$N38),""),IF(INDEX('Cronograma R. Operacional'!$G$5:$G$1000,$N38)="","",INDEX('Cronograma R. Operacional'!$G$5:$G$1000,$N38))))</f>
        <v/>
      </c>
      <c r="G38" s="68">
        <f>IF($N38="","",IF($P38&gt;0,IF(2&lt;=SemanaActual,INDEX('Cronograma R. Operacional'!$Z$5:$Z$1000,$N38),""),IF(INDEX('Cronograma R. Operacional'!$H$5:$H$1000,$N38)="","",INDEX('Cronograma R. Operacional'!$H$5:$H$1000,$N38))))</f>
        <v/>
      </c>
      <c r="H38" s="68">
        <f>IF($N38="","",IF($P38&gt;0,IF(3&lt;=SemanaActual,INDEX('Cronograma R. Operacional'!$AA$5:$AA$1000,$N38),""),IF(INDEX('Cronograma R. Operacional'!$I$5:$I$1000,$N38)="","",INDEX('Cronograma R. Operacional'!$I$5:$I$1000,$N38))))</f>
        <v/>
      </c>
      <c r="I38" s="68">
        <f>IF($N38="","",IF($P38&gt;0,IF(4&lt;=SemanaActual,INDEX('Cronograma R. Operacional'!$AB$5:$AB$1000,$N38),""),IF(INDEX('Cronograma R. Operacional'!$J$5:$J$1000,$N38)="","",INDEX('Cronograma R. Operacional'!$J$5:$J$1000,$N38))))</f>
        <v/>
      </c>
      <c r="J38" s="68">
        <f>IF($N38="","",INDEX('Cronograma R. Operacional'!$K$5:$K$1000,$N38))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Operacional'!$M$5:$M$1000,$N38)&amp;"")</f>
        <v/>
      </c>
      <c r="M38" s="71">
        <f>IF($N38="","",INDEX('Cronograma R. Operacional'!$N$5:$N$1000,$N38)&amp;"")</f>
        <v/>
      </c>
      <c r="N38">
        <f>IFERROR(MATCH(ROW()-4,rOrden_RO,0),"")</f>
        <v/>
      </c>
      <c r="O38">
        <f>IF($N38="","",INDEX('Cronograma R. Operacional'!$S$5:$S$1000,$N38))</f>
        <v/>
      </c>
      <c r="P38">
        <f>IF($N38="","",N(INDEX('Cronograma R. Operacional'!$T$5:$T$1000,$N38)))</f>
        <v/>
      </c>
    </row>
    <row r="39">
      <c r="A39" s="62">
        <f>IF($N39="","",INDEX('Cronograma R. Operacional'!$A$5:$A$1000,$N39))</f>
        <v/>
      </c>
      <c r="B39" s="71">
        <f>IF($N39="","",IF($O39="Sub","      ↳  "&amp;INDEX('Cronograma R. Operacional'!$C$5:$C$1000,$N39),INDEX('Cronograma R. Operacional'!$C$5:$C$1000,$N39)&amp;""))</f>
        <v/>
      </c>
      <c r="C39" s="77">
        <f>IF($N39="","",IF(INDEX('Cronograma R. Operacional'!$D$5:$D$1000,$N39)="","",INDEX('Cronograma R. Operacional'!$D$5:$D$1000,$N39)))</f>
        <v/>
      </c>
      <c r="D39" s="77">
        <f>IF($N39="","",IF(INDEX('Cronograma R. Operacional'!$E$5:$E$1000,$N39)="","",INDEX('Cronograma R. Operacional'!$E$5:$E$1000,$N39)))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Operacional'!$Y$5:$Y$1000,$N39),""),IF(INDEX('Cronograma R. Operacional'!$G$5:$G$1000,$N39)="","",INDEX('Cronograma R. Operacional'!$G$5:$G$1000,$N39))))</f>
        <v/>
      </c>
      <c r="G39" s="68">
        <f>IF($N39="","",IF($P39&gt;0,IF(2&lt;=SemanaActual,INDEX('Cronograma R. Operacional'!$Z$5:$Z$1000,$N39),""),IF(INDEX('Cronograma R. Operacional'!$H$5:$H$1000,$N39)="","",INDEX('Cronograma R. Operacional'!$H$5:$H$1000,$N39))))</f>
        <v/>
      </c>
      <c r="H39" s="68">
        <f>IF($N39="","",IF($P39&gt;0,IF(3&lt;=SemanaActual,INDEX('Cronograma R. Operacional'!$AA$5:$AA$1000,$N39),""),IF(INDEX('Cronograma R. Operacional'!$I$5:$I$1000,$N39)="","",INDEX('Cronograma R. Operacional'!$I$5:$I$1000,$N39))))</f>
        <v/>
      </c>
      <c r="I39" s="68">
        <f>IF($N39="","",IF($P39&gt;0,IF(4&lt;=SemanaActual,INDEX('Cronograma R. Operacional'!$AB$5:$AB$1000,$N39),""),IF(INDEX('Cronograma R. Operacional'!$J$5:$J$1000,$N39)="","",INDEX('Cronograma R. Operacional'!$J$5:$J$1000,$N39))))</f>
        <v/>
      </c>
      <c r="J39" s="68">
        <f>IF($N39="","",INDEX('Cronograma R. Operacional'!$K$5:$K$1000,$N39))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Operacional'!$M$5:$M$1000,$N39)&amp;"")</f>
        <v/>
      </c>
      <c r="M39" s="71">
        <f>IF($N39="","",INDEX('Cronograma R. Operacional'!$N$5:$N$1000,$N39)&amp;"")</f>
        <v/>
      </c>
      <c r="N39">
        <f>IFERROR(MATCH(ROW()-4,rOrden_RO,0),"")</f>
        <v/>
      </c>
      <c r="O39">
        <f>IF($N39="","",INDEX('Cronograma R. Operacional'!$S$5:$S$1000,$N39))</f>
        <v/>
      </c>
      <c r="P39">
        <f>IF($N39="","",N(INDEX('Cronograma R. Operacional'!$T$5:$T$1000,$N39)))</f>
        <v/>
      </c>
    </row>
    <row r="40">
      <c r="A40" s="62">
        <f>IF($N40="","",INDEX('Cronograma R. Operacional'!$A$5:$A$1000,$N40))</f>
        <v/>
      </c>
      <c r="B40" s="71">
        <f>IF($N40="","",IF($O40="Sub","      ↳  "&amp;INDEX('Cronograma R. Operacional'!$C$5:$C$1000,$N40),INDEX('Cronograma R. Operacional'!$C$5:$C$1000,$N40)&amp;""))</f>
        <v/>
      </c>
      <c r="C40" s="77">
        <f>IF($N40="","",IF(INDEX('Cronograma R. Operacional'!$D$5:$D$1000,$N40)="","",INDEX('Cronograma R. Operacional'!$D$5:$D$1000,$N40)))</f>
        <v/>
      </c>
      <c r="D40" s="77">
        <f>IF($N40="","",IF(INDEX('Cronograma R. Operacional'!$E$5:$E$1000,$N40)="","",INDEX('Cronograma R. Operacional'!$E$5:$E$1000,$N40)))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Operacional'!$Y$5:$Y$1000,$N40),""),IF(INDEX('Cronograma R. Operacional'!$G$5:$G$1000,$N40)="","",INDEX('Cronograma R. Operacional'!$G$5:$G$1000,$N40))))</f>
        <v/>
      </c>
      <c r="G40" s="68">
        <f>IF($N40="","",IF($P40&gt;0,IF(2&lt;=SemanaActual,INDEX('Cronograma R. Operacional'!$Z$5:$Z$1000,$N40),""),IF(INDEX('Cronograma R. Operacional'!$H$5:$H$1000,$N40)="","",INDEX('Cronograma R. Operacional'!$H$5:$H$1000,$N40))))</f>
        <v/>
      </c>
      <c r="H40" s="68">
        <f>IF($N40="","",IF($P40&gt;0,IF(3&lt;=SemanaActual,INDEX('Cronograma R. Operacional'!$AA$5:$AA$1000,$N40),""),IF(INDEX('Cronograma R. Operacional'!$I$5:$I$1000,$N40)="","",INDEX('Cronograma R. Operacional'!$I$5:$I$1000,$N40))))</f>
        <v/>
      </c>
      <c r="I40" s="68">
        <f>IF($N40="","",IF($P40&gt;0,IF(4&lt;=SemanaActual,INDEX('Cronograma R. Operacional'!$AB$5:$AB$1000,$N40),""),IF(INDEX('Cronograma R. Operacional'!$J$5:$J$1000,$N40)="","",INDEX('Cronograma R. Operacional'!$J$5:$J$1000,$N40))))</f>
        <v/>
      </c>
      <c r="J40" s="68">
        <f>IF($N40="","",INDEX('Cronograma R. Operacional'!$K$5:$K$1000,$N40))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Operacional'!$M$5:$M$1000,$N40)&amp;"")</f>
        <v/>
      </c>
      <c r="M40" s="71">
        <f>IF($N40="","",INDEX('Cronograma R. Operacional'!$N$5:$N$1000,$N40)&amp;"")</f>
        <v/>
      </c>
      <c r="N40">
        <f>IFERROR(MATCH(ROW()-4,rOrden_RO,0),"")</f>
        <v/>
      </c>
      <c r="O40">
        <f>IF($N40="","",INDEX('Cronograma R. Operacional'!$S$5:$S$1000,$N40))</f>
        <v/>
      </c>
      <c r="P40">
        <f>IF($N40="","",N(INDEX('Cronograma R. Operacional'!$T$5:$T$1000,$N40)))</f>
        <v/>
      </c>
    </row>
    <row r="41">
      <c r="A41" s="62">
        <f>IF($N41="","",INDEX('Cronograma R. Operacional'!$A$5:$A$1000,$N41))</f>
        <v/>
      </c>
      <c r="B41" s="71">
        <f>IF($N41="","",IF($O41="Sub","      ↳  "&amp;INDEX('Cronograma R. Operacional'!$C$5:$C$1000,$N41),INDEX('Cronograma R. Operacional'!$C$5:$C$1000,$N41)&amp;""))</f>
        <v/>
      </c>
      <c r="C41" s="77">
        <f>IF($N41="","",IF(INDEX('Cronograma R. Operacional'!$D$5:$D$1000,$N41)="","",INDEX('Cronograma R. Operacional'!$D$5:$D$1000,$N41)))</f>
        <v/>
      </c>
      <c r="D41" s="77">
        <f>IF($N41="","",IF(INDEX('Cronograma R. Operacional'!$E$5:$E$1000,$N41)="","",INDEX('Cronograma R. Operacional'!$E$5:$E$1000,$N41)))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Operacional'!$Y$5:$Y$1000,$N41),""),IF(INDEX('Cronograma R. Operacional'!$G$5:$G$1000,$N41)="","",INDEX('Cronograma R. Operacional'!$G$5:$G$1000,$N41))))</f>
        <v/>
      </c>
      <c r="G41" s="68">
        <f>IF($N41="","",IF($P41&gt;0,IF(2&lt;=SemanaActual,INDEX('Cronograma R. Operacional'!$Z$5:$Z$1000,$N41),""),IF(INDEX('Cronograma R. Operacional'!$H$5:$H$1000,$N41)="","",INDEX('Cronograma R. Operacional'!$H$5:$H$1000,$N41))))</f>
        <v/>
      </c>
      <c r="H41" s="68">
        <f>IF($N41="","",IF($P41&gt;0,IF(3&lt;=SemanaActual,INDEX('Cronograma R. Operacional'!$AA$5:$AA$1000,$N41),""),IF(INDEX('Cronograma R. Operacional'!$I$5:$I$1000,$N41)="","",INDEX('Cronograma R. Operacional'!$I$5:$I$1000,$N41))))</f>
        <v/>
      </c>
      <c r="I41" s="68">
        <f>IF($N41="","",IF($P41&gt;0,IF(4&lt;=SemanaActual,INDEX('Cronograma R. Operacional'!$AB$5:$AB$1000,$N41),""),IF(INDEX('Cronograma R. Operacional'!$J$5:$J$1000,$N41)="","",INDEX('Cronograma R. Operacional'!$J$5:$J$1000,$N41))))</f>
        <v/>
      </c>
      <c r="J41" s="68">
        <f>IF($N41="","",INDEX('Cronograma R. Operacional'!$K$5:$K$1000,$N41))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Operacional'!$M$5:$M$1000,$N41)&amp;"")</f>
        <v/>
      </c>
      <c r="M41" s="71">
        <f>IF($N41="","",INDEX('Cronograma R. Operacional'!$N$5:$N$1000,$N41)&amp;"")</f>
        <v/>
      </c>
      <c r="N41">
        <f>IFERROR(MATCH(ROW()-4,rOrden_RO,0),"")</f>
        <v/>
      </c>
      <c r="O41">
        <f>IF($N41="","",INDEX('Cronograma R. Operacional'!$S$5:$S$1000,$N41))</f>
        <v/>
      </c>
      <c r="P41">
        <f>IF($N41="","",N(INDEX('Cronograma R. Operacional'!$T$5:$T$1000,$N41)))</f>
        <v/>
      </c>
    </row>
    <row r="42">
      <c r="A42" s="62">
        <f>IF($N42="","",INDEX('Cronograma R. Operacional'!$A$5:$A$1000,$N42))</f>
        <v/>
      </c>
      <c r="B42" s="71">
        <f>IF($N42="","",IF($O42="Sub","      ↳  "&amp;INDEX('Cronograma R. Operacional'!$C$5:$C$1000,$N42),INDEX('Cronograma R. Operacional'!$C$5:$C$1000,$N42)&amp;""))</f>
        <v/>
      </c>
      <c r="C42" s="77">
        <f>IF($N42="","",IF(INDEX('Cronograma R. Operacional'!$D$5:$D$1000,$N42)="","",INDEX('Cronograma R. Operacional'!$D$5:$D$1000,$N42)))</f>
        <v/>
      </c>
      <c r="D42" s="77">
        <f>IF($N42="","",IF(INDEX('Cronograma R. Operacional'!$E$5:$E$1000,$N42)="","",INDEX('Cronograma R. Operacional'!$E$5:$E$1000,$N42)))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Operacional'!$Y$5:$Y$1000,$N42),""),IF(INDEX('Cronograma R. Operacional'!$G$5:$G$1000,$N42)="","",INDEX('Cronograma R. Operacional'!$G$5:$G$1000,$N42))))</f>
        <v/>
      </c>
      <c r="G42" s="68">
        <f>IF($N42="","",IF($P42&gt;0,IF(2&lt;=SemanaActual,INDEX('Cronograma R. Operacional'!$Z$5:$Z$1000,$N42),""),IF(INDEX('Cronograma R. Operacional'!$H$5:$H$1000,$N42)="","",INDEX('Cronograma R. Operacional'!$H$5:$H$1000,$N42))))</f>
        <v/>
      </c>
      <c r="H42" s="68">
        <f>IF($N42="","",IF($P42&gt;0,IF(3&lt;=SemanaActual,INDEX('Cronograma R. Operacional'!$AA$5:$AA$1000,$N42),""),IF(INDEX('Cronograma R. Operacional'!$I$5:$I$1000,$N42)="","",INDEX('Cronograma R. Operacional'!$I$5:$I$1000,$N42))))</f>
        <v/>
      </c>
      <c r="I42" s="68">
        <f>IF($N42="","",IF($P42&gt;0,IF(4&lt;=SemanaActual,INDEX('Cronograma R. Operacional'!$AB$5:$AB$1000,$N42),""),IF(INDEX('Cronograma R. Operacional'!$J$5:$J$1000,$N42)="","",INDEX('Cronograma R. Operacional'!$J$5:$J$1000,$N42))))</f>
        <v/>
      </c>
      <c r="J42" s="68">
        <f>IF($N42="","",INDEX('Cronograma R. Operacional'!$K$5:$K$1000,$N42))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Operacional'!$M$5:$M$1000,$N42)&amp;"")</f>
        <v/>
      </c>
      <c r="M42" s="71">
        <f>IF($N42="","",INDEX('Cronograma R. Operacional'!$N$5:$N$1000,$N42)&amp;"")</f>
        <v/>
      </c>
      <c r="N42">
        <f>IFERROR(MATCH(ROW()-4,rOrden_RO,0),"")</f>
        <v/>
      </c>
      <c r="O42">
        <f>IF($N42="","",INDEX('Cronograma R. Operacional'!$S$5:$S$1000,$N42))</f>
        <v/>
      </c>
      <c r="P42">
        <f>IF($N42="","",N(INDEX('Cronograma R. Operacional'!$T$5:$T$1000,$N42)))</f>
        <v/>
      </c>
    </row>
    <row r="43">
      <c r="A43" s="62">
        <f>IF($N43="","",INDEX('Cronograma R. Operacional'!$A$5:$A$1000,$N43))</f>
        <v/>
      </c>
      <c r="B43" s="71">
        <f>IF($N43="","",IF($O43="Sub","      ↳  "&amp;INDEX('Cronograma R. Operacional'!$C$5:$C$1000,$N43),INDEX('Cronograma R. Operacional'!$C$5:$C$1000,$N43)&amp;""))</f>
        <v/>
      </c>
      <c r="C43" s="77">
        <f>IF($N43="","",IF(INDEX('Cronograma R. Operacional'!$D$5:$D$1000,$N43)="","",INDEX('Cronograma R. Operacional'!$D$5:$D$1000,$N43)))</f>
        <v/>
      </c>
      <c r="D43" s="77">
        <f>IF($N43="","",IF(INDEX('Cronograma R. Operacional'!$E$5:$E$1000,$N43)="","",INDEX('Cronograma R. Operacional'!$E$5:$E$1000,$N43)))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Operacional'!$Y$5:$Y$1000,$N43),""),IF(INDEX('Cronograma R. Operacional'!$G$5:$G$1000,$N43)="","",INDEX('Cronograma R. Operacional'!$G$5:$G$1000,$N43))))</f>
        <v/>
      </c>
      <c r="G43" s="68">
        <f>IF($N43="","",IF($P43&gt;0,IF(2&lt;=SemanaActual,INDEX('Cronograma R. Operacional'!$Z$5:$Z$1000,$N43),""),IF(INDEX('Cronograma R. Operacional'!$H$5:$H$1000,$N43)="","",INDEX('Cronograma R. Operacional'!$H$5:$H$1000,$N43))))</f>
        <v/>
      </c>
      <c r="H43" s="68">
        <f>IF($N43="","",IF($P43&gt;0,IF(3&lt;=SemanaActual,INDEX('Cronograma R. Operacional'!$AA$5:$AA$1000,$N43),""),IF(INDEX('Cronograma R. Operacional'!$I$5:$I$1000,$N43)="","",INDEX('Cronograma R. Operacional'!$I$5:$I$1000,$N43))))</f>
        <v/>
      </c>
      <c r="I43" s="68">
        <f>IF($N43="","",IF($P43&gt;0,IF(4&lt;=SemanaActual,INDEX('Cronograma R. Operacional'!$AB$5:$AB$1000,$N43),""),IF(INDEX('Cronograma R. Operacional'!$J$5:$J$1000,$N43)="","",INDEX('Cronograma R. Operacional'!$J$5:$J$1000,$N43))))</f>
        <v/>
      </c>
      <c r="J43" s="68">
        <f>IF($N43="","",INDEX('Cronograma R. Operacional'!$K$5:$K$1000,$N43))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Operacional'!$M$5:$M$1000,$N43)&amp;"")</f>
        <v/>
      </c>
      <c r="M43" s="71">
        <f>IF($N43="","",INDEX('Cronograma R. Operacional'!$N$5:$N$1000,$N43)&amp;"")</f>
        <v/>
      </c>
      <c r="N43">
        <f>IFERROR(MATCH(ROW()-4,rOrden_RO,0),"")</f>
        <v/>
      </c>
      <c r="O43">
        <f>IF($N43="","",INDEX('Cronograma R. Operacional'!$S$5:$S$1000,$N43))</f>
        <v/>
      </c>
      <c r="P43">
        <f>IF($N43="","",N(INDEX('Cronograma R. Operacional'!$T$5:$T$1000,$N43)))</f>
        <v/>
      </c>
    </row>
    <row r="44">
      <c r="A44" s="62">
        <f>IF($N44="","",INDEX('Cronograma R. Operacional'!$A$5:$A$1000,$N44))</f>
        <v/>
      </c>
      <c r="B44" s="71">
        <f>IF($N44="","",IF($O44="Sub","      ↳  "&amp;INDEX('Cronograma R. Operacional'!$C$5:$C$1000,$N44),INDEX('Cronograma R. Operacional'!$C$5:$C$1000,$N44)&amp;""))</f>
        <v/>
      </c>
      <c r="C44" s="77">
        <f>IF($N44="","",IF(INDEX('Cronograma R. Operacional'!$D$5:$D$1000,$N44)="","",INDEX('Cronograma R. Operacional'!$D$5:$D$1000,$N44)))</f>
        <v/>
      </c>
      <c r="D44" s="77">
        <f>IF($N44="","",IF(INDEX('Cronograma R. Operacional'!$E$5:$E$1000,$N44)="","",INDEX('Cronograma R. Operacional'!$E$5:$E$1000,$N44)))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Operacional'!$Y$5:$Y$1000,$N44),""),IF(INDEX('Cronograma R. Operacional'!$G$5:$G$1000,$N44)="","",INDEX('Cronograma R. Operacional'!$G$5:$G$1000,$N44))))</f>
        <v/>
      </c>
      <c r="G44" s="68">
        <f>IF($N44="","",IF($P44&gt;0,IF(2&lt;=SemanaActual,INDEX('Cronograma R. Operacional'!$Z$5:$Z$1000,$N44),""),IF(INDEX('Cronograma R. Operacional'!$H$5:$H$1000,$N44)="","",INDEX('Cronograma R. Operacional'!$H$5:$H$1000,$N44))))</f>
        <v/>
      </c>
      <c r="H44" s="68">
        <f>IF($N44="","",IF($P44&gt;0,IF(3&lt;=SemanaActual,INDEX('Cronograma R. Operacional'!$AA$5:$AA$1000,$N44),""),IF(INDEX('Cronograma R. Operacional'!$I$5:$I$1000,$N44)="","",INDEX('Cronograma R. Operacional'!$I$5:$I$1000,$N44))))</f>
        <v/>
      </c>
      <c r="I44" s="68">
        <f>IF($N44="","",IF($P44&gt;0,IF(4&lt;=SemanaActual,INDEX('Cronograma R. Operacional'!$AB$5:$AB$1000,$N44),""),IF(INDEX('Cronograma R. Operacional'!$J$5:$J$1000,$N44)="","",INDEX('Cronograma R. Operacional'!$J$5:$J$1000,$N44))))</f>
        <v/>
      </c>
      <c r="J44" s="68">
        <f>IF($N44="","",INDEX('Cronograma R. Operacional'!$K$5:$K$1000,$N44))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Operacional'!$M$5:$M$1000,$N44)&amp;"")</f>
        <v/>
      </c>
      <c r="M44" s="71">
        <f>IF($N44="","",INDEX('Cronograma R. Operacional'!$N$5:$N$1000,$N44)&amp;"")</f>
        <v/>
      </c>
      <c r="N44">
        <f>IFERROR(MATCH(ROW()-4,rOrden_RO,0),"")</f>
        <v/>
      </c>
      <c r="O44">
        <f>IF($N44="","",INDEX('Cronograma R. Operacional'!$S$5:$S$1000,$N44))</f>
        <v/>
      </c>
      <c r="P44">
        <f>IF($N44="","",N(INDEX('Cronograma R. Operacional'!$T$5:$T$1000,$N44)))</f>
        <v/>
      </c>
    </row>
    <row r="45">
      <c r="A45" s="62">
        <f>IF($N45="","",INDEX('Cronograma R. Operacional'!$A$5:$A$1000,$N45))</f>
        <v/>
      </c>
      <c r="B45" s="71">
        <f>IF($N45="","",IF($O45="Sub","      ↳  "&amp;INDEX('Cronograma R. Operacional'!$C$5:$C$1000,$N45),INDEX('Cronograma R. Operacional'!$C$5:$C$1000,$N45)&amp;""))</f>
        <v/>
      </c>
      <c r="C45" s="77">
        <f>IF($N45="","",IF(INDEX('Cronograma R. Operacional'!$D$5:$D$1000,$N45)="","",INDEX('Cronograma R. Operacional'!$D$5:$D$1000,$N45)))</f>
        <v/>
      </c>
      <c r="D45" s="77">
        <f>IF($N45="","",IF(INDEX('Cronograma R. Operacional'!$E$5:$E$1000,$N45)="","",INDEX('Cronograma R. Operacional'!$E$5:$E$1000,$N45)))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Operacional'!$Y$5:$Y$1000,$N45),""),IF(INDEX('Cronograma R. Operacional'!$G$5:$G$1000,$N45)="","",INDEX('Cronograma R. Operacional'!$G$5:$G$1000,$N45))))</f>
        <v/>
      </c>
      <c r="G45" s="68">
        <f>IF($N45="","",IF($P45&gt;0,IF(2&lt;=SemanaActual,INDEX('Cronograma R. Operacional'!$Z$5:$Z$1000,$N45),""),IF(INDEX('Cronograma R. Operacional'!$H$5:$H$1000,$N45)="","",INDEX('Cronograma R. Operacional'!$H$5:$H$1000,$N45))))</f>
        <v/>
      </c>
      <c r="H45" s="68">
        <f>IF($N45="","",IF($P45&gt;0,IF(3&lt;=SemanaActual,INDEX('Cronograma R. Operacional'!$AA$5:$AA$1000,$N45),""),IF(INDEX('Cronograma R. Operacional'!$I$5:$I$1000,$N45)="","",INDEX('Cronograma R. Operacional'!$I$5:$I$1000,$N45))))</f>
        <v/>
      </c>
      <c r="I45" s="68">
        <f>IF($N45="","",IF($P45&gt;0,IF(4&lt;=SemanaActual,INDEX('Cronograma R. Operacional'!$AB$5:$AB$1000,$N45),""),IF(INDEX('Cronograma R. Operacional'!$J$5:$J$1000,$N45)="","",INDEX('Cronograma R. Operacional'!$J$5:$J$1000,$N45))))</f>
        <v/>
      </c>
      <c r="J45" s="68">
        <f>IF($N45="","",INDEX('Cronograma R. Operacional'!$K$5:$K$1000,$N45))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Operacional'!$M$5:$M$1000,$N45)&amp;"")</f>
        <v/>
      </c>
      <c r="M45" s="71">
        <f>IF($N45="","",INDEX('Cronograma R. Operacional'!$N$5:$N$1000,$N45)&amp;"")</f>
        <v/>
      </c>
      <c r="N45">
        <f>IFERROR(MATCH(ROW()-4,rOrden_RO,0),"")</f>
        <v/>
      </c>
      <c r="O45">
        <f>IF($N45="","",INDEX('Cronograma R. Operacional'!$S$5:$S$1000,$N45))</f>
        <v/>
      </c>
      <c r="P45">
        <f>IF($N45="","",N(INDEX('Cronograma R. Operacional'!$T$5:$T$1000,$N45)))</f>
        <v/>
      </c>
    </row>
    <row r="46">
      <c r="A46" s="62">
        <f>IF($N46="","",INDEX('Cronograma R. Operacional'!$A$5:$A$1000,$N46))</f>
        <v/>
      </c>
      <c r="B46" s="71">
        <f>IF($N46="","",IF($O46="Sub","      ↳  "&amp;INDEX('Cronograma R. Operacional'!$C$5:$C$1000,$N46),INDEX('Cronograma R. Operacional'!$C$5:$C$1000,$N46)&amp;""))</f>
        <v/>
      </c>
      <c r="C46" s="77">
        <f>IF($N46="","",IF(INDEX('Cronograma R. Operacional'!$D$5:$D$1000,$N46)="","",INDEX('Cronograma R. Operacional'!$D$5:$D$1000,$N46)))</f>
        <v/>
      </c>
      <c r="D46" s="77">
        <f>IF($N46="","",IF(INDEX('Cronograma R. Operacional'!$E$5:$E$1000,$N46)="","",INDEX('Cronograma R. Operacional'!$E$5:$E$1000,$N46)))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Operacional'!$Y$5:$Y$1000,$N46),""),IF(INDEX('Cronograma R. Operacional'!$G$5:$G$1000,$N46)="","",INDEX('Cronograma R. Operacional'!$G$5:$G$1000,$N46))))</f>
        <v/>
      </c>
      <c r="G46" s="68">
        <f>IF($N46="","",IF($P46&gt;0,IF(2&lt;=SemanaActual,INDEX('Cronograma R. Operacional'!$Z$5:$Z$1000,$N46),""),IF(INDEX('Cronograma R. Operacional'!$H$5:$H$1000,$N46)="","",INDEX('Cronograma R. Operacional'!$H$5:$H$1000,$N46))))</f>
        <v/>
      </c>
      <c r="H46" s="68">
        <f>IF($N46="","",IF($P46&gt;0,IF(3&lt;=SemanaActual,INDEX('Cronograma R. Operacional'!$AA$5:$AA$1000,$N46),""),IF(INDEX('Cronograma R. Operacional'!$I$5:$I$1000,$N46)="","",INDEX('Cronograma R. Operacional'!$I$5:$I$1000,$N46))))</f>
        <v/>
      </c>
      <c r="I46" s="68">
        <f>IF($N46="","",IF($P46&gt;0,IF(4&lt;=SemanaActual,INDEX('Cronograma R. Operacional'!$AB$5:$AB$1000,$N46),""),IF(INDEX('Cronograma R. Operacional'!$J$5:$J$1000,$N46)="","",INDEX('Cronograma R. Operacional'!$J$5:$J$1000,$N46))))</f>
        <v/>
      </c>
      <c r="J46" s="68">
        <f>IF($N46="","",INDEX('Cronograma R. Operacional'!$K$5:$K$1000,$N46))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Operacional'!$M$5:$M$1000,$N46)&amp;"")</f>
        <v/>
      </c>
      <c r="M46" s="71">
        <f>IF($N46="","",INDEX('Cronograma R. Operacional'!$N$5:$N$1000,$N46)&amp;"")</f>
        <v/>
      </c>
      <c r="N46">
        <f>IFERROR(MATCH(ROW()-4,rOrden_RO,0),"")</f>
        <v/>
      </c>
      <c r="O46">
        <f>IF($N46="","",INDEX('Cronograma R. Operacional'!$S$5:$S$1000,$N46))</f>
        <v/>
      </c>
      <c r="P46">
        <f>IF($N46="","",N(INDEX('Cronograma R. Operacional'!$T$5:$T$1000,$N46)))</f>
        <v/>
      </c>
    </row>
    <row r="47">
      <c r="A47" s="62">
        <f>IF($N47="","",INDEX('Cronograma R. Operacional'!$A$5:$A$1000,$N47))</f>
        <v/>
      </c>
      <c r="B47" s="71">
        <f>IF($N47="","",IF($O47="Sub","      ↳  "&amp;INDEX('Cronograma R. Operacional'!$C$5:$C$1000,$N47),INDEX('Cronograma R. Operacional'!$C$5:$C$1000,$N47)&amp;""))</f>
        <v/>
      </c>
      <c r="C47" s="77">
        <f>IF($N47="","",IF(INDEX('Cronograma R. Operacional'!$D$5:$D$1000,$N47)="","",INDEX('Cronograma R. Operacional'!$D$5:$D$1000,$N47)))</f>
        <v/>
      </c>
      <c r="D47" s="77">
        <f>IF($N47="","",IF(INDEX('Cronograma R. Operacional'!$E$5:$E$1000,$N47)="","",INDEX('Cronograma R. Operacional'!$E$5:$E$1000,$N47)))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Operacional'!$Y$5:$Y$1000,$N47),""),IF(INDEX('Cronograma R. Operacional'!$G$5:$G$1000,$N47)="","",INDEX('Cronograma R. Operacional'!$G$5:$G$1000,$N47))))</f>
        <v/>
      </c>
      <c r="G47" s="68">
        <f>IF($N47="","",IF($P47&gt;0,IF(2&lt;=SemanaActual,INDEX('Cronograma R. Operacional'!$Z$5:$Z$1000,$N47),""),IF(INDEX('Cronograma R. Operacional'!$H$5:$H$1000,$N47)="","",INDEX('Cronograma R. Operacional'!$H$5:$H$1000,$N47))))</f>
        <v/>
      </c>
      <c r="H47" s="68">
        <f>IF($N47="","",IF($P47&gt;0,IF(3&lt;=SemanaActual,INDEX('Cronograma R. Operacional'!$AA$5:$AA$1000,$N47),""),IF(INDEX('Cronograma R. Operacional'!$I$5:$I$1000,$N47)="","",INDEX('Cronograma R. Operacional'!$I$5:$I$1000,$N47))))</f>
        <v/>
      </c>
      <c r="I47" s="68">
        <f>IF($N47="","",IF($P47&gt;0,IF(4&lt;=SemanaActual,INDEX('Cronograma R. Operacional'!$AB$5:$AB$1000,$N47),""),IF(INDEX('Cronograma R. Operacional'!$J$5:$J$1000,$N47)="","",INDEX('Cronograma R. Operacional'!$J$5:$J$1000,$N47))))</f>
        <v/>
      </c>
      <c r="J47" s="68">
        <f>IF($N47="","",INDEX('Cronograma R. Operacional'!$K$5:$K$1000,$N47))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Operacional'!$M$5:$M$1000,$N47)&amp;"")</f>
        <v/>
      </c>
      <c r="M47" s="71">
        <f>IF($N47="","",INDEX('Cronograma R. Operacional'!$N$5:$N$1000,$N47)&amp;"")</f>
        <v/>
      </c>
      <c r="N47">
        <f>IFERROR(MATCH(ROW()-4,rOrden_RO,0),"")</f>
        <v/>
      </c>
      <c r="O47">
        <f>IF($N47="","",INDEX('Cronograma R. Operacional'!$S$5:$S$1000,$N47))</f>
        <v/>
      </c>
      <c r="P47">
        <f>IF($N47="","",N(INDEX('Cronograma R. Operacional'!$T$5:$T$1000,$N47)))</f>
        <v/>
      </c>
    </row>
    <row r="48">
      <c r="A48" s="62">
        <f>IF($N48="","",INDEX('Cronograma R. Operacional'!$A$5:$A$1000,$N48))</f>
        <v/>
      </c>
      <c r="B48" s="71">
        <f>IF($N48="","",IF($O48="Sub","      ↳  "&amp;INDEX('Cronograma R. Operacional'!$C$5:$C$1000,$N48),INDEX('Cronograma R. Operacional'!$C$5:$C$1000,$N48)&amp;""))</f>
        <v/>
      </c>
      <c r="C48" s="77">
        <f>IF($N48="","",IF(INDEX('Cronograma R. Operacional'!$D$5:$D$1000,$N48)="","",INDEX('Cronograma R. Operacional'!$D$5:$D$1000,$N48)))</f>
        <v/>
      </c>
      <c r="D48" s="77">
        <f>IF($N48="","",IF(INDEX('Cronograma R. Operacional'!$E$5:$E$1000,$N48)="","",INDEX('Cronograma R. Operacional'!$E$5:$E$1000,$N48)))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Operacional'!$Y$5:$Y$1000,$N48),""),IF(INDEX('Cronograma R. Operacional'!$G$5:$G$1000,$N48)="","",INDEX('Cronograma R. Operacional'!$G$5:$G$1000,$N48))))</f>
        <v/>
      </c>
      <c r="G48" s="68">
        <f>IF($N48="","",IF($P48&gt;0,IF(2&lt;=SemanaActual,INDEX('Cronograma R. Operacional'!$Z$5:$Z$1000,$N48),""),IF(INDEX('Cronograma R. Operacional'!$H$5:$H$1000,$N48)="","",INDEX('Cronograma R. Operacional'!$H$5:$H$1000,$N48))))</f>
        <v/>
      </c>
      <c r="H48" s="68">
        <f>IF($N48="","",IF($P48&gt;0,IF(3&lt;=SemanaActual,INDEX('Cronograma R. Operacional'!$AA$5:$AA$1000,$N48),""),IF(INDEX('Cronograma R. Operacional'!$I$5:$I$1000,$N48)="","",INDEX('Cronograma R. Operacional'!$I$5:$I$1000,$N48))))</f>
        <v/>
      </c>
      <c r="I48" s="68">
        <f>IF($N48="","",IF($P48&gt;0,IF(4&lt;=SemanaActual,INDEX('Cronograma R. Operacional'!$AB$5:$AB$1000,$N48),""),IF(INDEX('Cronograma R. Operacional'!$J$5:$J$1000,$N48)="","",INDEX('Cronograma R. Operacional'!$J$5:$J$1000,$N48))))</f>
        <v/>
      </c>
      <c r="J48" s="68">
        <f>IF($N48="","",INDEX('Cronograma R. Operacional'!$K$5:$K$1000,$N48))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Operacional'!$M$5:$M$1000,$N48)&amp;"")</f>
        <v/>
      </c>
      <c r="M48" s="71">
        <f>IF($N48="","",INDEX('Cronograma R. Operacional'!$N$5:$N$1000,$N48)&amp;"")</f>
        <v/>
      </c>
      <c r="N48">
        <f>IFERROR(MATCH(ROW()-4,rOrden_RO,0),"")</f>
        <v/>
      </c>
      <c r="O48">
        <f>IF($N48="","",INDEX('Cronograma R. Operacional'!$S$5:$S$1000,$N48))</f>
        <v/>
      </c>
      <c r="P48">
        <f>IF($N48="","",N(INDEX('Cronograma R. Operacional'!$T$5:$T$1000,$N48)))</f>
        <v/>
      </c>
    </row>
    <row r="49">
      <c r="A49" s="62">
        <f>IF($N49="","",INDEX('Cronograma R. Operacional'!$A$5:$A$1000,$N49))</f>
        <v/>
      </c>
      <c r="B49" s="71">
        <f>IF($N49="","",IF($O49="Sub","      ↳  "&amp;INDEX('Cronograma R. Operacional'!$C$5:$C$1000,$N49),INDEX('Cronograma R. Operacional'!$C$5:$C$1000,$N49)&amp;""))</f>
        <v/>
      </c>
      <c r="C49" s="77">
        <f>IF($N49="","",IF(INDEX('Cronograma R. Operacional'!$D$5:$D$1000,$N49)="","",INDEX('Cronograma R. Operacional'!$D$5:$D$1000,$N49)))</f>
        <v/>
      </c>
      <c r="D49" s="77">
        <f>IF($N49="","",IF(INDEX('Cronograma R. Operacional'!$E$5:$E$1000,$N49)="","",INDEX('Cronograma R. Operacional'!$E$5:$E$1000,$N49)))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Operacional'!$Y$5:$Y$1000,$N49),""),IF(INDEX('Cronograma R. Operacional'!$G$5:$G$1000,$N49)="","",INDEX('Cronograma R. Operacional'!$G$5:$G$1000,$N49))))</f>
        <v/>
      </c>
      <c r="G49" s="68">
        <f>IF($N49="","",IF($P49&gt;0,IF(2&lt;=SemanaActual,INDEX('Cronograma R. Operacional'!$Z$5:$Z$1000,$N49),""),IF(INDEX('Cronograma R. Operacional'!$H$5:$H$1000,$N49)="","",INDEX('Cronograma R. Operacional'!$H$5:$H$1000,$N49))))</f>
        <v/>
      </c>
      <c r="H49" s="68">
        <f>IF($N49="","",IF($P49&gt;0,IF(3&lt;=SemanaActual,INDEX('Cronograma R. Operacional'!$AA$5:$AA$1000,$N49),""),IF(INDEX('Cronograma R. Operacional'!$I$5:$I$1000,$N49)="","",INDEX('Cronograma R. Operacional'!$I$5:$I$1000,$N49))))</f>
        <v/>
      </c>
      <c r="I49" s="68">
        <f>IF($N49="","",IF($P49&gt;0,IF(4&lt;=SemanaActual,INDEX('Cronograma R. Operacional'!$AB$5:$AB$1000,$N49),""),IF(INDEX('Cronograma R. Operacional'!$J$5:$J$1000,$N49)="","",INDEX('Cronograma R. Operacional'!$J$5:$J$1000,$N49))))</f>
        <v/>
      </c>
      <c r="J49" s="68">
        <f>IF($N49="","",INDEX('Cronograma R. Operacional'!$K$5:$K$1000,$N49))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Operacional'!$M$5:$M$1000,$N49)&amp;"")</f>
        <v/>
      </c>
      <c r="M49" s="71">
        <f>IF($N49="","",INDEX('Cronograma R. Operacional'!$N$5:$N$1000,$N49)&amp;"")</f>
        <v/>
      </c>
      <c r="N49">
        <f>IFERROR(MATCH(ROW()-4,rOrden_RO,0),"")</f>
        <v/>
      </c>
      <c r="O49">
        <f>IF($N49="","",INDEX('Cronograma R. Operacional'!$S$5:$S$1000,$N49))</f>
        <v/>
      </c>
      <c r="P49">
        <f>IF($N49="","",N(INDEX('Cronograma R. Operacional'!$T$5:$T$1000,$N49)))</f>
        <v/>
      </c>
    </row>
    <row r="50">
      <c r="A50" s="62">
        <f>IF($N50="","",INDEX('Cronograma R. Operacional'!$A$5:$A$1000,$N50))</f>
        <v/>
      </c>
      <c r="B50" s="71">
        <f>IF($N50="","",IF($O50="Sub","      ↳  "&amp;INDEX('Cronograma R. Operacional'!$C$5:$C$1000,$N50),INDEX('Cronograma R. Operacional'!$C$5:$C$1000,$N50)&amp;""))</f>
        <v/>
      </c>
      <c r="C50" s="77">
        <f>IF($N50="","",IF(INDEX('Cronograma R. Operacional'!$D$5:$D$1000,$N50)="","",INDEX('Cronograma R. Operacional'!$D$5:$D$1000,$N50)))</f>
        <v/>
      </c>
      <c r="D50" s="77">
        <f>IF($N50="","",IF(INDEX('Cronograma R. Operacional'!$E$5:$E$1000,$N50)="","",INDEX('Cronograma R. Operacional'!$E$5:$E$1000,$N50)))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Operacional'!$Y$5:$Y$1000,$N50),""),IF(INDEX('Cronograma R. Operacional'!$G$5:$G$1000,$N50)="","",INDEX('Cronograma R. Operacional'!$G$5:$G$1000,$N50))))</f>
        <v/>
      </c>
      <c r="G50" s="68">
        <f>IF($N50="","",IF($P50&gt;0,IF(2&lt;=SemanaActual,INDEX('Cronograma R. Operacional'!$Z$5:$Z$1000,$N50),""),IF(INDEX('Cronograma R. Operacional'!$H$5:$H$1000,$N50)="","",INDEX('Cronograma R. Operacional'!$H$5:$H$1000,$N50))))</f>
        <v/>
      </c>
      <c r="H50" s="68">
        <f>IF($N50="","",IF($P50&gt;0,IF(3&lt;=SemanaActual,INDEX('Cronograma R. Operacional'!$AA$5:$AA$1000,$N50),""),IF(INDEX('Cronograma R. Operacional'!$I$5:$I$1000,$N50)="","",INDEX('Cronograma R. Operacional'!$I$5:$I$1000,$N50))))</f>
        <v/>
      </c>
      <c r="I50" s="68">
        <f>IF($N50="","",IF($P50&gt;0,IF(4&lt;=SemanaActual,INDEX('Cronograma R. Operacional'!$AB$5:$AB$1000,$N50),""),IF(INDEX('Cronograma R. Operacional'!$J$5:$J$1000,$N50)="","",INDEX('Cronograma R. Operacional'!$J$5:$J$1000,$N50))))</f>
        <v/>
      </c>
      <c r="J50" s="68">
        <f>IF($N50="","",INDEX('Cronograma R. Operacional'!$K$5:$K$1000,$N50))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Operacional'!$M$5:$M$1000,$N50)&amp;"")</f>
        <v/>
      </c>
      <c r="M50" s="71">
        <f>IF($N50="","",INDEX('Cronograma R. Operacional'!$N$5:$N$1000,$N50)&amp;"")</f>
        <v/>
      </c>
      <c r="N50">
        <f>IFERROR(MATCH(ROW()-4,rOrden_RO,0),"")</f>
        <v/>
      </c>
      <c r="O50">
        <f>IF($N50="","",INDEX('Cronograma R. Operacional'!$S$5:$S$1000,$N50))</f>
        <v/>
      </c>
      <c r="P50">
        <f>IF($N50="","",N(INDEX('Cronograma R. Operacional'!$T$5:$T$1000,$N50)))</f>
        <v/>
      </c>
    </row>
    <row r="51">
      <c r="A51" s="62">
        <f>IF($N51="","",INDEX('Cronograma R. Operacional'!$A$5:$A$1000,$N51))</f>
        <v/>
      </c>
      <c r="B51" s="71">
        <f>IF($N51="","",IF($O51="Sub","      ↳  "&amp;INDEX('Cronograma R. Operacional'!$C$5:$C$1000,$N51),INDEX('Cronograma R. Operacional'!$C$5:$C$1000,$N51)&amp;""))</f>
        <v/>
      </c>
      <c r="C51" s="77">
        <f>IF($N51="","",IF(INDEX('Cronograma R. Operacional'!$D$5:$D$1000,$N51)="","",INDEX('Cronograma R. Operacional'!$D$5:$D$1000,$N51)))</f>
        <v/>
      </c>
      <c r="D51" s="77">
        <f>IF($N51="","",IF(INDEX('Cronograma R. Operacional'!$E$5:$E$1000,$N51)="","",INDEX('Cronograma R. Operacional'!$E$5:$E$1000,$N51)))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Operacional'!$Y$5:$Y$1000,$N51),""),IF(INDEX('Cronograma R. Operacional'!$G$5:$G$1000,$N51)="","",INDEX('Cronograma R. Operacional'!$G$5:$G$1000,$N51))))</f>
        <v/>
      </c>
      <c r="G51" s="68">
        <f>IF($N51="","",IF($P51&gt;0,IF(2&lt;=SemanaActual,INDEX('Cronograma R. Operacional'!$Z$5:$Z$1000,$N51),""),IF(INDEX('Cronograma R. Operacional'!$H$5:$H$1000,$N51)="","",INDEX('Cronograma R. Operacional'!$H$5:$H$1000,$N51))))</f>
        <v/>
      </c>
      <c r="H51" s="68">
        <f>IF($N51="","",IF($P51&gt;0,IF(3&lt;=SemanaActual,INDEX('Cronograma R. Operacional'!$AA$5:$AA$1000,$N51),""),IF(INDEX('Cronograma R. Operacional'!$I$5:$I$1000,$N51)="","",INDEX('Cronograma R. Operacional'!$I$5:$I$1000,$N51))))</f>
        <v/>
      </c>
      <c r="I51" s="68">
        <f>IF($N51="","",IF($P51&gt;0,IF(4&lt;=SemanaActual,INDEX('Cronograma R. Operacional'!$AB$5:$AB$1000,$N51),""),IF(INDEX('Cronograma R. Operacional'!$J$5:$J$1000,$N51)="","",INDEX('Cronograma R. Operacional'!$J$5:$J$1000,$N51))))</f>
        <v/>
      </c>
      <c r="J51" s="68">
        <f>IF($N51="","",INDEX('Cronograma R. Operacional'!$K$5:$K$1000,$N51))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Operacional'!$M$5:$M$1000,$N51)&amp;"")</f>
        <v/>
      </c>
      <c r="M51" s="71">
        <f>IF($N51="","",INDEX('Cronograma R. Operacional'!$N$5:$N$1000,$N51)&amp;"")</f>
        <v/>
      </c>
      <c r="N51">
        <f>IFERROR(MATCH(ROW()-4,rOrden_RO,0),"")</f>
        <v/>
      </c>
      <c r="O51">
        <f>IF($N51="","",INDEX('Cronograma R. Operacional'!$S$5:$S$1000,$N51))</f>
        <v/>
      </c>
      <c r="P51">
        <f>IF($N51="","",N(INDEX('Cronograma R. Operacional'!$T$5:$T$1000,$N51)))</f>
        <v/>
      </c>
    </row>
    <row r="52">
      <c r="A52" s="62">
        <f>IF($N52="","",INDEX('Cronograma R. Operacional'!$A$5:$A$1000,$N52))</f>
        <v/>
      </c>
      <c r="B52" s="71">
        <f>IF($N52="","",IF($O52="Sub","      ↳  "&amp;INDEX('Cronograma R. Operacional'!$C$5:$C$1000,$N52),INDEX('Cronograma R. Operacional'!$C$5:$C$1000,$N52)&amp;""))</f>
        <v/>
      </c>
      <c r="C52" s="77">
        <f>IF($N52="","",IF(INDEX('Cronograma R. Operacional'!$D$5:$D$1000,$N52)="","",INDEX('Cronograma R. Operacional'!$D$5:$D$1000,$N52)))</f>
        <v/>
      </c>
      <c r="D52" s="77">
        <f>IF($N52="","",IF(INDEX('Cronograma R. Operacional'!$E$5:$E$1000,$N52)="","",INDEX('Cronograma R. Operacional'!$E$5:$E$1000,$N52)))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Operacional'!$Y$5:$Y$1000,$N52),""),IF(INDEX('Cronograma R. Operacional'!$G$5:$G$1000,$N52)="","",INDEX('Cronograma R. Operacional'!$G$5:$G$1000,$N52))))</f>
        <v/>
      </c>
      <c r="G52" s="68">
        <f>IF($N52="","",IF($P52&gt;0,IF(2&lt;=SemanaActual,INDEX('Cronograma R. Operacional'!$Z$5:$Z$1000,$N52),""),IF(INDEX('Cronograma R. Operacional'!$H$5:$H$1000,$N52)="","",INDEX('Cronograma R. Operacional'!$H$5:$H$1000,$N52))))</f>
        <v/>
      </c>
      <c r="H52" s="68">
        <f>IF($N52="","",IF($P52&gt;0,IF(3&lt;=SemanaActual,INDEX('Cronograma R. Operacional'!$AA$5:$AA$1000,$N52),""),IF(INDEX('Cronograma R. Operacional'!$I$5:$I$1000,$N52)="","",INDEX('Cronograma R. Operacional'!$I$5:$I$1000,$N52))))</f>
        <v/>
      </c>
      <c r="I52" s="68">
        <f>IF($N52="","",IF($P52&gt;0,IF(4&lt;=SemanaActual,INDEX('Cronograma R. Operacional'!$AB$5:$AB$1000,$N52),""),IF(INDEX('Cronograma R. Operacional'!$J$5:$J$1000,$N52)="","",INDEX('Cronograma R. Operacional'!$J$5:$J$1000,$N52))))</f>
        <v/>
      </c>
      <c r="J52" s="68">
        <f>IF($N52="","",INDEX('Cronograma R. Operacional'!$K$5:$K$1000,$N52))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Operacional'!$M$5:$M$1000,$N52)&amp;"")</f>
        <v/>
      </c>
      <c r="M52" s="71">
        <f>IF($N52="","",INDEX('Cronograma R. Operacional'!$N$5:$N$1000,$N52)&amp;"")</f>
        <v/>
      </c>
      <c r="N52">
        <f>IFERROR(MATCH(ROW()-4,rOrden_RO,0),"")</f>
        <v/>
      </c>
      <c r="O52">
        <f>IF($N52="","",INDEX('Cronograma R. Operacional'!$S$5:$S$1000,$N52))</f>
        <v/>
      </c>
      <c r="P52">
        <f>IF($N52="","",N(INDEX('Cronograma R. Operacional'!$T$5:$T$1000,$N52)))</f>
        <v/>
      </c>
    </row>
    <row r="53">
      <c r="A53" s="62">
        <f>IF($N53="","",INDEX('Cronograma R. Operacional'!$A$5:$A$1000,$N53))</f>
        <v/>
      </c>
      <c r="B53" s="71">
        <f>IF($N53="","",IF($O53="Sub","      ↳  "&amp;INDEX('Cronograma R. Operacional'!$C$5:$C$1000,$N53),INDEX('Cronograma R. Operacional'!$C$5:$C$1000,$N53)&amp;""))</f>
        <v/>
      </c>
      <c r="C53" s="77">
        <f>IF($N53="","",IF(INDEX('Cronograma R. Operacional'!$D$5:$D$1000,$N53)="","",INDEX('Cronograma R. Operacional'!$D$5:$D$1000,$N53)))</f>
        <v/>
      </c>
      <c r="D53" s="77">
        <f>IF($N53="","",IF(INDEX('Cronograma R. Operacional'!$E$5:$E$1000,$N53)="","",INDEX('Cronograma R. Operacional'!$E$5:$E$1000,$N53)))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Operacional'!$Y$5:$Y$1000,$N53),""),IF(INDEX('Cronograma R. Operacional'!$G$5:$G$1000,$N53)="","",INDEX('Cronograma R. Operacional'!$G$5:$G$1000,$N53))))</f>
        <v/>
      </c>
      <c r="G53" s="68">
        <f>IF($N53="","",IF($P53&gt;0,IF(2&lt;=SemanaActual,INDEX('Cronograma R. Operacional'!$Z$5:$Z$1000,$N53),""),IF(INDEX('Cronograma R. Operacional'!$H$5:$H$1000,$N53)="","",INDEX('Cronograma R. Operacional'!$H$5:$H$1000,$N53))))</f>
        <v/>
      </c>
      <c r="H53" s="68">
        <f>IF($N53="","",IF($P53&gt;0,IF(3&lt;=SemanaActual,INDEX('Cronograma R. Operacional'!$AA$5:$AA$1000,$N53),""),IF(INDEX('Cronograma R. Operacional'!$I$5:$I$1000,$N53)="","",INDEX('Cronograma R. Operacional'!$I$5:$I$1000,$N53))))</f>
        <v/>
      </c>
      <c r="I53" s="68">
        <f>IF($N53="","",IF($P53&gt;0,IF(4&lt;=SemanaActual,INDEX('Cronograma R. Operacional'!$AB$5:$AB$1000,$N53),""),IF(INDEX('Cronograma R. Operacional'!$J$5:$J$1000,$N53)="","",INDEX('Cronograma R. Operacional'!$J$5:$J$1000,$N53))))</f>
        <v/>
      </c>
      <c r="J53" s="68">
        <f>IF($N53="","",INDEX('Cronograma R. Operacional'!$K$5:$K$1000,$N53))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Operacional'!$M$5:$M$1000,$N53)&amp;"")</f>
        <v/>
      </c>
      <c r="M53" s="71">
        <f>IF($N53="","",INDEX('Cronograma R. Operacional'!$N$5:$N$1000,$N53)&amp;"")</f>
        <v/>
      </c>
      <c r="N53">
        <f>IFERROR(MATCH(ROW()-4,rOrden_RO,0),"")</f>
        <v/>
      </c>
      <c r="O53">
        <f>IF($N53="","",INDEX('Cronograma R. Operacional'!$S$5:$S$1000,$N53))</f>
        <v/>
      </c>
      <c r="P53">
        <f>IF($N53="","",N(INDEX('Cronograma R. Operacional'!$T$5:$T$1000,$N53)))</f>
        <v/>
      </c>
    </row>
    <row r="54">
      <c r="A54" s="62">
        <f>IF($N54="","",INDEX('Cronograma R. Operacional'!$A$5:$A$1000,$N54))</f>
        <v/>
      </c>
      <c r="B54" s="71">
        <f>IF($N54="","",IF($O54="Sub","      ↳  "&amp;INDEX('Cronograma R. Operacional'!$C$5:$C$1000,$N54),INDEX('Cronograma R. Operacional'!$C$5:$C$1000,$N54)&amp;""))</f>
        <v/>
      </c>
      <c r="C54" s="77">
        <f>IF($N54="","",IF(INDEX('Cronograma R. Operacional'!$D$5:$D$1000,$N54)="","",INDEX('Cronograma R. Operacional'!$D$5:$D$1000,$N54)))</f>
        <v/>
      </c>
      <c r="D54" s="77">
        <f>IF($N54="","",IF(INDEX('Cronograma R. Operacional'!$E$5:$E$1000,$N54)="","",INDEX('Cronograma R. Operacional'!$E$5:$E$1000,$N54)))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Operacional'!$Y$5:$Y$1000,$N54),""),IF(INDEX('Cronograma R. Operacional'!$G$5:$G$1000,$N54)="","",INDEX('Cronograma R. Operacional'!$G$5:$G$1000,$N54))))</f>
        <v/>
      </c>
      <c r="G54" s="68">
        <f>IF($N54="","",IF($P54&gt;0,IF(2&lt;=SemanaActual,INDEX('Cronograma R. Operacional'!$Z$5:$Z$1000,$N54),""),IF(INDEX('Cronograma R. Operacional'!$H$5:$H$1000,$N54)="","",INDEX('Cronograma R. Operacional'!$H$5:$H$1000,$N54))))</f>
        <v/>
      </c>
      <c r="H54" s="68">
        <f>IF($N54="","",IF($P54&gt;0,IF(3&lt;=SemanaActual,INDEX('Cronograma R. Operacional'!$AA$5:$AA$1000,$N54),""),IF(INDEX('Cronograma R. Operacional'!$I$5:$I$1000,$N54)="","",INDEX('Cronograma R. Operacional'!$I$5:$I$1000,$N54))))</f>
        <v/>
      </c>
      <c r="I54" s="68">
        <f>IF($N54="","",IF($P54&gt;0,IF(4&lt;=SemanaActual,INDEX('Cronograma R. Operacional'!$AB$5:$AB$1000,$N54),""),IF(INDEX('Cronograma R. Operacional'!$J$5:$J$1000,$N54)="","",INDEX('Cronograma R. Operacional'!$J$5:$J$1000,$N54))))</f>
        <v/>
      </c>
      <c r="J54" s="68">
        <f>IF($N54="","",INDEX('Cronograma R. Operacional'!$K$5:$K$1000,$N54))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Operacional'!$M$5:$M$1000,$N54)&amp;"")</f>
        <v/>
      </c>
      <c r="M54" s="71">
        <f>IF($N54="","",INDEX('Cronograma R. Operacional'!$N$5:$N$1000,$N54)&amp;"")</f>
        <v/>
      </c>
      <c r="N54">
        <f>IFERROR(MATCH(ROW()-4,rOrden_RO,0),"")</f>
        <v/>
      </c>
      <c r="O54">
        <f>IF($N54="","",INDEX('Cronograma R. Operacional'!$S$5:$S$1000,$N54))</f>
        <v/>
      </c>
      <c r="P54">
        <f>IF($N54="","",N(INDEX('Cronograma R. Operacional'!$T$5:$T$1000,$N54)))</f>
        <v/>
      </c>
    </row>
    <row r="55">
      <c r="A55" s="62">
        <f>IF($N55="","",INDEX('Cronograma R. Operacional'!$A$5:$A$1000,$N55))</f>
        <v/>
      </c>
      <c r="B55" s="71">
        <f>IF($N55="","",IF($O55="Sub","      ↳  "&amp;INDEX('Cronograma R. Operacional'!$C$5:$C$1000,$N55),INDEX('Cronograma R. Operacional'!$C$5:$C$1000,$N55)&amp;""))</f>
        <v/>
      </c>
      <c r="C55" s="77">
        <f>IF($N55="","",IF(INDEX('Cronograma R. Operacional'!$D$5:$D$1000,$N55)="","",INDEX('Cronograma R. Operacional'!$D$5:$D$1000,$N55)))</f>
        <v/>
      </c>
      <c r="D55" s="77">
        <f>IF($N55="","",IF(INDEX('Cronograma R. Operacional'!$E$5:$E$1000,$N55)="","",INDEX('Cronograma R. Operacional'!$E$5:$E$1000,$N55)))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Operacional'!$Y$5:$Y$1000,$N55),""),IF(INDEX('Cronograma R. Operacional'!$G$5:$G$1000,$N55)="","",INDEX('Cronograma R. Operacional'!$G$5:$G$1000,$N55))))</f>
        <v/>
      </c>
      <c r="G55" s="68">
        <f>IF($N55="","",IF($P55&gt;0,IF(2&lt;=SemanaActual,INDEX('Cronograma R. Operacional'!$Z$5:$Z$1000,$N55),""),IF(INDEX('Cronograma R. Operacional'!$H$5:$H$1000,$N55)="","",INDEX('Cronograma R. Operacional'!$H$5:$H$1000,$N55))))</f>
        <v/>
      </c>
      <c r="H55" s="68">
        <f>IF($N55="","",IF($P55&gt;0,IF(3&lt;=SemanaActual,INDEX('Cronograma R. Operacional'!$AA$5:$AA$1000,$N55),""),IF(INDEX('Cronograma R. Operacional'!$I$5:$I$1000,$N55)="","",INDEX('Cronograma R. Operacional'!$I$5:$I$1000,$N55))))</f>
        <v/>
      </c>
      <c r="I55" s="68">
        <f>IF($N55="","",IF($P55&gt;0,IF(4&lt;=SemanaActual,INDEX('Cronograma R. Operacional'!$AB$5:$AB$1000,$N55),""),IF(INDEX('Cronograma R. Operacional'!$J$5:$J$1000,$N55)="","",INDEX('Cronograma R. Operacional'!$J$5:$J$1000,$N55))))</f>
        <v/>
      </c>
      <c r="J55" s="68">
        <f>IF($N55="","",INDEX('Cronograma R. Operacional'!$K$5:$K$1000,$N55))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Operacional'!$M$5:$M$1000,$N55)&amp;"")</f>
        <v/>
      </c>
      <c r="M55" s="71">
        <f>IF($N55="","",INDEX('Cronograma R. Operacional'!$N$5:$N$1000,$N55)&amp;"")</f>
        <v/>
      </c>
      <c r="N55">
        <f>IFERROR(MATCH(ROW()-4,rOrden_RO,0),"")</f>
        <v/>
      </c>
      <c r="O55">
        <f>IF($N55="","",INDEX('Cronograma R. Operacional'!$S$5:$S$1000,$N55))</f>
        <v/>
      </c>
      <c r="P55">
        <f>IF($N55="","",N(INDEX('Cronograma R. Operacional'!$T$5:$T$1000,$N55)))</f>
        <v/>
      </c>
    </row>
    <row r="56">
      <c r="A56" s="62">
        <f>IF($N56="","",INDEX('Cronograma R. Operacional'!$A$5:$A$1000,$N56))</f>
        <v/>
      </c>
      <c r="B56" s="71">
        <f>IF($N56="","",IF($O56="Sub","      ↳  "&amp;INDEX('Cronograma R. Operacional'!$C$5:$C$1000,$N56),INDEX('Cronograma R. Operacional'!$C$5:$C$1000,$N56)&amp;""))</f>
        <v/>
      </c>
      <c r="C56" s="77">
        <f>IF($N56="","",IF(INDEX('Cronograma R. Operacional'!$D$5:$D$1000,$N56)="","",INDEX('Cronograma R. Operacional'!$D$5:$D$1000,$N56)))</f>
        <v/>
      </c>
      <c r="D56" s="77">
        <f>IF($N56="","",IF(INDEX('Cronograma R. Operacional'!$E$5:$E$1000,$N56)="","",INDEX('Cronograma R. Operacional'!$E$5:$E$1000,$N56)))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Operacional'!$Y$5:$Y$1000,$N56),""),IF(INDEX('Cronograma R. Operacional'!$G$5:$G$1000,$N56)="","",INDEX('Cronograma R. Operacional'!$G$5:$G$1000,$N56))))</f>
        <v/>
      </c>
      <c r="G56" s="68">
        <f>IF($N56="","",IF($P56&gt;0,IF(2&lt;=SemanaActual,INDEX('Cronograma R. Operacional'!$Z$5:$Z$1000,$N56),""),IF(INDEX('Cronograma R. Operacional'!$H$5:$H$1000,$N56)="","",INDEX('Cronograma R. Operacional'!$H$5:$H$1000,$N56))))</f>
        <v/>
      </c>
      <c r="H56" s="68">
        <f>IF($N56="","",IF($P56&gt;0,IF(3&lt;=SemanaActual,INDEX('Cronograma R. Operacional'!$AA$5:$AA$1000,$N56),""),IF(INDEX('Cronograma R. Operacional'!$I$5:$I$1000,$N56)="","",INDEX('Cronograma R. Operacional'!$I$5:$I$1000,$N56))))</f>
        <v/>
      </c>
      <c r="I56" s="68">
        <f>IF($N56="","",IF($P56&gt;0,IF(4&lt;=SemanaActual,INDEX('Cronograma R. Operacional'!$AB$5:$AB$1000,$N56),""),IF(INDEX('Cronograma R. Operacional'!$J$5:$J$1000,$N56)="","",INDEX('Cronograma R. Operacional'!$J$5:$J$1000,$N56))))</f>
        <v/>
      </c>
      <c r="J56" s="68">
        <f>IF($N56="","",INDEX('Cronograma R. Operacional'!$K$5:$K$1000,$N56))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Operacional'!$M$5:$M$1000,$N56)&amp;"")</f>
        <v/>
      </c>
      <c r="M56" s="71">
        <f>IF($N56="","",INDEX('Cronograma R. Operacional'!$N$5:$N$1000,$N56)&amp;"")</f>
        <v/>
      </c>
      <c r="N56">
        <f>IFERROR(MATCH(ROW()-4,rOrden_RO,0),"")</f>
        <v/>
      </c>
      <c r="O56">
        <f>IF($N56="","",INDEX('Cronograma R. Operacional'!$S$5:$S$1000,$N56))</f>
        <v/>
      </c>
      <c r="P56">
        <f>IF($N56="","",N(INDEX('Cronograma R. Operacional'!$T$5:$T$1000,$N56)))</f>
        <v/>
      </c>
    </row>
    <row r="57">
      <c r="A57" s="62">
        <f>IF($N57="","",INDEX('Cronograma R. Operacional'!$A$5:$A$1000,$N57))</f>
        <v/>
      </c>
      <c r="B57" s="71">
        <f>IF($N57="","",IF($O57="Sub","      ↳  "&amp;INDEX('Cronograma R. Operacional'!$C$5:$C$1000,$N57),INDEX('Cronograma R. Operacional'!$C$5:$C$1000,$N57)&amp;""))</f>
        <v/>
      </c>
      <c r="C57" s="77">
        <f>IF($N57="","",IF(INDEX('Cronograma R. Operacional'!$D$5:$D$1000,$N57)="","",INDEX('Cronograma R. Operacional'!$D$5:$D$1000,$N57)))</f>
        <v/>
      </c>
      <c r="D57" s="77">
        <f>IF($N57="","",IF(INDEX('Cronograma R. Operacional'!$E$5:$E$1000,$N57)="","",INDEX('Cronograma R. Operacional'!$E$5:$E$1000,$N57)))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Operacional'!$Y$5:$Y$1000,$N57),""),IF(INDEX('Cronograma R. Operacional'!$G$5:$G$1000,$N57)="","",INDEX('Cronograma R. Operacional'!$G$5:$G$1000,$N57))))</f>
        <v/>
      </c>
      <c r="G57" s="68">
        <f>IF($N57="","",IF($P57&gt;0,IF(2&lt;=SemanaActual,INDEX('Cronograma R. Operacional'!$Z$5:$Z$1000,$N57),""),IF(INDEX('Cronograma R. Operacional'!$H$5:$H$1000,$N57)="","",INDEX('Cronograma R. Operacional'!$H$5:$H$1000,$N57))))</f>
        <v/>
      </c>
      <c r="H57" s="68">
        <f>IF($N57="","",IF($P57&gt;0,IF(3&lt;=SemanaActual,INDEX('Cronograma R. Operacional'!$AA$5:$AA$1000,$N57),""),IF(INDEX('Cronograma R. Operacional'!$I$5:$I$1000,$N57)="","",INDEX('Cronograma R. Operacional'!$I$5:$I$1000,$N57))))</f>
        <v/>
      </c>
      <c r="I57" s="68">
        <f>IF($N57="","",IF($P57&gt;0,IF(4&lt;=SemanaActual,INDEX('Cronograma R. Operacional'!$AB$5:$AB$1000,$N57),""),IF(INDEX('Cronograma R. Operacional'!$J$5:$J$1000,$N57)="","",INDEX('Cronograma R. Operacional'!$J$5:$J$1000,$N57))))</f>
        <v/>
      </c>
      <c r="J57" s="68">
        <f>IF($N57="","",INDEX('Cronograma R. Operacional'!$K$5:$K$1000,$N57))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Operacional'!$M$5:$M$1000,$N57)&amp;"")</f>
        <v/>
      </c>
      <c r="M57" s="71">
        <f>IF($N57="","",INDEX('Cronograma R. Operacional'!$N$5:$N$1000,$N57)&amp;"")</f>
        <v/>
      </c>
      <c r="N57">
        <f>IFERROR(MATCH(ROW()-4,rOrden_RO,0),"")</f>
        <v/>
      </c>
      <c r="O57">
        <f>IF($N57="","",INDEX('Cronograma R. Operacional'!$S$5:$S$1000,$N57))</f>
        <v/>
      </c>
      <c r="P57">
        <f>IF($N57="","",N(INDEX('Cronograma R. Operacional'!$T$5:$T$1000,$N57)))</f>
        <v/>
      </c>
    </row>
    <row r="58">
      <c r="A58" s="62">
        <f>IF($N58="","",INDEX('Cronograma R. Operacional'!$A$5:$A$1000,$N58))</f>
        <v/>
      </c>
      <c r="B58" s="71">
        <f>IF($N58="","",IF($O58="Sub","      ↳  "&amp;INDEX('Cronograma R. Operacional'!$C$5:$C$1000,$N58),INDEX('Cronograma R. Operacional'!$C$5:$C$1000,$N58)&amp;""))</f>
        <v/>
      </c>
      <c r="C58" s="77">
        <f>IF($N58="","",IF(INDEX('Cronograma R. Operacional'!$D$5:$D$1000,$N58)="","",INDEX('Cronograma R. Operacional'!$D$5:$D$1000,$N58)))</f>
        <v/>
      </c>
      <c r="D58" s="77">
        <f>IF($N58="","",IF(INDEX('Cronograma R. Operacional'!$E$5:$E$1000,$N58)="","",INDEX('Cronograma R. Operacional'!$E$5:$E$1000,$N58)))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Operacional'!$Y$5:$Y$1000,$N58),""),IF(INDEX('Cronograma R. Operacional'!$G$5:$G$1000,$N58)="","",INDEX('Cronograma R. Operacional'!$G$5:$G$1000,$N58))))</f>
        <v/>
      </c>
      <c r="G58" s="68">
        <f>IF($N58="","",IF($P58&gt;0,IF(2&lt;=SemanaActual,INDEX('Cronograma R. Operacional'!$Z$5:$Z$1000,$N58),""),IF(INDEX('Cronograma R. Operacional'!$H$5:$H$1000,$N58)="","",INDEX('Cronograma R. Operacional'!$H$5:$H$1000,$N58))))</f>
        <v/>
      </c>
      <c r="H58" s="68">
        <f>IF($N58="","",IF($P58&gt;0,IF(3&lt;=SemanaActual,INDEX('Cronograma R. Operacional'!$AA$5:$AA$1000,$N58),""),IF(INDEX('Cronograma R. Operacional'!$I$5:$I$1000,$N58)="","",INDEX('Cronograma R. Operacional'!$I$5:$I$1000,$N58))))</f>
        <v/>
      </c>
      <c r="I58" s="68">
        <f>IF($N58="","",IF($P58&gt;0,IF(4&lt;=SemanaActual,INDEX('Cronograma R. Operacional'!$AB$5:$AB$1000,$N58),""),IF(INDEX('Cronograma R. Operacional'!$J$5:$J$1000,$N58)="","",INDEX('Cronograma R. Operacional'!$J$5:$J$1000,$N58))))</f>
        <v/>
      </c>
      <c r="J58" s="68">
        <f>IF($N58="","",INDEX('Cronograma R. Operacional'!$K$5:$K$1000,$N58))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Operacional'!$M$5:$M$1000,$N58)&amp;"")</f>
        <v/>
      </c>
      <c r="M58" s="71">
        <f>IF($N58="","",INDEX('Cronograma R. Operacional'!$N$5:$N$1000,$N58)&amp;"")</f>
        <v/>
      </c>
      <c r="N58">
        <f>IFERROR(MATCH(ROW()-4,rOrden_RO,0),"")</f>
        <v/>
      </c>
      <c r="O58">
        <f>IF($N58="","",INDEX('Cronograma R. Operacional'!$S$5:$S$1000,$N58))</f>
        <v/>
      </c>
      <c r="P58">
        <f>IF($N58="","",N(INDEX('Cronograma R. Operacional'!$T$5:$T$1000,$N58)))</f>
        <v/>
      </c>
    </row>
    <row r="59">
      <c r="A59" s="62">
        <f>IF($N59="","",INDEX('Cronograma R. Operacional'!$A$5:$A$1000,$N59))</f>
        <v/>
      </c>
      <c r="B59" s="71">
        <f>IF($N59="","",IF($O59="Sub","      ↳  "&amp;INDEX('Cronograma R. Operacional'!$C$5:$C$1000,$N59),INDEX('Cronograma R. Operacional'!$C$5:$C$1000,$N59)&amp;""))</f>
        <v/>
      </c>
      <c r="C59" s="77">
        <f>IF($N59="","",IF(INDEX('Cronograma R. Operacional'!$D$5:$D$1000,$N59)="","",INDEX('Cronograma R. Operacional'!$D$5:$D$1000,$N59)))</f>
        <v/>
      </c>
      <c r="D59" s="77">
        <f>IF($N59="","",IF(INDEX('Cronograma R. Operacional'!$E$5:$E$1000,$N59)="","",INDEX('Cronograma R. Operacional'!$E$5:$E$1000,$N59)))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Operacional'!$Y$5:$Y$1000,$N59),""),IF(INDEX('Cronograma R. Operacional'!$G$5:$G$1000,$N59)="","",INDEX('Cronograma R. Operacional'!$G$5:$G$1000,$N59))))</f>
        <v/>
      </c>
      <c r="G59" s="68">
        <f>IF($N59="","",IF($P59&gt;0,IF(2&lt;=SemanaActual,INDEX('Cronograma R. Operacional'!$Z$5:$Z$1000,$N59),""),IF(INDEX('Cronograma R. Operacional'!$H$5:$H$1000,$N59)="","",INDEX('Cronograma R. Operacional'!$H$5:$H$1000,$N59))))</f>
        <v/>
      </c>
      <c r="H59" s="68">
        <f>IF($N59="","",IF($P59&gt;0,IF(3&lt;=SemanaActual,INDEX('Cronograma R. Operacional'!$AA$5:$AA$1000,$N59),""),IF(INDEX('Cronograma R. Operacional'!$I$5:$I$1000,$N59)="","",INDEX('Cronograma R. Operacional'!$I$5:$I$1000,$N59))))</f>
        <v/>
      </c>
      <c r="I59" s="68">
        <f>IF($N59="","",IF($P59&gt;0,IF(4&lt;=SemanaActual,INDEX('Cronograma R. Operacional'!$AB$5:$AB$1000,$N59),""),IF(INDEX('Cronograma R. Operacional'!$J$5:$J$1000,$N59)="","",INDEX('Cronograma R. Operacional'!$J$5:$J$1000,$N59))))</f>
        <v/>
      </c>
      <c r="J59" s="68">
        <f>IF($N59="","",INDEX('Cronograma R. Operacional'!$K$5:$K$1000,$N59))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Operacional'!$M$5:$M$1000,$N59)&amp;"")</f>
        <v/>
      </c>
      <c r="M59" s="71">
        <f>IF($N59="","",INDEX('Cronograma R. Operacional'!$N$5:$N$1000,$N59)&amp;"")</f>
        <v/>
      </c>
      <c r="N59">
        <f>IFERROR(MATCH(ROW()-4,rOrden_RO,0),"")</f>
        <v/>
      </c>
      <c r="O59">
        <f>IF($N59="","",INDEX('Cronograma R. Operacional'!$S$5:$S$1000,$N59))</f>
        <v/>
      </c>
      <c r="P59">
        <f>IF($N59="","",N(INDEX('Cronograma R. Operacional'!$T$5:$T$1000,$N59)))</f>
        <v/>
      </c>
    </row>
    <row r="60">
      <c r="A60" s="62">
        <f>IF($N60="","",INDEX('Cronograma R. Operacional'!$A$5:$A$1000,$N60))</f>
        <v/>
      </c>
      <c r="B60" s="71">
        <f>IF($N60="","",IF($O60="Sub","      ↳  "&amp;INDEX('Cronograma R. Operacional'!$C$5:$C$1000,$N60),INDEX('Cronograma R. Operacional'!$C$5:$C$1000,$N60)&amp;""))</f>
        <v/>
      </c>
      <c r="C60" s="77">
        <f>IF($N60="","",IF(INDEX('Cronograma R. Operacional'!$D$5:$D$1000,$N60)="","",INDEX('Cronograma R. Operacional'!$D$5:$D$1000,$N60)))</f>
        <v/>
      </c>
      <c r="D60" s="77">
        <f>IF($N60="","",IF(INDEX('Cronograma R. Operacional'!$E$5:$E$1000,$N60)="","",INDEX('Cronograma R. Operacional'!$E$5:$E$1000,$N60)))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Operacional'!$Y$5:$Y$1000,$N60),""),IF(INDEX('Cronograma R. Operacional'!$G$5:$G$1000,$N60)="","",INDEX('Cronograma R. Operacional'!$G$5:$G$1000,$N60))))</f>
        <v/>
      </c>
      <c r="G60" s="68">
        <f>IF($N60="","",IF($P60&gt;0,IF(2&lt;=SemanaActual,INDEX('Cronograma R. Operacional'!$Z$5:$Z$1000,$N60),""),IF(INDEX('Cronograma R. Operacional'!$H$5:$H$1000,$N60)="","",INDEX('Cronograma R. Operacional'!$H$5:$H$1000,$N60))))</f>
        <v/>
      </c>
      <c r="H60" s="68">
        <f>IF($N60="","",IF($P60&gt;0,IF(3&lt;=SemanaActual,INDEX('Cronograma R. Operacional'!$AA$5:$AA$1000,$N60),""),IF(INDEX('Cronograma R. Operacional'!$I$5:$I$1000,$N60)="","",INDEX('Cronograma R. Operacional'!$I$5:$I$1000,$N60))))</f>
        <v/>
      </c>
      <c r="I60" s="68">
        <f>IF($N60="","",IF($P60&gt;0,IF(4&lt;=SemanaActual,INDEX('Cronograma R. Operacional'!$AB$5:$AB$1000,$N60),""),IF(INDEX('Cronograma R. Operacional'!$J$5:$J$1000,$N60)="","",INDEX('Cronograma R. Operacional'!$J$5:$J$1000,$N60))))</f>
        <v/>
      </c>
      <c r="J60" s="68">
        <f>IF($N60="","",INDEX('Cronograma R. Operacional'!$K$5:$K$1000,$N60))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Operacional'!$M$5:$M$1000,$N60)&amp;"")</f>
        <v/>
      </c>
      <c r="M60" s="71">
        <f>IF($N60="","",INDEX('Cronograma R. Operacional'!$N$5:$N$1000,$N60)&amp;"")</f>
        <v/>
      </c>
      <c r="N60">
        <f>IFERROR(MATCH(ROW()-4,rOrden_RO,0),"")</f>
        <v/>
      </c>
      <c r="O60">
        <f>IF($N60="","",INDEX('Cronograma R. Operacional'!$S$5:$S$1000,$N60))</f>
        <v/>
      </c>
      <c r="P60">
        <f>IF($N60="","",N(INDEX('Cronograma R. Operacional'!$T$5:$T$1000,$N60)))</f>
        <v/>
      </c>
    </row>
    <row r="61">
      <c r="A61" s="62">
        <f>IF($N61="","",INDEX('Cronograma R. Operacional'!$A$5:$A$1000,$N61))</f>
        <v/>
      </c>
      <c r="B61" s="71">
        <f>IF($N61="","",IF($O61="Sub","      ↳  "&amp;INDEX('Cronograma R. Operacional'!$C$5:$C$1000,$N61),INDEX('Cronograma R. Operacional'!$C$5:$C$1000,$N61)&amp;""))</f>
        <v/>
      </c>
      <c r="C61" s="77">
        <f>IF($N61="","",IF(INDEX('Cronograma R. Operacional'!$D$5:$D$1000,$N61)="","",INDEX('Cronograma R. Operacional'!$D$5:$D$1000,$N61)))</f>
        <v/>
      </c>
      <c r="D61" s="77">
        <f>IF($N61="","",IF(INDEX('Cronograma R. Operacional'!$E$5:$E$1000,$N61)="","",INDEX('Cronograma R. Operacional'!$E$5:$E$1000,$N61)))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Operacional'!$Y$5:$Y$1000,$N61),""),IF(INDEX('Cronograma R. Operacional'!$G$5:$G$1000,$N61)="","",INDEX('Cronograma R. Operacional'!$G$5:$G$1000,$N61))))</f>
        <v/>
      </c>
      <c r="G61" s="68">
        <f>IF($N61="","",IF($P61&gt;0,IF(2&lt;=SemanaActual,INDEX('Cronograma R. Operacional'!$Z$5:$Z$1000,$N61),""),IF(INDEX('Cronograma R. Operacional'!$H$5:$H$1000,$N61)="","",INDEX('Cronograma R. Operacional'!$H$5:$H$1000,$N61))))</f>
        <v/>
      </c>
      <c r="H61" s="68">
        <f>IF($N61="","",IF($P61&gt;0,IF(3&lt;=SemanaActual,INDEX('Cronograma R. Operacional'!$AA$5:$AA$1000,$N61),""),IF(INDEX('Cronograma R. Operacional'!$I$5:$I$1000,$N61)="","",INDEX('Cronograma R. Operacional'!$I$5:$I$1000,$N61))))</f>
        <v/>
      </c>
      <c r="I61" s="68">
        <f>IF($N61="","",IF($P61&gt;0,IF(4&lt;=SemanaActual,INDEX('Cronograma R. Operacional'!$AB$5:$AB$1000,$N61),""),IF(INDEX('Cronograma R. Operacional'!$J$5:$J$1000,$N61)="","",INDEX('Cronograma R. Operacional'!$J$5:$J$1000,$N61))))</f>
        <v/>
      </c>
      <c r="J61" s="68">
        <f>IF($N61="","",INDEX('Cronograma R. Operacional'!$K$5:$K$1000,$N61))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Operacional'!$M$5:$M$1000,$N61)&amp;"")</f>
        <v/>
      </c>
      <c r="M61" s="71">
        <f>IF($N61="","",INDEX('Cronograma R. Operacional'!$N$5:$N$1000,$N61)&amp;"")</f>
        <v/>
      </c>
      <c r="N61">
        <f>IFERROR(MATCH(ROW()-4,rOrden_RO,0),"")</f>
        <v/>
      </c>
      <c r="O61">
        <f>IF($N61="","",INDEX('Cronograma R. Operacional'!$S$5:$S$1000,$N61))</f>
        <v/>
      </c>
      <c r="P61">
        <f>IF($N61="","",N(INDEX('Cronograma R. Operacional'!$T$5:$T$1000,$N61)))</f>
        <v/>
      </c>
    </row>
    <row r="62">
      <c r="A62" s="62">
        <f>IF($N62="","",INDEX('Cronograma R. Operacional'!$A$5:$A$1000,$N62))</f>
        <v/>
      </c>
      <c r="B62" s="71">
        <f>IF($N62="","",IF($O62="Sub","      ↳  "&amp;INDEX('Cronograma R. Operacional'!$C$5:$C$1000,$N62),INDEX('Cronograma R. Operacional'!$C$5:$C$1000,$N62)&amp;""))</f>
        <v/>
      </c>
      <c r="C62" s="77">
        <f>IF($N62="","",IF(INDEX('Cronograma R. Operacional'!$D$5:$D$1000,$N62)="","",INDEX('Cronograma R. Operacional'!$D$5:$D$1000,$N62)))</f>
        <v/>
      </c>
      <c r="D62" s="77">
        <f>IF($N62="","",IF(INDEX('Cronograma R. Operacional'!$E$5:$E$1000,$N62)="","",INDEX('Cronograma R. Operacional'!$E$5:$E$1000,$N62)))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Operacional'!$Y$5:$Y$1000,$N62),""),IF(INDEX('Cronograma R. Operacional'!$G$5:$G$1000,$N62)="","",INDEX('Cronograma R. Operacional'!$G$5:$G$1000,$N62))))</f>
        <v/>
      </c>
      <c r="G62" s="68">
        <f>IF($N62="","",IF($P62&gt;0,IF(2&lt;=SemanaActual,INDEX('Cronograma R. Operacional'!$Z$5:$Z$1000,$N62),""),IF(INDEX('Cronograma R. Operacional'!$H$5:$H$1000,$N62)="","",INDEX('Cronograma R. Operacional'!$H$5:$H$1000,$N62))))</f>
        <v/>
      </c>
      <c r="H62" s="68">
        <f>IF($N62="","",IF($P62&gt;0,IF(3&lt;=SemanaActual,INDEX('Cronograma R. Operacional'!$AA$5:$AA$1000,$N62),""),IF(INDEX('Cronograma R. Operacional'!$I$5:$I$1000,$N62)="","",INDEX('Cronograma R. Operacional'!$I$5:$I$1000,$N62))))</f>
        <v/>
      </c>
      <c r="I62" s="68">
        <f>IF($N62="","",IF($P62&gt;0,IF(4&lt;=SemanaActual,INDEX('Cronograma R. Operacional'!$AB$5:$AB$1000,$N62),""),IF(INDEX('Cronograma R. Operacional'!$J$5:$J$1000,$N62)="","",INDEX('Cronograma R. Operacional'!$J$5:$J$1000,$N62))))</f>
        <v/>
      </c>
      <c r="J62" s="68">
        <f>IF($N62="","",INDEX('Cronograma R. Operacional'!$K$5:$K$1000,$N62))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Operacional'!$M$5:$M$1000,$N62)&amp;"")</f>
        <v/>
      </c>
      <c r="M62" s="71">
        <f>IF($N62="","",INDEX('Cronograma R. Operacional'!$N$5:$N$1000,$N62)&amp;"")</f>
        <v/>
      </c>
      <c r="N62">
        <f>IFERROR(MATCH(ROW()-4,rOrden_RO,0),"")</f>
        <v/>
      </c>
      <c r="O62">
        <f>IF($N62="","",INDEX('Cronograma R. Operacional'!$S$5:$S$1000,$N62))</f>
        <v/>
      </c>
      <c r="P62">
        <f>IF($N62="","",N(INDEX('Cronograma R. Operacional'!$T$5:$T$1000,$N62)))</f>
        <v/>
      </c>
    </row>
    <row r="63">
      <c r="A63" s="62">
        <f>IF($N63="","",INDEX('Cronograma R. Operacional'!$A$5:$A$1000,$N63))</f>
        <v/>
      </c>
      <c r="B63" s="71">
        <f>IF($N63="","",IF($O63="Sub","      ↳  "&amp;INDEX('Cronograma R. Operacional'!$C$5:$C$1000,$N63),INDEX('Cronograma R. Operacional'!$C$5:$C$1000,$N63)&amp;""))</f>
        <v/>
      </c>
      <c r="C63" s="77">
        <f>IF($N63="","",IF(INDEX('Cronograma R. Operacional'!$D$5:$D$1000,$N63)="","",INDEX('Cronograma R. Operacional'!$D$5:$D$1000,$N63)))</f>
        <v/>
      </c>
      <c r="D63" s="77">
        <f>IF($N63="","",IF(INDEX('Cronograma R. Operacional'!$E$5:$E$1000,$N63)="","",INDEX('Cronograma R. Operacional'!$E$5:$E$1000,$N63)))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Operacional'!$Y$5:$Y$1000,$N63),""),IF(INDEX('Cronograma R. Operacional'!$G$5:$G$1000,$N63)="","",INDEX('Cronograma R. Operacional'!$G$5:$G$1000,$N63))))</f>
        <v/>
      </c>
      <c r="G63" s="68">
        <f>IF($N63="","",IF($P63&gt;0,IF(2&lt;=SemanaActual,INDEX('Cronograma R. Operacional'!$Z$5:$Z$1000,$N63),""),IF(INDEX('Cronograma R. Operacional'!$H$5:$H$1000,$N63)="","",INDEX('Cronograma R. Operacional'!$H$5:$H$1000,$N63))))</f>
        <v/>
      </c>
      <c r="H63" s="68">
        <f>IF($N63="","",IF($P63&gt;0,IF(3&lt;=SemanaActual,INDEX('Cronograma R. Operacional'!$AA$5:$AA$1000,$N63),""),IF(INDEX('Cronograma R. Operacional'!$I$5:$I$1000,$N63)="","",INDEX('Cronograma R. Operacional'!$I$5:$I$1000,$N63))))</f>
        <v/>
      </c>
      <c r="I63" s="68">
        <f>IF($N63="","",IF($P63&gt;0,IF(4&lt;=SemanaActual,INDEX('Cronograma R. Operacional'!$AB$5:$AB$1000,$N63),""),IF(INDEX('Cronograma R. Operacional'!$J$5:$J$1000,$N63)="","",INDEX('Cronograma R. Operacional'!$J$5:$J$1000,$N63))))</f>
        <v/>
      </c>
      <c r="J63" s="68">
        <f>IF($N63="","",INDEX('Cronograma R. Operacional'!$K$5:$K$1000,$N63))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Operacional'!$M$5:$M$1000,$N63)&amp;"")</f>
        <v/>
      </c>
      <c r="M63" s="71">
        <f>IF($N63="","",INDEX('Cronograma R. Operacional'!$N$5:$N$1000,$N63)&amp;"")</f>
        <v/>
      </c>
      <c r="N63">
        <f>IFERROR(MATCH(ROW()-4,rOrden_RO,0),"")</f>
        <v/>
      </c>
      <c r="O63">
        <f>IF($N63="","",INDEX('Cronograma R. Operacional'!$S$5:$S$1000,$N63))</f>
        <v/>
      </c>
      <c r="P63">
        <f>IF($N63="","",N(INDEX('Cronograma R. Operacional'!$T$5:$T$1000,$N63)))</f>
        <v/>
      </c>
    </row>
    <row r="64">
      <c r="A64" s="62">
        <f>IF($N64="","",INDEX('Cronograma R. Operacional'!$A$5:$A$1000,$N64))</f>
        <v/>
      </c>
      <c r="B64" s="71">
        <f>IF($N64="","",IF($O64="Sub","      ↳  "&amp;INDEX('Cronograma R. Operacional'!$C$5:$C$1000,$N64),INDEX('Cronograma R. Operacional'!$C$5:$C$1000,$N64)&amp;""))</f>
        <v/>
      </c>
      <c r="C64" s="77">
        <f>IF($N64="","",IF(INDEX('Cronograma R. Operacional'!$D$5:$D$1000,$N64)="","",INDEX('Cronograma R. Operacional'!$D$5:$D$1000,$N64)))</f>
        <v/>
      </c>
      <c r="D64" s="77">
        <f>IF($N64="","",IF(INDEX('Cronograma R. Operacional'!$E$5:$E$1000,$N64)="","",INDEX('Cronograma R. Operacional'!$E$5:$E$1000,$N64)))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Operacional'!$Y$5:$Y$1000,$N64),""),IF(INDEX('Cronograma R. Operacional'!$G$5:$G$1000,$N64)="","",INDEX('Cronograma R. Operacional'!$G$5:$G$1000,$N64))))</f>
        <v/>
      </c>
      <c r="G64" s="68">
        <f>IF($N64="","",IF($P64&gt;0,IF(2&lt;=SemanaActual,INDEX('Cronograma R. Operacional'!$Z$5:$Z$1000,$N64),""),IF(INDEX('Cronograma R. Operacional'!$H$5:$H$1000,$N64)="","",INDEX('Cronograma R. Operacional'!$H$5:$H$1000,$N64))))</f>
        <v/>
      </c>
      <c r="H64" s="68">
        <f>IF($N64="","",IF($P64&gt;0,IF(3&lt;=SemanaActual,INDEX('Cronograma R. Operacional'!$AA$5:$AA$1000,$N64),""),IF(INDEX('Cronograma R. Operacional'!$I$5:$I$1000,$N64)="","",INDEX('Cronograma R. Operacional'!$I$5:$I$1000,$N64))))</f>
        <v/>
      </c>
      <c r="I64" s="68">
        <f>IF($N64="","",IF($P64&gt;0,IF(4&lt;=SemanaActual,INDEX('Cronograma R. Operacional'!$AB$5:$AB$1000,$N64),""),IF(INDEX('Cronograma R. Operacional'!$J$5:$J$1000,$N64)="","",INDEX('Cronograma R. Operacional'!$J$5:$J$1000,$N64))))</f>
        <v/>
      </c>
      <c r="J64" s="68">
        <f>IF($N64="","",INDEX('Cronograma R. Operacional'!$K$5:$K$1000,$N64))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Operacional'!$M$5:$M$1000,$N64)&amp;"")</f>
        <v/>
      </c>
      <c r="M64" s="71">
        <f>IF($N64="","",INDEX('Cronograma R. Operacional'!$N$5:$N$1000,$N64)&amp;"")</f>
        <v/>
      </c>
      <c r="N64">
        <f>IFERROR(MATCH(ROW()-4,rOrden_RO,0),"")</f>
        <v/>
      </c>
      <c r="O64">
        <f>IF($N64="","",INDEX('Cronograma R. Operacional'!$S$5:$S$1000,$N64))</f>
        <v/>
      </c>
      <c r="P64">
        <f>IF($N64="","",N(INDEX('Cronograma R. Operacional'!$T$5:$T$1000,$N64)))</f>
        <v/>
      </c>
    </row>
    <row r="65">
      <c r="A65" s="62">
        <f>IF($N65="","",INDEX('Cronograma R. Operacional'!$A$5:$A$1000,$N65))</f>
        <v/>
      </c>
      <c r="B65" s="71">
        <f>IF($N65="","",IF($O65="Sub","      ↳  "&amp;INDEX('Cronograma R. Operacional'!$C$5:$C$1000,$N65),INDEX('Cronograma R. Operacional'!$C$5:$C$1000,$N65)&amp;""))</f>
        <v/>
      </c>
      <c r="C65" s="77">
        <f>IF($N65="","",IF(INDEX('Cronograma R. Operacional'!$D$5:$D$1000,$N65)="","",INDEX('Cronograma R. Operacional'!$D$5:$D$1000,$N65)))</f>
        <v/>
      </c>
      <c r="D65" s="77">
        <f>IF($N65="","",IF(INDEX('Cronograma R. Operacional'!$E$5:$E$1000,$N65)="","",INDEX('Cronograma R. Operacional'!$E$5:$E$1000,$N65)))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Operacional'!$Y$5:$Y$1000,$N65),""),IF(INDEX('Cronograma R. Operacional'!$G$5:$G$1000,$N65)="","",INDEX('Cronograma R. Operacional'!$G$5:$G$1000,$N65))))</f>
        <v/>
      </c>
      <c r="G65" s="68">
        <f>IF($N65="","",IF($P65&gt;0,IF(2&lt;=SemanaActual,INDEX('Cronograma R. Operacional'!$Z$5:$Z$1000,$N65),""),IF(INDEX('Cronograma R. Operacional'!$H$5:$H$1000,$N65)="","",INDEX('Cronograma R. Operacional'!$H$5:$H$1000,$N65))))</f>
        <v/>
      </c>
      <c r="H65" s="68">
        <f>IF($N65="","",IF($P65&gt;0,IF(3&lt;=SemanaActual,INDEX('Cronograma R. Operacional'!$AA$5:$AA$1000,$N65),""),IF(INDEX('Cronograma R. Operacional'!$I$5:$I$1000,$N65)="","",INDEX('Cronograma R. Operacional'!$I$5:$I$1000,$N65))))</f>
        <v/>
      </c>
      <c r="I65" s="68">
        <f>IF($N65="","",IF($P65&gt;0,IF(4&lt;=SemanaActual,INDEX('Cronograma R. Operacional'!$AB$5:$AB$1000,$N65),""),IF(INDEX('Cronograma R. Operacional'!$J$5:$J$1000,$N65)="","",INDEX('Cronograma R. Operacional'!$J$5:$J$1000,$N65))))</f>
        <v/>
      </c>
      <c r="J65" s="68">
        <f>IF($N65="","",INDEX('Cronograma R. Operacional'!$K$5:$K$1000,$N65))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Operacional'!$M$5:$M$1000,$N65)&amp;"")</f>
        <v/>
      </c>
      <c r="M65" s="71">
        <f>IF($N65="","",INDEX('Cronograma R. Operacional'!$N$5:$N$1000,$N65)&amp;"")</f>
        <v/>
      </c>
      <c r="N65">
        <f>IFERROR(MATCH(ROW()-4,rOrden_RO,0),"")</f>
        <v/>
      </c>
      <c r="O65">
        <f>IF($N65="","",INDEX('Cronograma R. Operacional'!$S$5:$S$1000,$N65))</f>
        <v/>
      </c>
      <c r="P65">
        <f>IF($N65="","",N(INDEX('Cronograma R. Operacional'!$T$5:$T$1000,$N65)))</f>
        <v/>
      </c>
    </row>
    <row r="66">
      <c r="A66" s="62">
        <f>IF($N66="","",INDEX('Cronograma R. Operacional'!$A$5:$A$1000,$N66))</f>
        <v/>
      </c>
      <c r="B66" s="71">
        <f>IF($N66="","",IF($O66="Sub","      ↳  "&amp;INDEX('Cronograma R. Operacional'!$C$5:$C$1000,$N66),INDEX('Cronograma R. Operacional'!$C$5:$C$1000,$N66)&amp;""))</f>
        <v/>
      </c>
      <c r="C66" s="77">
        <f>IF($N66="","",IF(INDEX('Cronograma R. Operacional'!$D$5:$D$1000,$N66)="","",INDEX('Cronograma R. Operacional'!$D$5:$D$1000,$N66)))</f>
        <v/>
      </c>
      <c r="D66" s="77">
        <f>IF($N66="","",IF(INDEX('Cronograma R. Operacional'!$E$5:$E$1000,$N66)="","",INDEX('Cronograma R. Operacional'!$E$5:$E$1000,$N66)))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Operacional'!$Y$5:$Y$1000,$N66),""),IF(INDEX('Cronograma R. Operacional'!$G$5:$G$1000,$N66)="","",INDEX('Cronograma R. Operacional'!$G$5:$G$1000,$N66))))</f>
        <v/>
      </c>
      <c r="G66" s="68">
        <f>IF($N66="","",IF($P66&gt;0,IF(2&lt;=SemanaActual,INDEX('Cronograma R. Operacional'!$Z$5:$Z$1000,$N66),""),IF(INDEX('Cronograma R. Operacional'!$H$5:$H$1000,$N66)="","",INDEX('Cronograma R. Operacional'!$H$5:$H$1000,$N66))))</f>
        <v/>
      </c>
      <c r="H66" s="68">
        <f>IF($N66="","",IF($P66&gt;0,IF(3&lt;=SemanaActual,INDEX('Cronograma R. Operacional'!$AA$5:$AA$1000,$N66),""),IF(INDEX('Cronograma R. Operacional'!$I$5:$I$1000,$N66)="","",INDEX('Cronograma R. Operacional'!$I$5:$I$1000,$N66))))</f>
        <v/>
      </c>
      <c r="I66" s="68">
        <f>IF($N66="","",IF($P66&gt;0,IF(4&lt;=SemanaActual,INDEX('Cronograma R. Operacional'!$AB$5:$AB$1000,$N66),""),IF(INDEX('Cronograma R. Operacional'!$J$5:$J$1000,$N66)="","",INDEX('Cronograma R. Operacional'!$J$5:$J$1000,$N66))))</f>
        <v/>
      </c>
      <c r="J66" s="68">
        <f>IF($N66="","",INDEX('Cronograma R. Operacional'!$K$5:$K$1000,$N66))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Operacional'!$M$5:$M$1000,$N66)&amp;"")</f>
        <v/>
      </c>
      <c r="M66" s="71">
        <f>IF($N66="","",INDEX('Cronograma R. Operacional'!$N$5:$N$1000,$N66)&amp;"")</f>
        <v/>
      </c>
      <c r="N66">
        <f>IFERROR(MATCH(ROW()-4,rOrden_RO,0),"")</f>
        <v/>
      </c>
      <c r="O66">
        <f>IF($N66="","",INDEX('Cronograma R. Operacional'!$S$5:$S$1000,$N66))</f>
        <v/>
      </c>
      <c r="P66">
        <f>IF($N66="","",N(INDEX('Cronograma R. Operacional'!$T$5:$T$1000,$N66)))</f>
        <v/>
      </c>
    </row>
    <row r="67">
      <c r="A67" s="62">
        <f>IF($N67="","",INDEX('Cronograma R. Operacional'!$A$5:$A$1000,$N67))</f>
        <v/>
      </c>
      <c r="B67" s="71">
        <f>IF($N67="","",IF($O67="Sub","      ↳  "&amp;INDEX('Cronograma R. Operacional'!$C$5:$C$1000,$N67),INDEX('Cronograma R. Operacional'!$C$5:$C$1000,$N67)&amp;""))</f>
        <v/>
      </c>
      <c r="C67" s="77">
        <f>IF($N67="","",IF(INDEX('Cronograma R. Operacional'!$D$5:$D$1000,$N67)="","",INDEX('Cronograma R. Operacional'!$D$5:$D$1000,$N67)))</f>
        <v/>
      </c>
      <c r="D67" s="77">
        <f>IF($N67="","",IF(INDEX('Cronograma R. Operacional'!$E$5:$E$1000,$N67)="","",INDEX('Cronograma R. Operacional'!$E$5:$E$1000,$N67)))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Operacional'!$Y$5:$Y$1000,$N67),""),IF(INDEX('Cronograma R. Operacional'!$G$5:$G$1000,$N67)="","",INDEX('Cronograma R. Operacional'!$G$5:$G$1000,$N67))))</f>
        <v/>
      </c>
      <c r="G67" s="68">
        <f>IF($N67="","",IF($P67&gt;0,IF(2&lt;=SemanaActual,INDEX('Cronograma R. Operacional'!$Z$5:$Z$1000,$N67),""),IF(INDEX('Cronograma R. Operacional'!$H$5:$H$1000,$N67)="","",INDEX('Cronograma R. Operacional'!$H$5:$H$1000,$N67))))</f>
        <v/>
      </c>
      <c r="H67" s="68">
        <f>IF($N67="","",IF($P67&gt;0,IF(3&lt;=SemanaActual,INDEX('Cronograma R. Operacional'!$AA$5:$AA$1000,$N67),""),IF(INDEX('Cronograma R. Operacional'!$I$5:$I$1000,$N67)="","",INDEX('Cronograma R. Operacional'!$I$5:$I$1000,$N67))))</f>
        <v/>
      </c>
      <c r="I67" s="68">
        <f>IF($N67="","",IF($P67&gt;0,IF(4&lt;=SemanaActual,INDEX('Cronograma R. Operacional'!$AB$5:$AB$1000,$N67),""),IF(INDEX('Cronograma R. Operacional'!$J$5:$J$1000,$N67)="","",INDEX('Cronograma R. Operacional'!$J$5:$J$1000,$N67))))</f>
        <v/>
      </c>
      <c r="J67" s="68">
        <f>IF($N67="","",INDEX('Cronograma R. Operacional'!$K$5:$K$1000,$N67))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Operacional'!$M$5:$M$1000,$N67)&amp;"")</f>
        <v/>
      </c>
      <c r="M67" s="71">
        <f>IF($N67="","",INDEX('Cronograma R. Operacional'!$N$5:$N$1000,$N67)&amp;"")</f>
        <v/>
      </c>
      <c r="N67">
        <f>IFERROR(MATCH(ROW()-4,rOrden_RO,0),"")</f>
        <v/>
      </c>
      <c r="O67">
        <f>IF($N67="","",INDEX('Cronograma R. Operacional'!$S$5:$S$1000,$N67))</f>
        <v/>
      </c>
      <c r="P67">
        <f>IF($N67="","",N(INDEX('Cronograma R. Operacional'!$T$5:$T$1000,$N67)))</f>
        <v/>
      </c>
    </row>
    <row r="68">
      <c r="A68" s="62">
        <f>IF($N68="","",INDEX('Cronograma R. Operacional'!$A$5:$A$1000,$N68))</f>
        <v/>
      </c>
      <c r="B68" s="71">
        <f>IF($N68="","",IF($O68="Sub","      ↳  "&amp;INDEX('Cronograma R. Operacional'!$C$5:$C$1000,$N68),INDEX('Cronograma R. Operacional'!$C$5:$C$1000,$N68)&amp;""))</f>
        <v/>
      </c>
      <c r="C68" s="77">
        <f>IF($N68="","",IF(INDEX('Cronograma R. Operacional'!$D$5:$D$1000,$N68)="","",INDEX('Cronograma R. Operacional'!$D$5:$D$1000,$N68)))</f>
        <v/>
      </c>
      <c r="D68" s="77">
        <f>IF($N68="","",IF(INDEX('Cronograma R. Operacional'!$E$5:$E$1000,$N68)="","",INDEX('Cronograma R. Operacional'!$E$5:$E$1000,$N68)))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Operacional'!$Y$5:$Y$1000,$N68),""),IF(INDEX('Cronograma R. Operacional'!$G$5:$G$1000,$N68)="","",INDEX('Cronograma R. Operacional'!$G$5:$G$1000,$N68))))</f>
        <v/>
      </c>
      <c r="G68" s="68">
        <f>IF($N68="","",IF($P68&gt;0,IF(2&lt;=SemanaActual,INDEX('Cronograma R. Operacional'!$Z$5:$Z$1000,$N68),""),IF(INDEX('Cronograma R. Operacional'!$H$5:$H$1000,$N68)="","",INDEX('Cronograma R. Operacional'!$H$5:$H$1000,$N68))))</f>
        <v/>
      </c>
      <c r="H68" s="68">
        <f>IF($N68="","",IF($P68&gt;0,IF(3&lt;=SemanaActual,INDEX('Cronograma R. Operacional'!$AA$5:$AA$1000,$N68),""),IF(INDEX('Cronograma R. Operacional'!$I$5:$I$1000,$N68)="","",INDEX('Cronograma R. Operacional'!$I$5:$I$1000,$N68))))</f>
        <v/>
      </c>
      <c r="I68" s="68">
        <f>IF($N68="","",IF($P68&gt;0,IF(4&lt;=SemanaActual,INDEX('Cronograma R. Operacional'!$AB$5:$AB$1000,$N68),""),IF(INDEX('Cronograma R. Operacional'!$J$5:$J$1000,$N68)="","",INDEX('Cronograma R. Operacional'!$J$5:$J$1000,$N68))))</f>
        <v/>
      </c>
      <c r="J68" s="68">
        <f>IF($N68="","",INDEX('Cronograma R. Operacional'!$K$5:$K$1000,$N68))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Operacional'!$M$5:$M$1000,$N68)&amp;"")</f>
        <v/>
      </c>
      <c r="M68" s="71">
        <f>IF($N68="","",INDEX('Cronograma R. Operacional'!$N$5:$N$1000,$N68)&amp;"")</f>
        <v/>
      </c>
      <c r="N68">
        <f>IFERROR(MATCH(ROW()-4,rOrden_RO,0),"")</f>
        <v/>
      </c>
      <c r="O68">
        <f>IF($N68="","",INDEX('Cronograma R. Operacional'!$S$5:$S$1000,$N68))</f>
        <v/>
      </c>
      <c r="P68">
        <f>IF($N68="","",N(INDEX('Cronograma R. Operacional'!$T$5:$T$1000,$N68)))</f>
        <v/>
      </c>
    </row>
    <row r="69">
      <c r="A69" s="62">
        <f>IF($N69="","",INDEX('Cronograma R. Operacional'!$A$5:$A$1000,$N69))</f>
        <v/>
      </c>
      <c r="B69" s="71">
        <f>IF($N69="","",IF($O69="Sub","      ↳  "&amp;INDEX('Cronograma R. Operacional'!$C$5:$C$1000,$N69),INDEX('Cronograma R. Operacional'!$C$5:$C$1000,$N69)&amp;""))</f>
        <v/>
      </c>
      <c r="C69" s="77">
        <f>IF($N69="","",IF(INDEX('Cronograma R. Operacional'!$D$5:$D$1000,$N69)="","",INDEX('Cronograma R. Operacional'!$D$5:$D$1000,$N69)))</f>
        <v/>
      </c>
      <c r="D69" s="77">
        <f>IF($N69="","",IF(INDEX('Cronograma R. Operacional'!$E$5:$E$1000,$N69)="","",INDEX('Cronograma R. Operacional'!$E$5:$E$1000,$N69)))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Operacional'!$Y$5:$Y$1000,$N69),""),IF(INDEX('Cronograma R. Operacional'!$G$5:$G$1000,$N69)="","",INDEX('Cronograma R. Operacional'!$G$5:$G$1000,$N69))))</f>
        <v/>
      </c>
      <c r="G69" s="68">
        <f>IF($N69="","",IF($P69&gt;0,IF(2&lt;=SemanaActual,INDEX('Cronograma R. Operacional'!$Z$5:$Z$1000,$N69),""),IF(INDEX('Cronograma R. Operacional'!$H$5:$H$1000,$N69)="","",INDEX('Cronograma R. Operacional'!$H$5:$H$1000,$N69))))</f>
        <v/>
      </c>
      <c r="H69" s="68">
        <f>IF($N69="","",IF($P69&gt;0,IF(3&lt;=SemanaActual,INDEX('Cronograma R. Operacional'!$AA$5:$AA$1000,$N69),""),IF(INDEX('Cronograma R. Operacional'!$I$5:$I$1000,$N69)="","",INDEX('Cronograma R. Operacional'!$I$5:$I$1000,$N69))))</f>
        <v/>
      </c>
      <c r="I69" s="68">
        <f>IF($N69="","",IF($P69&gt;0,IF(4&lt;=SemanaActual,INDEX('Cronograma R. Operacional'!$AB$5:$AB$1000,$N69),""),IF(INDEX('Cronograma R. Operacional'!$J$5:$J$1000,$N69)="","",INDEX('Cronograma R. Operacional'!$J$5:$J$1000,$N69))))</f>
        <v/>
      </c>
      <c r="J69" s="68">
        <f>IF($N69="","",INDEX('Cronograma R. Operacional'!$K$5:$K$1000,$N69))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Operacional'!$M$5:$M$1000,$N69)&amp;"")</f>
        <v/>
      </c>
      <c r="M69" s="71">
        <f>IF($N69="","",INDEX('Cronograma R. Operacional'!$N$5:$N$1000,$N69)&amp;"")</f>
        <v/>
      </c>
      <c r="N69">
        <f>IFERROR(MATCH(ROW()-4,rOrden_RO,0),"")</f>
        <v/>
      </c>
      <c r="O69">
        <f>IF($N69="","",INDEX('Cronograma R. Operacional'!$S$5:$S$1000,$N69))</f>
        <v/>
      </c>
      <c r="P69">
        <f>IF($N69="","",N(INDEX('Cronograma R. Operacional'!$T$5:$T$1000,$N69)))</f>
        <v/>
      </c>
    </row>
    <row r="70">
      <c r="A70" s="62">
        <f>IF($N70="","",INDEX('Cronograma R. Operacional'!$A$5:$A$1000,$N70))</f>
        <v/>
      </c>
      <c r="B70" s="71">
        <f>IF($N70="","",IF($O70="Sub","      ↳  "&amp;INDEX('Cronograma R. Operacional'!$C$5:$C$1000,$N70),INDEX('Cronograma R. Operacional'!$C$5:$C$1000,$N70)&amp;""))</f>
        <v/>
      </c>
      <c r="C70" s="77">
        <f>IF($N70="","",IF(INDEX('Cronograma R. Operacional'!$D$5:$D$1000,$N70)="","",INDEX('Cronograma R. Operacional'!$D$5:$D$1000,$N70)))</f>
        <v/>
      </c>
      <c r="D70" s="77">
        <f>IF($N70="","",IF(INDEX('Cronograma R. Operacional'!$E$5:$E$1000,$N70)="","",INDEX('Cronograma R. Operacional'!$E$5:$E$1000,$N70)))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Operacional'!$Y$5:$Y$1000,$N70),""),IF(INDEX('Cronograma R. Operacional'!$G$5:$G$1000,$N70)="","",INDEX('Cronograma R. Operacional'!$G$5:$G$1000,$N70))))</f>
        <v/>
      </c>
      <c r="G70" s="68">
        <f>IF($N70="","",IF($P70&gt;0,IF(2&lt;=SemanaActual,INDEX('Cronograma R. Operacional'!$Z$5:$Z$1000,$N70),""),IF(INDEX('Cronograma R. Operacional'!$H$5:$H$1000,$N70)="","",INDEX('Cronograma R. Operacional'!$H$5:$H$1000,$N70))))</f>
        <v/>
      </c>
      <c r="H70" s="68">
        <f>IF($N70="","",IF($P70&gt;0,IF(3&lt;=SemanaActual,INDEX('Cronograma R. Operacional'!$AA$5:$AA$1000,$N70),""),IF(INDEX('Cronograma R. Operacional'!$I$5:$I$1000,$N70)="","",INDEX('Cronograma R. Operacional'!$I$5:$I$1000,$N70))))</f>
        <v/>
      </c>
      <c r="I70" s="68">
        <f>IF($N70="","",IF($P70&gt;0,IF(4&lt;=SemanaActual,INDEX('Cronograma R. Operacional'!$AB$5:$AB$1000,$N70),""),IF(INDEX('Cronograma R. Operacional'!$J$5:$J$1000,$N70)="","",INDEX('Cronograma R. Operacional'!$J$5:$J$1000,$N70))))</f>
        <v/>
      </c>
      <c r="J70" s="68">
        <f>IF($N70="","",INDEX('Cronograma R. Operacional'!$K$5:$K$1000,$N70))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Operacional'!$M$5:$M$1000,$N70)&amp;"")</f>
        <v/>
      </c>
      <c r="M70" s="71">
        <f>IF($N70="","",INDEX('Cronograma R. Operacional'!$N$5:$N$1000,$N70)&amp;"")</f>
        <v/>
      </c>
      <c r="N70">
        <f>IFERROR(MATCH(ROW()-4,rOrden_RO,0),"")</f>
        <v/>
      </c>
      <c r="O70">
        <f>IF($N70="","",INDEX('Cronograma R. Operacional'!$S$5:$S$1000,$N70))</f>
        <v/>
      </c>
      <c r="P70">
        <f>IF($N70="","",N(INDEX('Cronograma R. Operacional'!$T$5:$T$1000,$N70)))</f>
        <v/>
      </c>
    </row>
    <row r="71">
      <c r="A71" s="62">
        <f>IF($N71="","",INDEX('Cronograma R. Operacional'!$A$5:$A$1000,$N71))</f>
        <v/>
      </c>
      <c r="B71" s="71">
        <f>IF($N71="","",IF($O71="Sub","      ↳  "&amp;INDEX('Cronograma R. Operacional'!$C$5:$C$1000,$N71),INDEX('Cronograma R. Operacional'!$C$5:$C$1000,$N71)&amp;""))</f>
        <v/>
      </c>
      <c r="C71" s="77">
        <f>IF($N71="","",IF(INDEX('Cronograma R. Operacional'!$D$5:$D$1000,$N71)="","",INDEX('Cronograma R. Operacional'!$D$5:$D$1000,$N71)))</f>
        <v/>
      </c>
      <c r="D71" s="77">
        <f>IF($N71="","",IF(INDEX('Cronograma R. Operacional'!$E$5:$E$1000,$N71)="","",INDEX('Cronograma R. Operacional'!$E$5:$E$1000,$N71)))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Operacional'!$Y$5:$Y$1000,$N71),""),IF(INDEX('Cronograma R. Operacional'!$G$5:$G$1000,$N71)="","",INDEX('Cronograma R. Operacional'!$G$5:$G$1000,$N71))))</f>
        <v/>
      </c>
      <c r="G71" s="68">
        <f>IF($N71="","",IF($P71&gt;0,IF(2&lt;=SemanaActual,INDEX('Cronograma R. Operacional'!$Z$5:$Z$1000,$N71),""),IF(INDEX('Cronograma R. Operacional'!$H$5:$H$1000,$N71)="","",INDEX('Cronograma R. Operacional'!$H$5:$H$1000,$N71))))</f>
        <v/>
      </c>
      <c r="H71" s="68">
        <f>IF($N71="","",IF($P71&gt;0,IF(3&lt;=SemanaActual,INDEX('Cronograma R. Operacional'!$AA$5:$AA$1000,$N71),""),IF(INDEX('Cronograma R. Operacional'!$I$5:$I$1000,$N71)="","",INDEX('Cronograma R. Operacional'!$I$5:$I$1000,$N71))))</f>
        <v/>
      </c>
      <c r="I71" s="68">
        <f>IF($N71="","",IF($P71&gt;0,IF(4&lt;=SemanaActual,INDEX('Cronograma R. Operacional'!$AB$5:$AB$1000,$N71),""),IF(INDEX('Cronograma R. Operacional'!$J$5:$J$1000,$N71)="","",INDEX('Cronograma R. Operacional'!$J$5:$J$1000,$N71))))</f>
        <v/>
      </c>
      <c r="J71" s="68">
        <f>IF($N71="","",INDEX('Cronograma R. Operacional'!$K$5:$K$1000,$N71))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Operacional'!$M$5:$M$1000,$N71)&amp;"")</f>
        <v/>
      </c>
      <c r="M71" s="71">
        <f>IF($N71="","",INDEX('Cronograma R. Operacional'!$N$5:$N$1000,$N71)&amp;"")</f>
        <v/>
      </c>
      <c r="N71">
        <f>IFERROR(MATCH(ROW()-4,rOrden_RO,0),"")</f>
        <v/>
      </c>
      <c r="O71">
        <f>IF($N71="","",INDEX('Cronograma R. Operacional'!$S$5:$S$1000,$N71))</f>
        <v/>
      </c>
      <c r="P71">
        <f>IF($N71="","",N(INDEX('Cronograma R. Operacional'!$T$5:$T$1000,$N71)))</f>
        <v/>
      </c>
    </row>
    <row r="72">
      <c r="A72" s="62">
        <f>IF($N72="","",INDEX('Cronograma R. Operacional'!$A$5:$A$1000,$N72))</f>
        <v/>
      </c>
      <c r="B72" s="71">
        <f>IF($N72="","",IF($O72="Sub","      ↳  "&amp;INDEX('Cronograma R. Operacional'!$C$5:$C$1000,$N72),INDEX('Cronograma R. Operacional'!$C$5:$C$1000,$N72)&amp;""))</f>
        <v/>
      </c>
      <c r="C72" s="77">
        <f>IF($N72="","",IF(INDEX('Cronograma R. Operacional'!$D$5:$D$1000,$N72)="","",INDEX('Cronograma R. Operacional'!$D$5:$D$1000,$N72)))</f>
        <v/>
      </c>
      <c r="D72" s="77">
        <f>IF($N72="","",IF(INDEX('Cronograma R. Operacional'!$E$5:$E$1000,$N72)="","",INDEX('Cronograma R. Operacional'!$E$5:$E$1000,$N72)))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Operacional'!$Y$5:$Y$1000,$N72),""),IF(INDEX('Cronograma R. Operacional'!$G$5:$G$1000,$N72)="","",INDEX('Cronograma R. Operacional'!$G$5:$G$1000,$N72))))</f>
        <v/>
      </c>
      <c r="G72" s="68">
        <f>IF($N72="","",IF($P72&gt;0,IF(2&lt;=SemanaActual,INDEX('Cronograma R. Operacional'!$Z$5:$Z$1000,$N72),""),IF(INDEX('Cronograma R. Operacional'!$H$5:$H$1000,$N72)="","",INDEX('Cronograma R. Operacional'!$H$5:$H$1000,$N72))))</f>
        <v/>
      </c>
      <c r="H72" s="68">
        <f>IF($N72="","",IF($P72&gt;0,IF(3&lt;=SemanaActual,INDEX('Cronograma R. Operacional'!$AA$5:$AA$1000,$N72),""),IF(INDEX('Cronograma R. Operacional'!$I$5:$I$1000,$N72)="","",INDEX('Cronograma R. Operacional'!$I$5:$I$1000,$N72))))</f>
        <v/>
      </c>
      <c r="I72" s="68">
        <f>IF($N72="","",IF($P72&gt;0,IF(4&lt;=SemanaActual,INDEX('Cronograma R. Operacional'!$AB$5:$AB$1000,$N72),""),IF(INDEX('Cronograma R. Operacional'!$J$5:$J$1000,$N72)="","",INDEX('Cronograma R. Operacional'!$J$5:$J$1000,$N72))))</f>
        <v/>
      </c>
      <c r="J72" s="68">
        <f>IF($N72="","",INDEX('Cronograma R. Operacional'!$K$5:$K$1000,$N72))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Operacional'!$M$5:$M$1000,$N72)&amp;"")</f>
        <v/>
      </c>
      <c r="M72" s="71">
        <f>IF($N72="","",INDEX('Cronograma R. Operacional'!$N$5:$N$1000,$N72)&amp;"")</f>
        <v/>
      </c>
      <c r="N72">
        <f>IFERROR(MATCH(ROW()-4,rOrden_RO,0),"")</f>
        <v/>
      </c>
      <c r="O72">
        <f>IF($N72="","",INDEX('Cronograma R. Operacional'!$S$5:$S$1000,$N72))</f>
        <v/>
      </c>
      <c r="P72">
        <f>IF($N72="","",N(INDEX('Cronograma R. Operacional'!$T$5:$T$1000,$N72)))</f>
        <v/>
      </c>
    </row>
    <row r="73">
      <c r="A73" s="62">
        <f>IF($N73="","",INDEX('Cronograma R. Operacional'!$A$5:$A$1000,$N73))</f>
        <v/>
      </c>
      <c r="B73" s="71">
        <f>IF($N73="","",IF($O73="Sub","      ↳  "&amp;INDEX('Cronograma R. Operacional'!$C$5:$C$1000,$N73),INDEX('Cronograma R. Operacional'!$C$5:$C$1000,$N73)&amp;""))</f>
        <v/>
      </c>
      <c r="C73" s="77">
        <f>IF($N73="","",IF(INDEX('Cronograma R. Operacional'!$D$5:$D$1000,$N73)="","",INDEX('Cronograma R. Operacional'!$D$5:$D$1000,$N73)))</f>
        <v/>
      </c>
      <c r="D73" s="77">
        <f>IF($N73="","",IF(INDEX('Cronograma R. Operacional'!$E$5:$E$1000,$N73)="","",INDEX('Cronograma R. Operacional'!$E$5:$E$1000,$N73)))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Operacional'!$Y$5:$Y$1000,$N73),""),IF(INDEX('Cronograma R. Operacional'!$G$5:$G$1000,$N73)="","",INDEX('Cronograma R. Operacional'!$G$5:$G$1000,$N73))))</f>
        <v/>
      </c>
      <c r="G73" s="68">
        <f>IF($N73="","",IF($P73&gt;0,IF(2&lt;=SemanaActual,INDEX('Cronograma R. Operacional'!$Z$5:$Z$1000,$N73),""),IF(INDEX('Cronograma R. Operacional'!$H$5:$H$1000,$N73)="","",INDEX('Cronograma R. Operacional'!$H$5:$H$1000,$N73))))</f>
        <v/>
      </c>
      <c r="H73" s="68">
        <f>IF($N73="","",IF($P73&gt;0,IF(3&lt;=SemanaActual,INDEX('Cronograma R. Operacional'!$AA$5:$AA$1000,$N73),""),IF(INDEX('Cronograma R. Operacional'!$I$5:$I$1000,$N73)="","",INDEX('Cronograma R. Operacional'!$I$5:$I$1000,$N73))))</f>
        <v/>
      </c>
      <c r="I73" s="68">
        <f>IF($N73="","",IF($P73&gt;0,IF(4&lt;=SemanaActual,INDEX('Cronograma R. Operacional'!$AB$5:$AB$1000,$N73),""),IF(INDEX('Cronograma R. Operacional'!$J$5:$J$1000,$N73)="","",INDEX('Cronograma R. Operacional'!$J$5:$J$1000,$N73))))</f>
        <v/>
      </c>
      <c r="J73" s="68">
        <f>IF($N73="","",INDEX('Cronograma R. Operacional'!$K$5:$K$1000,$N73))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Operacional'!$M$5:$M$1000,$N73)&amp;"")</f>
        <v/>
      </c>
      <c r="M73" s="71">
        <f>IF($N73="","",INDEX('Cronograma R. Operacional'!$N$5:$N$1000,$N73)&amp;"")</f>
        <v/>
      </c>
      <c r="N73">
        <f>IFERROR(MATCH(ROW()-4,rOrden_RO,0),"")</f>
        <v/>
      </c>
      <c r="O73">
        <f>IF($N73="","",INDEX('Cronograma R. Operacional'!$S$5:$S$1000,$N73))</f>
        <v/>
      </c>
      <c r="P73">
        <f>IF($N73="","",N(INDEX('Cronograma R. Operacional'!$T$5:$T$1000,$N73)))</f>
        <v/>
      </c>
    </row>
    <row r="74">
      <c r="A74" s="62">
        <f>IF($N74="","",INDEX('Cronograma R. Operacional'!$A$5:$A$1000,$N74))</f>
        <v/>
      </c>
      <c r="B74" s="71">
        <f>IF($N74="","",IF($O74="Sub","      ↳  "&amp;INDEX('Cronograma R. Operacional'!$C$5:$C$1000,$N74),INDEX('Cronograma R. Operacional'!$C$5:$C$1000,$N74)&amp;""))</f>
        <v/>
      </c>
      <c r="C74" s="77">
        <f>IF($N74="","",IF(INDEX('Cronograma R. Operacional'!$D$5:$D$1000,$N74)="","",INDEX('Cronograma R. Operacional'!$D$5:$D$1000,$N74)))</f>
        <v/>
      </c>
      <c r="D74" s="77">
        <f>IF($N74="","",IF(INDEX('Cronograma R. Operacional'!$E$5:$E$1000,$N74)="","",INDEX('Cronograma R. Operacional'!$E$5:$E$1000,$N74)))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Operacional'!$Y$5:$Y$1000,$N74),""),IF(INDEX('Cronograma R. Operacional'!$G$5:$G$1000,$N74)="","",INDEX('Cronograma R. Operacional'!$G$5:$G$1000,$N74))))</f>
        <v/>
      </c>
      <c r="G74" s="68">
        <f>IF($N74="","",IF($P74&gt;0,IF(2&lt;=SemanaActual,INDEX('Cronograma R. Operacional'!$Z$5:$Z$1000,$N74),""),IF(INDEX('Cronograma R. Operacional'!$H$5:$H$1000,$N74)="","",INDEX('Cronograma R. Operacional'!$H$5:$H$1000,$N74))))</f>
        <v/>
      </c>
      <c r="H74" s="68">
        <f>IF($N74="","",IF($P74&gt;0,IF(3&lt;=SemanaActual,INDEX('Cronograma R. Operacional'!$AA$5:$AA$1000,$N74),""),IF(INDEX('Cronograma R. Operacional'!$I$5:$I$1000,$N74)="","",INDEX('Cronograma R. Operacional'!$I$5:$I$1000,$N74))))</f>
        <v/>
      </c>
      <c r="I74" s="68">
        <f>IF($N74="","",IF($P74&gt;0,IF(4&lt;=SemanaActual,INDEX('Cronograma R. Operacional'!$AB$5:$AB$1000,$N74),""),IF(INDEX('Cronograma R. Operacional'!$J$5:$J$1000,$N74)="","",INDEX('Cronograma R. Operacional'!$J$5:$J$1000,$N74))))</f>
        <v/>
      </c>
      <c r="J74" s="68">
        <f>IF($N74="","",INDEX('Cronograma R. Operacional'!$K$5:$K$1000,$N74))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Operacional'!$M$5:$M$1000,$N74)&amp;"")</f>
        <v/>
      </c>
      <c r="M74" s="71">
        <f>IF($N74="","",INDEX('Cronograma R. Operacional'!$N$5:$N$1000,$N74)&amp;"")</f>
        <v/>
      </c>
      <c r="N74">
        <f>IFERROR(MATCH(ROW()-4,rOrden_RO,0),"")</f>
        <v/>
      </c>
      <c r="O74">
        <f>IF($N74="","",INDEX('Cronograma R. Operacional'!$S$5:$S$1000,$N74))</f>
        <v/>
      </c>
      <c r="P74">
        <f>IF($N74="","",N(INDEX('Cronograma R. Operacional'!$T$5:$T$1000,$N74)))</f>
        <v/>
      </c>
    </row>
    <row r="75">
      <c r="A75" s="62">
        <f>IF($N75="","",INDEX('Cronograma R. Operacional'!$A$5:$A$1000,$N75))</f>
        <v/>
      </c>
      <c r="B75" s="71">
        <f>IF($N75="","",IF($O75="Sub","      ↳  "&amp;INDEX('Cronograma R. Operacional'!$C$5:$C$1000,$N75),INDEX('Cronograma R. Operacional'!$C$5:$C$1000,$N75)&amp;""))</f>
        <v/>
      </c>
      <c r="C75" s="77">
        <f>IF($N75="","",IF(INDEX('Cronograma R. Operacional'!$D$5:$D$1000,$N75)="","",INDEX('Cronograma R. Operacional'!$D$5:$D$1000,$N75)))</f>
        <v/>
      </c>
      <c r="D75" s="77">
        <f>IF($N75="","",IF(INDEX('Cronograma R. Operacional'!$E$5:$E$1000,$N75)="","",INDEX('Cronograma R. Operacional'!$E$5:$E$1000,$N75)))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Operacional'!$Y$5:$Y$1000,$N75),""),IF(INDEX('Cronograma R. Operacional'!$G$5:$G$1000,$N75)="","",INDEX('Cronograma R. Operacional'!$G$5:$G$1000,$N75))))</f>
        <v/>
      </c>
      <c r="G75" s="68">
        <f>IF($N75="","",IF($P75&gt;0,IF(2&lt;=SemanaActual,INDEX('Cronograma R. Operacional'!$Z$5:$Z$1000,$N75),""),IF(INDEX('Cronograma R. Operacional'!$H$5:$H$1000,$N75)="","",INDEX('Cronograma R. Operacional'!$H$5:$H$1000,$N75))))</f>
        <v/>
      </c>
      <c r="H75" s="68">
        <f>IF($N75="","",IF($P75&gt;0,IF(3&lt;=SemanaActual,INDEX('Cronograma R. Operacional'!$AA$5:$AA$1000,$N75),""),IF(INDEX('Cronograma R. Operacional'!$I$5:$I$1000,$N75)="","",INDEX('Cronograma R. Operacional'!$I$5:$I$1000,$N75))))</f>
        <v/>
      </c>
      <c r="I75" s="68">
        <f>IF($N75="","",IF($P75&gt;0,IF(4&lt;=SemanaActual,INDEX('Cronograma R. Operacional'!$AB$5:$AB$1000,$N75),""),IF(INDEX('Cronograma R. Operacional'!$J$5:$J$1000,$N75)="","",INDEX('Cronograma R. Operacional'!$J$5:$J$1000,$N75))))</f>
        <v/>
      </c>
      <c r="J75" s="68">
        <f>IF($N75="","",INDEX('Cronograma R. Operacional'!$K$5:$K$1000,$N75))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Operacional'!$M$5:$M$1000,$N75)&amp;"")</f>
        <v/>
      </c>
      <c r="M75" s="71">
        <f>IF($N75="","",INDEX('Cronograma R. Operacional'!$N$5:$N$1000,$N75)&amp;"")</f>
        <v/>
      </c>
      <c r="N75">
        <f>IFERROR(MATCH(ROW()-4,rOrden_RO,0),"")</f>
        <v/>
      </c>
      <c r="O75">
        <f>IF($N75="","",INDEX('Cronograma R. Operacional'!$S$5:$S$1000,$N75))</f>
        <v/>
      </c>
      <c r="P75">
        <f>IF($N75="","",N(INDEX('Cronograma R. Operacional'!$T$5:$T$1000,$N75)))</f>
        <v/>
      </c>
    </row>
    <row r="76">
      <c r="A76" s="62">
        <f>IF($N76="","",INDEX('Cronograma R. Operacional'!$A$5:$A$1000,$N76))</f>
        <v/>
      </c>
      <c r="B76" s="71">
        <f>IF($N76="","",IF($O76="Sub","      ↳  "&amp;INDEX('Cronograma R. Operacional'!$C$5:$C$1000,$N76),INDEX('Cronograma R. Operacional'!$C$5:$C$1000,$N76)&amp;""))</f>
        <v/>
      </c>
      <c r="C76" s="77">
        <f>IF($N76="","",IF(INDEX('Cronograma R. Operacional'!$D$5:$D$1000,$N76)="","",INDEX('Cronograma R. Operacional'!$D$5:$D$1000,$N76)))</f>
        <v/>
      </c>
      <c r="D76" s="77">
        <f>IF($N76="","",IF(INDEX('Cronograma R. Operacional'!$E$5:$E$1000,$N76)="","",INDEX('Cronograma R. Operacional'!$E$5:$E$1000,$N76)))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Operacional'!$Y$5:$Y$1000,$N76),""),IF(INDEX('Cronograma R. Operacional'!$G$5:$G$1000,$N76)="","",INDEX('Cronograma R. Operacional'!$G$5:$G$1000,$N76))))</f>
        <v/>
      </c>
      <c r="G76" s="68">
        <f>IF($N76="","",IF($P76&gt;0,IF(2&lt;=SemanaActual,INDEX('Cronograma R. Operacional'!$Z$5:$Z$1000,$N76),""),IF(INDEX('Cronograma R. Operacional'!$H$5:$H$1000,$N76)="","",INDEX('Cronograma R. Operacional'!$H$5:$H$1000,$N76))))</f>
        <v/>
      </c>
      <c r="H76" s="68">
        <f>IF($N76="","",IF($P76&gt;0,IF(3&lt;=SemanaActual,INDEX('Cronograma R. Operacional'!$AA$5:$AA$1000,$N76),""),IF(INDEX('Cronograma R. Operacional'!$I$5:$I$1000,$N76)="","",INDEX('Cronograma R. Operacional'!$I$5:$I$1000,$N76))))</f>
        <v/>
      </c>
      <c r="I76" s="68">
        <f>IF($N76="","",IF($P76&gt;0,IF(4&lt;=SemanaActual,INDEX('Cronograma R. Operacional'!$AB$5:$AB$1000,$N76),""),IF(INDEX('Cronograma R. Operacional'!$J$5:$J$1000,$N76)="","",INDEX('Cronograma R. Operacional'!$J$5:$J$1000,$N76))))</f>
        <v/>
      </c>
      <c r="J76" s="68">
        <f>IF($N76="","",INDEX('Cronograma R. Operacional'!$K$5:$K$1000,$N76))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Operacional'!$M$5:$M$1000,$N76)&amp;"")</f>
        <v/>
      </c>
      <c r="M76" s="71">
        <f>IF($N76="","",INDEX('Cronograma R. Operacional'!$N$5:$N$1000,$N76)&amp;"")</f>
        <v/>
      </c>
      <c r="N76">
        <f>IFERROR(MATCH(ROW()-4,rOrden_RO,0),"")</f>
        <v/>
      </c>
      <c r="O76">
        <f>IF($N76="","",INDEX('Cronograma R. Operacional'!$S$5:$S$1000,$N76))</f>
        <v/>
      </c>
      <c r="P76">
        <f>IF($N76="","",N(INDEX('Cronograma R. Operacional'!$T$5:$T$1000,$N76)))</f>
        <v/>
      </c>
    </row>
    <row r="77">
      <c r="A77" s="62">
        <f>IF($N77="","",INDEX('Cronograma R. Operacional'!$A$5:$A$1000,$N77))</f>
        <v/>
      </c>
      <c r="B77" s="71">
        <f>IF($N77="","",IF($O77="Sub","      ↳  "&amp;INDEX('Cronograma R. Operacional'!$C$5:$C$1000,$N77),INDEX('Cronograma R. Operacional'!$C$5:$C$1000,$N77)&amp;""))</f>
        <v/>
      </c>
      <c r="C77" s="77">
        <f>IF($N77="","",IF(INDEX('Cronograma R. Operacional'!$D$5:$D$1000,$N77)="","",INDEX('Cronograma R. Operacional'!$D$5:$D$1000,$N77)))</f>
        <v/>
      </c>
      <c r="D77" s="77">
        <f>IF($N77="","",IF(INDEX('Cronograma R. Operacional'!$E$5:$E$1000,$N77)="","",INDEX('Cronograma R. Operacional'!$E$5:$E$1000,$N77)))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Operacional'!$Y$5:$Y$1000,$N77),""),IF(INDEX('Cronograma R. Operacional'!$G$5:$G$1000,$N77)="","",INDEX('Cronograma R. Operacional'!$G$5:$G$1000,$N77))))</f>
        <v/>
      </c>
      <c r="G77" s="68">
        <f>IF($N77="","",IF($P77&gt;0,IF(2&lt;=SemanaActual,INDEX('Cronograma R. Operacional'!$Z$5:$Z$1000,$N77),""),IF(INDEX('Cronograma R. Operacional'!$H$5:$H$1000,$N77)="","",INDEX('Cronograma R. Operacional'!$H$5:$H$1000,$N77))))</f>
        <v/>
      </c>
      <c r="H77" s="68">
        <f>IF($N77="","",IF($P77&gt;0,IF(3&lt;=SemanaActual,INDEX('Cronograma R. Operacional'!$AA$5:$AA$1000,$N77),""),IF(INDEX('Cronograma R. Operacional'!$I$5:$I$1000,$N77)="","",INDEX('Cronograma R. Operacional'!$I$5:$I$1000,$N77))))</f>
        <v/>
      </c>
      <c r="I77" s="68">
        <f>IF($N77="","",IF($P77&gt;0,IF(4&lt;=SemanaActual,INDEX('Cronograma R. Operacional'!$AB$5:$AB$1000,$N77),""),IF(INDEX('Cronograma R. Operacional'!$J$5:$J$1000,$N77)="","",INDEX('Cronograma R. Operacional'!$J$5:$J$1000,$N77))))</f>
        <v/>
      </c>
      <c r="J77" s="68">
        <f>IF($N77="","",INDEX('Cronograma R. Operacional'!$K$5:$K$1000,$N77))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Operacional'!$M$5:$M$1000,$N77)&amp;"")</f>
        <v/>
      </c>
      <c r="M77" s="71">
        <f>IF($N77="","",INDEX('Cronograma R. Operacional'!$N$5:$N$1000,$N77)&amp;"")</f>
        <v/>
      </c>
      <c r="N77">
        <f>IFERROR(MATCH(ROW()-4,rOrden_RO,0),"")</f>
        <v/>
      </c>
      <c r="O77">
        <f>IF($N77="","",INDEX('Cronograma R. Operacional'!$S$5:$S$1000,$N77))</f>
        <v/>
      </c>
      <c r="P77">
        <f>IF($N77="","",N(INDEX('Cronograma R. Operacional'!$T$5:$T$1000,$N77)))</f>
        <v/>
      </c>
    </row>
    <row r="78">
      <c r="A78" s="62">
        <f>IF($N78="","",INDEX('Cronograma R. Operacional'!$A$5:$A$1000,$N78))</f>
        <v/>
      </c>
      <c r="B78" s="71">
        <f>IF($N78="","",IF($O78="Sub","      ↳  "&amp;INDEX('Cronograma R. Operacional'!$C$5:$C$1000,$N78),INDEX('Cronograma R. Operacional'!$C$5:$C$1000,$N78)&amp;""))</f>
        <v/>
      </c>
      <c r="C78" s="77">
        <f>IF($N78="","",IF(INDEX('Cronograma R. Operacional'!$D$5:$D$1000,$N78)="","",INDEX('Cronograma R. Operacional'!$D$5:$D$1000,$N78)))</f>
        <v/>
      </c>
      <c r="D78" s="77">
        <f>IF($N78="","",IF(INDEX('Cronograma R. Operacional'!$E$5:$E$1000,$N78)="","",INDEX('Cronograma R. Operacional'!$E$5:$E$1000,$N78)))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Operacional'!$Y$5:$Y$1000,$N78),""),IF(INDEX('Cronograma R. Operacional'!$G$5:$G$1000,$N78)="","",INDEX('Cronograma R. Operacional'!$G$5:$G$1000,$N78))))</f>
        <v/>
      </c>
      <c r="G78" s="68">
        <f>IF($N78="","",IF($P78&gt;0,IF(2&lt;=SemanaActual,INDEX('Cronograma R. Operacional'!$Z$5:$Z$1000,$N78),""),IF(INDEX('Cronograma R. Operacional'!$H$5:$H$1000,$N78)="","",INDEX('Cronograma R. Operacional'!$H$5:$H$1000,$N78))))</f>
        <v/>
      </c>
      <c r="H78" s="68">
        <f>IF($N78="","",IF($P78&gt;0,IF(3&lt;=SemanaActual,INDEX('Cronograma R. Operacional'!$AA$5:$AA$1000,$N78),""),IF(INDEX('Cronograma R. Operacional'!$I$5:$I$1000,$N78)="","",INDEX('Cronograma R. Operacional'!$I$5:$I$1000,$N78))))</f>
        <v/>
      </c>
      <c r="I78" s="68">
        <f>IF($N78="","",IF($P78&gt;0,IF(4&lt;=SemanaActual,INDEX('Cronograma R. Operacional'!$AB$5:$AB$1000,$N78),""),IF(INDEX('Cronograma R. Operacional'!$J$5:$J$1000,$N78)="","",INDEX('Cronograma R. Operacional'!$J$5:$J$1000,$N78))))</f>
        <v/>
      </c>
      <c r="J78" s="68">
        <f>IF($N78="","",INDEX('Cronograma R. Operacional'!$K$5:$K$1000,$N78))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Operacional'!$M$5:$M$1000,$N78)&amp;"")</f>
        <v/>
      </c>
      <c r="M78" s="71">
        <f>IF($N78="","",INDEX('Cronograma R. Operacional'!$N$5:$N$1000,$N78)&amp;"")</f>
        <v/>
      </c>
      <c r="N78">
        <f>IFERROR(MATCH(ROW()-4,rOrden_RO,0),"")</f>
        <v/>
      </c>
      <c r="O78">
        <f>IF($N78="","",INDEX('Cronograma R. Operacional'!$S$5:$S$1000,$N78))</f>
        <v/>
      </c>
      <c r="P78">
        <f>IF($N78="","",N(INDEX('Cronograma R. Operacional'!$T$5:$T$1000,$N78)))</f>
        <v/>
      </c>
    </row>
    <row r="79">
      <c r="A79" s="62">
        <f>IF($N79="","",INDEX('Cronograma R. Operacional'!$A$5:$A$1000,$N79))</f>
        <v/>
      </c>
      <c r="B79" s="71">
        <f>IF($N79="","",IF($O79="Sub","      ↳  "&amp;INDEX('Cronograma R. Operacional'!$C$5:$C$1000,$N79),INDEX('Cronograma R. Operacional'!$C$5:$C$1000,$N79)&amp;""))</f>
        <v/>
      </c>
      <c r="C79" s="77">
        <f>IF($N79="","",IF(INDEX('Cronograma R. Operacional'!$D$5:$D$1000,$N79)="","",INDEX('Cronograma R. Operacional'!$D$5:$D$1000,$N79)))</f>
        <v/>
      </c>
      <c r="D79" s="77">
        <f>IF($N79="","",IF(INDEX('Cronograma R. Operacional'!$E$5:$E$1000,$N79)="","",INDEX('Cronograma R. Operacional'!$E$5:$E$1000,$N79)))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Operacional'!$Y$5:$Y$1000,$N79),""),IF(INDEX('Cronograma R. Operacional'!$G$5:$G$1000,$N79)="","",INDEX('Cronograma R. Operacional'!$G$5:$G$1000,$N79))))</f>
        <v/>
      </c>
      <c r="G79" s="68">
        <f>IF($N79="","",IF($P79&gt;0,IF(2&lt;=SemanaActual,INDEX('Cronograma R. Operacional'!$Z$5:$Z$1000,$N79),""),IF(INDEX('Cronograma R. Operacional'!$H$5:$H$1000,$N79)="","",INDEX('Cronograma R. Operacional'!$H$5:$H$1000,$N79))))</f>
        <v/>
      </c>
      <c r="H79" s="68">
        <f>IF($N79="","",IF($P79&gt;0,IF(3&lt;=SemanaActual,INDEX('Cronograma R. Operacional'!$AA$5:$AA$1000,$N79),""),IF(INDEX('Cronograma R. Operacional'!$I$5:$I$1000,$N79)="","",INDEX('Cronograma R. Operacional'!$I$5:$I$1000,$N79))))</f>
        <v/>
      </c>
      <c r="I79" s="68">
        <f>IF($N79="","",IF($P79&gt;0,IF(4&lt;=SemanaActual,INDEX('Cronograma R. Operacional'!$AB$5:$AB$1000,$N79),""),IF(INDEX('Cronograma R. Operacional'!$J$5:$J$1000,$N79)="","",INDEX('Cronograma R. Operacional'!$J$5:$J$1000,$N79))))</f>
        <v/>
      </c>
      <c r="J79" s="68">
        <f>IF($N79="","",INDEX('Cronograma R. Operacional'!$K$5:$K$1000,$N79))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Operacional'!$M$5:$M$1000,$N79)&amp;"")</f>
        <v/>
      </c>
      <c r="M79" s="71">
        <f>IF($N79="","",INDEX('Cronograma R. Operacional'!$N$5:$N$1000,$N79)&amp;"")</f>
        <v/>
      </c>
      <c r="N79">
        <f>IFERROR(MATCH(ROW()-4,rOrden_RO,0),"")</f>
        <v/>
      </c>
      <c r="O79">
        <f>IF($N79="","",INDEX('Cronograma R. Operacional'!$S$5:$S$1000,$N79))</f>
        <v/>
      </c>
      <c r="P79">
        <f>IF($N79="","",N(INDEX('Cronograma R. Operacional'!$T$5:$T$1000,$N79)))</f>
        <v/>
      </c>
    </row>
    <row r="80">
      <c r="A80" s="62">
        <f>IF($N80="","",INDEX('Cronograma R. Operacional'!$A$5:$A$1000,$N80))</f>
        <v/>
      </c>
      <c r="B80" s="71">
        <f>IF($N80="","",IF($O80="Sub","      ↳  "&amp;INDEX('Cronograma R. Operacional'!$C$5:$C$1000,$N80),INDEX('Cronograma R. Operacional'!$C$5:$C$1000,$N80)&amp;""))</f>
        <v/>
      </c>
      <c r="C80" s="77">
        <f>IF($N80="","",IF(INDEX('Cronograma R. Operacional'!$D$5:$D$1000,$N80)="","",INDEX('Cronograma R. Operacional'!$D$5:$D$1000,$N80)))</f>
        <v/>
      </c>
      <c r="D80" s="77">
        <f>IF($N80="","",IF(INDEX('Cronograma R. Operacional'!$E$5:$E$1000,$N80)="","",INDEX('Cronograma R. Operacional'!$E$5:$E$1000,$N80)))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Operacional'!$Y$5:$Y$1000,$N80),""),IF(INDEX('Cronograma R. Operacional'!$G$5:$G$1000,$N80)="","",INDEX('Cronograma R. Operacional'!$G$5:$G$1000,$N80))))</f>
        <v/>
      </c>
      <c r="G80" s="68">
        <f>IF($N80="","",IF($P80&gt;0,IF(2&lt;=SemanaActual,INDEX('Cronograma R. Operacional'!$Z$5:$Z$1000,$N80),""),IF(INDEX('Cronograma R. Operacional'!$H$5:$H$1000,$N80)="","",INDEX('Cronograma R. Operacional'!$H$5:$H$1000,$N80))))</f>
        <v/>
      </c>
      <c r="H80" s="68">
        <f>IF($N80="","",IF($P80&gt;0,IF(3&lt;=SemanaActual,INDEX('Cronograma R. Operacional'!$AA$5:$AA$1000,$N80),""),IF(INDEX('Cronograma R. Operacional'!$I$5:$I$1000,$N80)="","",INDEX('Cronograma R. Operacional'!$I$5:$I$1000,$N80))))</f>
        <v/>
      </c>
      <c r="I80" s="68">
        <f>IF($N80="","",IF($P80&gt;0,IF(4&lt;=SemanaActual,INDEX('Cronograma R. Operacional'!$AB$5:$AB$1000,$N80),""),IF(INDEX('Cronograma R. Operacional'!$J$5:$J$1000,$N80)="","",INDEX('Cronograma R. Operacional'!$J$5:$J$1000,$N80))))</f>
        <v/>
      </c>
      <c r="J80" s="68">
        <f>IF($N80="","",INDEX('Cronograma R. Operacional'!$K$5:$K$1000,$N80))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Operacional'!$M$5:$M$1000,$N80)&amp;"")</f>
        <v/>
      </c>
      <c r="M80" s="71">
        <f>IF($N80="","",INDEX('Cronograma R. Operacional'!$N$5:$N$1000,$N80)&amp;"")</f>
        <v/>
      </c>
      <c r="N80">
        <f>IFERROR(MATCH(ROW()-4,rOrden_RO,0),"")</f>
        <v/>
      </c>
      <c r="O80">
        <f>IF($N80="","",INDEX('Cronograma R. Operacional'!$S$5:$S$1000,$N80))</f>
        <v/>
      </c>
      <c r="P80">
        <f>IF($N80="","",N(INDEX('Cronograma R. Operacional'!$T$5:$T$1000,$N80)))</f>
        <v/>
      </c>
    </row>
    <row r="81">
      <c r="A81" s="62">
        <f>IF($N81="","",INDEX('Cronograma R. Operacional'!$A$5:$A$1000,$N81))</f>
        <v/>
      </c>
      <c r="B81" s="71">
        <f>IF($N81="","",IF($O81="Sub","      ↳  "&amp;INDEX('Cronograma R. Operacional'!$C$5:$C$1000,$N81),INDEX('Cronograma R. Operacional'!$C$5:$C$1000,$N81)&amp;""))</f>
        <v/>
      </c>
      <c r="C81" s="77">
        <f>IF($N81="","",IF(INDEX('Cronograma R. Operacional'!$D$5:$D$1000,$N81)="","",INDEX('Cronograma R. Operacional'!$D$5:$D$1000,$N81)))</f>
        <v/>
      </c>
      <c r="D81" s="77">
        <f>IF($N81="","",IF(INDEX('Cronograma R. Operacional'!$E$5:$E$1000,$N81)="","",INDEX('Cronograma R. Operacional'!$E$5:$E$1000,$N81)))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Operacional'!$Y$5:$Y$1000,$N81),""),IF(INDEX('Cronograma R. Operacional'!$G$5:$G$1000,$N81)="","",INDEX('Cronograma R. Operacional'!$G$5:$G$1000,$N81))))</f>
        <v/>
      </c>
      <c r="G81" s="68">
        <f>IF($N81="","",IF($P81&gt;0,IF(2&lt;=SemanaActual,INDEX('Cronograma R. Operacional'!$Z$5:$Z$1000,$N81),""),IF(INDEX('Cronograma R. Operacional'!$H$5:$H$1000,$N81)="","",INDEX('Cronograma R. Operacional'!$H$5:$H$1000,$N81))))</f>
        <v/>
      </c>
      <c r="H81" s="68">
        <f>IF($N81="","",IF($P81&gt;0,IF(3&lt;=SemanaActual,INDEX('Cronograma R. Operacional'!$AA$5:$AA$1000,$N81),""),IF(INDEX('Cronograma R. Operacional'!$I$5:$I$1000,$N81)="","",INDEX('Cronograma R. Operacional'!$I$5:$I$1000,$N81))))</f>
        <v/>
      </c>
      <c r="I81" s="68">
        <f>IF($N81="","",IF($P81&gt;0,IF(4&lt;=SemanaActual,INDEX('Cronograma R. Operacional'!$AB$5:$AB$1000,$N81),""),IF(INDEX('Cronograma R. Operacional'!$J$5:$J$1000,$N81)="","",INDEX('Cronograma R. Operacional'!$J$5:$J$1000,$N81))))</f>
        <v/>
      </c>
      <c r="J81" s="68">
        <f>IF($N81="","",INDEX('Cronograma R. Operacional'!$K$5:$K$1000,$N81))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Operacional'!$M$5:$M$1000,$N81)&amp;"")</f>
        <v/>
      </c>
      <c r="M81" s="71">
        <f>IF($N81="","",INDEX('Cronograma R. Operacional'!$N$5:$N$1000,$N81)&amp;"")</f>
        <v/>
      </c>
      <c r="N81">
        <f>IFERROR(MATCH(ROW()-4,rOrden_RO,0),"")</f>
        <v/>
      </c>
      <c r="O81">
        <f>IF($N81="","",INDEX('Cronograma R. Operacional'!$S$5:$S$1000,$N81))</f>
        <v/>
      </c>
      <c r="P81">
        <f>IF($N81="","",N(INDEX('Cronograma R. Operacional'!$T$5:$T$1000,$N81)))</f>
        <v/>
      </c>
    </row>
    <row r="82">
      <c r="A82" s="62">
        <f>IF($N82="","",INDEX('Cronograma R. Operacional'!$A$5:$A$1000,$N82))</f>
        <v/>
      </c>
      <c r="B82" s="71">
        <f>IF($N82="","",IF($O82="Sub","      ↳  "&amp;INDEX('Cronograma R. Operacional'!$C$5:$C$1000,$N82),INDEX('Cronograma R. Operacional'!$C$5:$C$1000,$N82)&amp;""))</f>
        <v/>
      </c>
      <c r="C82" s="77">
        <f>IF($N82="","",IF(INDEX('Cronograma R. Operacional'!$D$5:$D$1000,$N82)="","",INDEX('Cronograma R. Operacional'!$D$5:$D$1000,$N82)))</f>
        <v/>
      </c>
      <c r="D82" s="77">
        <f>IF($N82="","",IF(INDEX('Cronograma R. Operacional'!$E$5:$E$1000,$N82)="","",INDEX('Cronograma R. Operacional'!$E$5:$E$1000,$N82)))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Operacional'!$Y$5:$Y$1000,$N82),""),IF(INDEX('Cronograma R. Operacional'!$G$5:$G$1000,$N82)="","",INDEX('Cronograma R. Operacional'!$G$5:$G$1000,$N82))))</f>
        <v/>
      </c>
      <c r="G82" s="68">
        <f>IF($N82="","",IF($P82&gt;0,IF(2&lt;=SemanaActual,INDEX('Cronograma R. Operacional'!$Z$5:$Z$1000,$N82),""),IF(INDEX('Cronograma R. Operacional'!$H$5:$H$1000,$N82)="","",INDEX('Cronograma R. Operacional'!$H$5:$H$1000,$N82))))</f>
        <v/>
      </c>
      <c r="H82" s="68">
        <f>IF($N82="","",IF($P82&gt;0,IF(3&lt;=SemanaActual,INDEX('Cronograma R. Operacional'!$AA$5:$AA$1000,$N82),""),IF(INDEX('Cronograma R. Operacional'!$I$5:$I$1000,$N82)="","",INDEX('Cronograma R. Operacional'!$I$5:$I$1000,$N82))))</f>
        <v/>
      </c>
      <c r="I82" s="68">
        <f>IF($N82="","",IF($P82&gt;0,IF(4&lt;=SemanaActual,INDEX('Cronograma R. Operacional'!$AB$5:$AB$1000,$N82),""),IF(INDEX('Cronograma R. Operacional'!$J$5:$J$1000,$N82)="","",INDEX('Cronograma R. Operacional'!$J$5:$J$1000,$N82))))</f>
        <v/>
      </c>
      <c r="J82" s="68">
        <f>IF($N82="","",INDEX('Cronograma R. Operacional'!$K$5:$K$1000,$N82))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Operacional'!$M$5:$M$1000,$N82)&amp;"")</f>
        <v/>
      </c>
      <c r="M82" s="71">
        <f>IF($N82="","",INDEX('Cronograma R. Operacional'!$N$5:$N$1000,$N82)&amp;"")</f>
        <v/>
      </c>
      <c r="N82">
        <f>IFERROR(MATCH(ROW()-4,rOrden_RO,0),"")</f>
        <v/>
      </c>
      <c r="O82">
        <f>IF($N82="","",INDEX('Cronograma R. Operacional'!$S$5:$S$1000,$N82))</f>
        <v/>
      </c>
      <c r="P82">
        <f>IF($N82="","",N(INDEX('Cronograma R. Operacional'!$T$5:$T$1000,$N82)))</f>
        <v/>
      </c>
    </row>
    <row r="83">
      <c r="A83" s="62">
        <f>IF($N83="","",INDEX('Cronograma R. Operacional'!$A$5:$A$1000,$N83))</f>
        <v/>
      </c>
      <c r="B83" s="71">
        <f>IF($N83="","",IF($O83="Sub","      ↳  "&amp;INDEX('Cronograma R. Operacional'!$C$5:$C$1000,$N83),INDEX('Cronograma R. Operacional'!$C$5:$C$1000,$N83)&amp;""))</f>
        <v/>
      </c>
      <c r="C83" s="77">
        <f>IF($N83="","",IF(INDEX('Cronograma R. Operacional'!$D$5:$D$1000,$N83)="","",INDEX('Cronograma R. Operacional'!$D$5:$D$1000,$N83)))</f>
        <v/>
      </c>
      <c r="D83" s="77">
        <f>IF($N83="","",IF(INDEX('Cronograma R. Operacional'!$E$5:$E$1000,$N83)="","",INDEX('Cronograma R. Operacional'!$E$5:$E$1000,$N83)))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Operacional'!$Y$5:$Y$1000,$N83),""),IF(INDEX('Cronograma R. Operacional'!$G$5:$G$1000,$N83)="","",INDEX('Cronograma R. Operacional'!$G$5:$G$1000,$N83))))</f>
        <v/>
      </c>
      <c r="G83" s="68">
        <f>IF($N83="","",IF($P83&gt;0,IF(2&lt;=SemanaActual,INDEX('Cronograma R. Operacional'!$Z$5:$Z$1000,$N83),""),IF(INDEX('Cronograma R. Operacional'!$H$5:$H$1000,$N83)="","",INDEX('Cronograma R. Operacional'!$H$5:$H$1000,$N83))))</f>
        <v/>
      </c>
      <c r="H83" s="68">
        <f>IF($N83="","",IF($P83&gt;0,IF(3&lt;=SemanaActual,INDEX('Cronograma R. Operacional'!$AA$5:$AA$1000,$N83),""),IF(INDEX('Cronograma R. Operacional'!$I$5:$I$1000,$N83)="","",INDEX('Cronograma R. Operacional'!$I$5:$I$1000,$N83))))</f>
        <v/>
      </c>
      <c r="I83" s="68">
        <f>IF($N83="","",IF($P83&gt;0,IF(4&lt;=SemanaActual,INDEX('Cronograma R. Operacional'!$AB$5:$AB$1000,$N83),""),IF(INDEX('Cronograma R. Operacional'!$J$5:$J$1000,$N83)="","",INDEX('Cronograma R. Operacional'!$J$5:$J$1000,$N83))))</f>
        <v/>
      </c>
      <c r="J83" s="68">
        <f>IF($N83="","",INDEX('Cronograma R. Operacional'!$K$5:$K$1000,$N83))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Operacional'!$M$5:$M$1000,$N83)&amp;"")</f>
        <v/>
      </c>
      <c r="M83" s="71">
        <f>IF($N83="","",INDEX('Cronograma R. Operacional'!$N$5:$N$1000,$N83)&amp;"")</f>
        <v/>
      </c>
      <c r="N83">
        <f>IFERROR(MATCH(ROW()-4,rOrden_RO,0),"")</f>
        <v/>
      </c>
      <c r="O83">
        <f>IF($N83="","",INDEX('Cronograma R. Operacional'!$S$5:$S$1000,$N83))</f>
        <v/>
      </c>
      <c r="P83">
        <f>IF($N83="","",N(INDEX('Cronograma R. Operacional'!$T$5:$T$1000,$N83)))</f>
        <v/>
      </c>
    </row>
    <row r="84">
      <c r="A84" s="62">
        <f>IF($N84="","",INDEX('Cronograma R. Operacional'!$A$5:$A$1000,$N84))</f>
        <v/>
      </c>
      <c r="B84" s="71">
        <f>IF($N84="","",IF($O84="Sub","      ↳  "&amp;INDEX('Cronograma R. Operacional'!$C$5:$C$1000,$N84),INDEX('Cronograma R. Operacional'!$C$5:$C$1000,$N84)&amp;""))</f>
        <v/>
      </c>
      <c r="C84" s="77">
        <f>IF($N84="","",IF(INDEX('Cronograma R. Operacional'!$D$5:$D$1000,$N84)="","",INDEX('Cronograma R. Operacional'!$D$5:$D$1000,$N84)))</f>
        <v/>
      </c>
      <c r="D84" s="77">
        <f>IF($N84="","",IF(INDEX('Cronograma R. Operacional'!$E$5:$E$1000,$N84)="","",INDEX('Cronograma R. Operacional'!$E$5:$E$1000,$N84)))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Operacional'!$Y$5:$Y$1000,$N84),""),IF(INDEX('Cronograma R. Operacional'!$G$5:$G$1000,$N84)="","",INDEX('Cronograma R. Operacional'!$G$5:$G$1000,$N84))))</f>
        <v/>
      </c>
      <c r="G84" s="68">
        <f>IF($N84="","",IF($P84&gt;0,IF(2&lt;=SemanaActual,INDEX('Cronograma R. Operacional'!$Z$5:$Z$1000,$N84),""),IF(INDEX('Cronograma R. Operacional'!$H$5:$H$1000,$N84)="","",INDEX('Cronograma R. Operacional'!$H$5:$H$1000,$N84))))</f>
        <v/>
      </c>
      <c r="H84" s="68">
        <f>IF($N84="","",IF($P84&gt;0,IF(3&lt;=SemanaActual,INDEX('Cronograma R. Operacional'!$AA$5:$AA$1000,$N84),""),IF(INDEX('Cronograma R. Operacional'!$I$5:$I$1000,$N84)="","",INDEX('Cronograma R. Operacional'!$I$5:$I$1000,$N84))))</f>
        <v/>
      </c>
      <c r="I84" s="68">
        <f>IF($N84="","",IF($P84&gt;0,IF(4&lt;=SemanaActual,INDEX('Cronograma R. Operacional'!$AB$5:$AB$1000,$N84),""),IF(INDEX('Cronograma R. Operacional'!$J$5:$J$1000,$N84)="","",INDEX('Cronograma R. Operacional'!$J$5:$J$1000,$N84))))</f>
        <v/>
      </c>
      <c r="J84" s="68">
        <f>IF($N84="","",INDEX('Cronograma R. Operacional'!$K$5:$K$1000,$N84))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Operacional'!$M$5:$M$1000,$N84)&amp;"")</f>
        <v/>
      </c>
      <c r="M84" s="71">
        <f>IF($N84="","",INDEX('Cronograma R. Operacional'!$N$5:$N$1000,$N84)&amp;"")</f>
        <v/>
      </c>
      <c r="N84">
        <f>IFERROR(MATCH(ROW()-4,rOrden_RO,0),"")</f>
        <v/>
      </c>
      <c r="O84">
        <f>IF($N84="","",INDEX('Cronograma R. Operacional'!$S$5:$S$1000,$N84))</f>
        <v/>
      </c>
      <c r="P84">
        <f>IF($N84="","",N(INDEX('Cronograma R. Operacional'!$T$5:$T$1000,$N84)))</f>
        <v/>
      </c>
    </row>
    <row r="85">
      <c r="A85" s="62">
        <f>IF($N85="","",INDEX('Cronograma R. Operacional'!$A$5:$A$1000,$N85))</f>
        <v/>
      </c>
      <c r="B85" s="71">
        <f>IF($N85="","",IF($O85="Sub","      ↳  "&amp;INDEX('Cronograma R. Operacional'!$C$5:$C$1000,$N85),INDEX('Cronograma R. Operacional'!$C$5:$C$1000,$N85)&amp;""))</f>
        <v/>
      </c>
      <c r="C85" s="77">
        <f>IF($N85="","",IF(INDEX('Cronograma R. Operacional'!$D$5:$D$1000,$N85)="","",INDEX('Cronograma R. Operacional'!$D$5:$D$1000,$N85)))</f>
        <v/>
      </c>
      <c r="D85" s="77">
        <f>IF($N85="","",IF(INDEX('Cronograma R. Operacional'!$E$5:$E$1000,$N85)="","",INDEX('Cronograma R. Operacional'!$E$5:$E$1000,$N85)))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Operacional'!$Y$5:$Y$1000,$N85),""),IF(INDEX('Cronograma R. Operacional'!$G$5:$G$1000,$N85)="","",INDEX('Cronograma R. Operacional'!$G$5:$G$1000,$N85))))</f>
        <v/>
      </c>
      <c r="G85" s="68">
        <f>IF($N85="","",IF($P85&gt;0,IF(2&lt;=SemanaActual,INDEX('Cronograma R. Operacional'!$Z$5:$Z$1000,$N85),""),IF(INDEX('Cronograma R. Operacional'!$H$5:$H$1000,$N85)="","",INDEX('Cronograma R. Operacional'!$H$5:$H$1000,$N85))))</f>
        <v/>
      </c>
      <c r="H85" s="68">
        <f>IF($N85="","",IF($P85&gt;0,IF(3&lt;=SemanaActual,INDEX('Cronograma R. Operacional'!$AA$5:$AA$1000,$N85),""),IF(INDEX('Cronograma R. Operacional'!$I$5:$I$1000,$N85)="","",INDEX('Cronograma R. Operacional'!$I$5:$I$1000,$N85))))</f>
        <v/>
      </c>
      <c r="I85" s="68">
        <f>IF($N85="","",IF($P85&gt;0,IF(4&lt;=SemanaActual,INDEX('Cronograma R. Operacional'!$AB$5:$AB$1000,$N85),""),IF(INDEX('Cronograma R. Operacional'!$J$5:$J$1000,$N85)="","",INDEX('Cronograma R. Operacional'!$J$5:$J$1000,$N85))))</f>
        <v/>
      </c>
      <c r="J85" s="68">
        <f>IF($N85="","",INDEX('Cronograma R. Operacional'!$K$5:$K$1000,$N85))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Operacional'!$M$5:$M$1000,$N85)&amp;"")</f>
        <v/>
      </c>
      <c r="M85" s="71">
        <f>IF($N85="","",INDEX('Cronograma R. Operacional'!$N$5:$N$1000,$N85)&amp;"")</f>
        <v/>
      </c>
      <c r="N85">
        <f>IFERROR(MATCH(ROW()-4,rOrden_RO,0),"")</f>
        <v/>
      </c>
      <c r="O85">
        <f>IF($N85="","",INDEX('Cronograma R. Operacional'!$S$5:$S$1000,$N85))</f>
        <v/>
      </c>
      <c r="P85">
        <f>IF($N85="","",N(INDEX('Cronograma R. Operacional'!$T$5:$T$1000,$N85)))</f>
        <v/>
      </c>
    </row>
    <row r="86">
      <c r="A86" s="62">
        <f>IF($N86="","",INDEX('Cronograma R. Operacional'!$A$5:$A$1000,$N86))</f>
        <v/>
      </c>
      <c r="B86" s="71">
        <f>IF($N86="","",IF($O86="Sub","      ↳  "&amp;INDEX('Cronograma R. Operacional'!$C$5:$C$1000,$N86),INDEX('Cronograma R. Operacional'!$C$5:$C$1000,$N86)&amp;""))</f>
        <v/>
      </c>
      <c r="C86" s="77">
        <f>IF($N86="","",IF(INDEX('Cronograma R. Operacional'!$D$5:$D$1000,$N86)="","",INDEX('Cronograma R. Operacional'!$D$5:$D$1000,$N86)))</f>
        <v/>
      </c>
      <c r="D86" s="77">
        <f>IF($N86="","",IF(INDEX('Cronograma R. Operacional'!$E$5:$E$1000,$N86)="","",INDEX('Cronograma R. Operacional'!$E$5:$E$1000,$N86)))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Operacional'!$Y$5:$Y$1000,$N86),""),IF(INDEX('Cronograma R. Operacional'!$G$5:$G$1000,$N86)="","",INDEX('Cronograma R. Operacional'!$G$5:$G$1000,$N86))))</f>
        <v/>
      </c>
      <c r="G86" s="68">
        <f>IF($N86="","",IF($P86&gt;0,IF(2&lt;=SemanaActual,INDEX('Cronograma R. Operacional'!$Z$5:$Z$1000,$N86),""),IF(INDEX('Cronograma R. Operacional'!$H$5:$H$1000,$N86)="","",INDEX('Cronograma R. Operacional'!$H$5:$H$1000,$N86))))</f>
        <v/>
      </c>
      <c r="H86" s="68">
        <f>IF($N86="","",IF($P86&gt;0,IF(3&lt;=SemanaActual,INDEX('Cronograma R. Operacional'!$AA$5:$AA$1000,$N86),""),IF(INDEX('Cronograma R. Operacional'!$I$5:$I$1000,$N86)="","",INDEX('Cronograma R. Operacional'!$I$5:$I$1000,$N86))))</f>
        <v/>
      </c>
      <c r="I86" s="68">
        <f>IF($N86="","",IF($P86&gt;0,IF(4&lt;=SemanaActual,INDEX('Cronograma R. Operacional'!$AB$5:$AB$1000,$N86),""),IF(INDEX('Cronograma R. Operacional'!$J$5:$J$1000,$N86)="","",INDEX('Cronograma R. Operacional'!$J$5:$J$1000,$N86))))</f>
        <v/>
      </c>
      <c r="J86" s="68">
        <f>IF($N86="","",INDEX('Cronograma R. Operacional'!$K$5:$K$1000,$N86))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Operacional'!$M$5:$M$1000,$N86)&amp;"")</f>
        <v/>
      </c>
      <c r="M86" s="71">
        <f>IF($N86="","",INDEX('Cronograma R. Operacional'!$N$5:$N$1000,$N86)&amp;"")</f>
        <v/>
      </c>
      <c r="N86">
        <f>IFERROR(MATCH(ROW()-4,rOrden_RO,0),"")</f>
        <v/>
      </c>
      <c r="O86">
        <f>IF($N86="","",INDEX('Cronograma R. Operacional'!$S$5:$S$1000,$N86))</f>
        <v/>
      </c>
      <c r="P86">
        <f>IF($N86="","",N(INDEX('Cronograma R. Operacional'!$T$5:$T$1000,$N86)))</f>
        <v/>
      </c>
    </row>
    <row r="87">
      <c r="A87" s="62">
        <f>IF($N87="","",INDEX('Cronograma R. Operacional'!$A$5:$A$1000,$N87))</f>
        <v/>
      </c>
      <c r="B87" s="71">
        <f>IF($N87="","",IF($O87="Sub","      ↳  "&amp;INDEX('Cronograma R. Operacional'!$C$5:$C$1000,$N87),INDEX('Cronograma R. Operacional'!$C$5:$C$1000,$N87)&amp;""))</f>
        <v/>
      </c>
      <c r="C87" s="77">
        <f>IF($N87="","",IF(INDEX('Cronograma R. Operacional'!$D$5:$D$1000,$N87)="","",INDEX('Cronograma R. Operacional'!$D$5:$D$1000,$N87)))</f>
        <v/>
      </c>
      <c r="D87" s="77">
        <f>IF($N87="","",IF(INDEX('Cronograma R. Operacional'!$E$5:$E$1000,$N87)="","",INDEX('Cronograma R. Operacional'!$E$5:$E$1000,$N87)))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Operacional'!$Y$5:$Y$1000,$N87),""),IF(INDEX('Cronograma R. Operacional'!$G$5:$G$1000,$N87)="","",INDEX('Cronograma R. Operacional'!$G$5:$G$1000,$N87))))</f>
        <v/>
      </c>
      <c r="G87" s="68">
        <f>IF($N87="","",IF($P87&gt;0,IF(2&lt;=SemanaActual,INDEX('Cronograma R. Operacional'!$Z$5:$Z$1000,$N87),""),IF(INDEX('Cronograma R. Operacional'!$H$5:$H$1000,$N87)="","",INDEX('Cronograma R. Operacional'!$H$5:$H$1000,$N87))))</f>
        <v/>
      </c>
      <c r="H87" s="68">
        <f>IF($N87="","",IF($P87&gt;0,IF(3&lt;=SemanaActual,INDEX('Cronograma R. Operacional'!$AA$5:$AA$1000,$N87),""),IF(INDEX('Cronograma R. Operacional'!$I$5:$I$1000,$N87)="","",INDEX('Cronograma R. Operacional'!$I$5:$I$1000,$N87))))</f>
        <v/>
      </c>
      <c r="I87" s="68">
        <f>IF($N87="","",IF($P87&gt;0,IF(4&lt;=SemanaActual,INDEX('Cronograma R. Operacional'!$AB$5:$AB$1000,$N87),""),IF(INDEX('Cronograma R. Operacional'!$J$5:$J$1000,$N87)="","",INDEX('Cronograma R. Operacional'!$J$5:$J$1000,$N87))))</f>
        <v/>
      </c>
      <c r="J87" s="68">
        <f>IF($N87="","",INDEX('Cronograma R. Operacional'!$K$5:$K$1000,$N87))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Operacional'!$M$5:$M$1000,$N87)&amp;"")</f>
        <v/>
      </c>
      <c r="M87" s="71">
        <f>IF($N87="","",INDEX('Cronograma R. Operacional'!$N$5:$N$1000,$N87)&amp;"")</f>
        <v/>
      </c>
      <c r="N87">
        <f>IFERROR(MATCH(ROW()-4,rOrden_RO,0),"")</f>
        <v/>
      </c>
      <c r="O87">
        <f>IF($N87="","",INDEX('Cronograma R. Operacional'!$S$5:$S$1000,$N87))</f>
        <v/>
      </c>
      <c r="P87">
        <f>IF($N87="","",N(INDEX('Cronograma R. Operacional'!$T$5:$T$1000,$N87)))</f>
        <v/>
      </c>
    </row>
    <row r="88">
      <c r="A88" s="62">
        <f>IF($N88="","",INDEX('Cronograma R. Operacional'!$A$5:$A$1000,$N88))</f>
        <v/>
      </c>
      <c r="B88" s="71">
        <f>IF($N88="","",IF($O88="Sub","      ↳  "&amp;INDEX('Cronograma R. Operacional'!$C$5:$C$1000,$N88),INDEX('Cronograma R. Operacional'!$C$5:$C$1000,$N88)&amp;""))</f>
        <v/>
      </c>
      <c r="C88" s="77">
        <f>IF($N88="","",IF(INDEX('Cronograma R. Operacional'!$D$5:$D$1000,$N88)="","",INDEX('Cronograma R. Operacional'!$D$5:$D$1000,$N88)))</f>
        <v/>
      </c>
      <c r="D88" s="77">
        <f>IF($N88="","",IF(INDEX('Cronograma R. Operacional'!$E$5:$E$1000,$N88)="","",INDEX('Cronograma R. Operacional'!$E$5:$E$1000,$N88)))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Operacional'!$Y$5:$Y$1000,$N88),""),IF(INDEX('Cronograma R. Operacional'!$G$5:$G$1000,$N88)="","",INDEX('Cronograma R. Operacional'!$G$5:$G$1000,$N88))))</f>
        <v/>
      </c>
      <c r="G88" s="68">
        <f>IF($N88="","",IF($P88&gt;0,IF(2&lt;=SemanaActual,INDEX('Cronograma R. Operacional'!$Z$5:$Z$1000,$N88),""),IF(INDEX('Cronograma R. Operacional'!$H$5:$H$1000,$N88)="","",INDEX('Cronograma R. Operacional'!$H$5:$H$1000,$N88))))</f>
        <v/>
      </c>
      <c r="H88" s="68">
        <f>IF($N88="","",IF($P88&gt;0,IF(3&lt;=SemanaActual,INDEX('Cronograma R. Operacional'!$AA$5:$AA$1000,$N88),""),IF(INDEX('Cronograma R. Operacional'!$I$5:$I$1000,$N88)="","",INDEX('Cronograma R. Operacional'!$I$5:$I$1000,$N88))))</f>
        <v/>
      </c>
      <c r="I88" s="68">
        <f>IF($N88="","",IF($P88&gt;0,IF(4&lt;=SemanaActual,INDEX('Cronograma R. Operacional'!$AB$5:$AB$1000,$N88),""),IF(INDEX('Cronograma R. Operacional'!$J$5:$J$1000,$N88)="","",INDEX('Cronograma R. Operacional'!$J$5:$J$1000,$N88))))</f>
        <v/>
      </c>
      <c r="J88" s="68">
        <f>IF($N88="","",INDEX('Cronograma R. Operacional'!$K$5:$K$1000,$N88))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Operacional'!$M$5:$M$1000,$N88)&amp;"")</f>
        <v/>
      </c>
      <c r="M88" s="71">
        <f>IF($N88="","",INDEX('Cronograma R. Operacional'!$N$5:$N$1000,$N88)&amp;"")</f>
        <v/>
      </c>
      <c r="N88">
        <f>IFERROR(MATCH(ROW()-4,rOrden_RO,0),"")</f>
        <v/>
      </c>
      <c r="O88">
        <f>IF($N88="","",INDEX('Cronograma R. Operacional'!$S$5:$S$1000,$N88))</f>
        <v/>
      </c>
      <c r="P88">
        <f>IF($N88="","",N(INDEX('Cronograma R. Operacional'!$T$5:$T$1000,$N88)))</f>
        <v/>
      </c>
    </row>
    <row r="89">
      <c r="A89" s="62">
        <f>IF($N89="","",INDEX('Cronograma R. Operacional'!$A$5:$A$1000,$N89))</f>
        <v/>
      </c>
      <c r="B89" s="71">
        <f>IF($N89="","",IF($O89="Sub","      ↳  "&amp;INDEX('Cronograma R. Operacional'!$C$5:$C$1000,$N89),INDEX('Cronograma R. Operacional'!$C$5:$C$1000,$N89)&amp;""))</f>
        <v/>
      </c>
      <c r="C89" s="77">
        <f>IF($N89="","",IF(INDEX('Cronograma R. Operacional'!$D$5:$D$1000,$N89)="","",INDEX('Cronograma R. Operacional'!$D$5:$D$1000,$N89)))</f>
        <v/>
      </c>
      <c r="D89" s="77">
        <f>IF($N89="","",IF(INDEX('Cronograma R. Operacional'!$E$5:$E$1000,$N89)="","",INDEX('Cronograma R. Operacional'!$E$5:$E$1000,$N89)))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Operacional'!$Y$5:$Y$1000,$N89),""),IF(INDEX('Cronograma R. Operacional'!$G$5:$G$1000,$N89)="","",INDEX('Cronograma R. Operacional'!$G$5:$G$1000,$N89))))</f>
        <v/>
      </c>
      <c r="G89" s="68">
        <f>IF($N89="","",IF($P89&gt;0,IF(2&lt;=SemanaActual,INDEX('Cronograma R. Operacional'!$Z$5:$Z$1000,$N89),""),IF(INDEX('Cronograma R. Operacional'!$H$5:$H$1000,$N89)="","",INDEX('Cronograma R. Operacional'!$H$5:$H$1000,$N89))))</f>
        <v/>
      </c>
      <c r="H89" s="68">
        <f>IF($N89="","",IF($P89&gt;0,IF(3&lt;=SemanaActual,INDEX('Cronograma R. Operacional'!$AA$5:$AA$1000,$N89),""),IF(INDEX('Cronograma R. Operacional'!$I$5:$I$1000,$N89)="","",INDEX('Cronograma R. Operacional'!$I$5:$I$1000,$N89))))</f>
        <v/>
      </c>
      <c r="I89" s="68">
        <f>IF($N89="","",IF($P89&gt;0,IF(4&lt;=SemanaActual,INDEX('Cronograma R. Operacional'!$AB$5:$AB$1000,$N89),""),IF(INDEX('Cronograma R. Operacional'!$J$5:$J$1000,$N89)="","",INDEX('Cronograma R. Operacional'!$J$5:$J$1000,$N89))))</f>
        <v/>
      </c>
      <c r="J89" s="68">
        <f>IF($N89="","",INDEX('Cronograma R. Operacional'!$K$5:$K$1000,$N89))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Operacional'!$M$5:$M$1000,$N89)&amp;"")</f>
        <v/>
      </c>
      <c r="M89" s="71">
        <f>IF($N89="","",INDEX('Cronograma R. Operacional'!$N$5:$N$1000,$N89)&amp;"")</f>
        <v/>
      </c>
      <c r="N89">
        <f>IFERROR(MATCH(ROW()-4,rOrden_RO,0),"")</f>
        <v/>
      </c>
      <c r="O89">
        <f>IF($N89="","",INDEX('Cronograma R. Operacional'!$S$5:$S$1000,$N89))</f>
        <v/>
      </c>
      <c r="P89">
        <f>IF($N89="","",N(INDEX('Cronograma R. Operacional'!$T$5:$T$1000,$N89)))</f>
        <v/>
      </c>
    </row>
    <row r="90">
      <c r="A90" s="62">
        <f>IF($N90="","",INDEX('Cronograma R. Operacional'!$A$5:$A$1000,$N90))</f>
        <v/>
      </c>
      <c r="B90" s="71">
        <f>IF($N90="","",IF($O90="Sub","      ↳  "&amp;INDEX('Cronograma R. Operacional'!$C$5:$C$1000,$N90),INDEX('Cronograma R. Operacional'!$C$5:$C$1000,$N90)&amp;""))</f>
        <v/>
      </c>
      <c r="C90" s="77">
        <f>IF($N90="","",IF(INDEX('Cronograma R. Operacional'!$D$5:$D$1000,$N90)="","",INDEX('Cronograma R. Operacional'!$D$5:$D$1000,$N90)))</f>
        <v/>
      </c>
      <c r="D90" s="77">
        <f>IF($N90="","",IF(INDEX('Cronograma R. Operacional'!$E$5:$E$1000,$N90)="","",INDEX('Cronograma R. Operacional'!$E$5:$E$1000,$N90)))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Operacional'!$Y$5:$Y$1000,$N90),""),IF(INDEX('Cronograma R. Operacional'!$G$5:$G$1000,$N90)="","",INDEX('Cronograma R. Operacional'!$G$5:$G$1000,$N90))))</f>
        <v/>
      </c>
      <c r="G90" s="68">
        <f>IF($N90="","",IF($P90&gt;0,IF(2&lt;=SemanaActual,INDEX('Cronograma R. Operacional'!$Z$5:$Z$1000,$N90),""),IF(INDEX('Cronograma R. Operacional'!$H$5:$H$1000,$N90)="","",INDEX('Cronograma R. Operacional'!$H$5:$H$1000,$N90))))</f>
        <v/>
      </c>
      <c r="H90" s="68">
        <f>IF($N90="","",IF($P90&gt;0,IF(3&lt;=SemanaActual,INDEX('Cronograma R. Operacional'!$AA$5:$AA$1000,$N90),""),IF(INDEX('Cronograma R. Operacional'!$I$5:$I$1000,$N90)="","",INDEX('Cronograma R. Operacional'!$I$5:$I$1000,$N90))))</f>
        <v/>
      </c>
      <c r="I90" s="68">
        <f>IF($N90="","",IF($P90&gt;0,IF(4&lt;=SemanaActual,INDEX('Cronograma R. Operacional'!$AB$5:$AB$1000,$N90),""),IF(INDEX('Cronograma R. Operacional'!$J$5:$J$1000,$N90)="","",INDEX('Cronograma R. Operacional'!$J$5:$J$1000,$N90))))</f>
        <v/>
      </c>
      <c r="J90" s="68">
        <f>IF($N90="","",INDEX('Cronograma R. Operacional'!$K$5:$K$1000,$N90))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Operacional'!$M$5:$M$1000,$N90)&amp;"")</f>
        <v/>
      </c>
      <c r="M90" s="71">
        <f>IF($N90="","",INDEX('Cronograma R. Operacional'!$N$5:$N$1000,$N90)&amp;"")</f>
        <v/>
      </c>
      <c r="N90">
        <f>IFERROR(MATCH(ROW()-4,rOrden_RO,0),"")</f>
        <v/>
      </c>
      <c r="O90">
        <f>IF($N90="","",INDEX('Cronograma R. Operacional'!$S$5:$S$1000,$N90))</f>
        <v/>
      </c>
      <c r="P90">
        <f>IF($N90="","",N(INDEX('Cronograma R. Operacional'!$T$5:$T$1000,$N90)))</f>
        <v/>
      </c>
    </row>
    <row r="91">
      <c r="A91" s="62">
        <f>IF($N91="","",INDEX('Cronograma R. Operacional'!$A$5:$A$1000,$N91))</f>
        <v/>
      </c>
      <c r="B91" s="71">
        <f>IF($N91="","",IF($O91="Sub","      ↳  "&amp;INDEX('Cronograma R. Operacional'!$C$5:$C$1000,$N91),INDEX('Cronograma R. Operacional'!$C$5:$C$1000,$N91)&amp;""))</f>
        <v/>
      </c>
      <c r="C91" s="77">
        <f>IF($N91="","",IF(INDEX('Cronograma R. Operacional'!$D$5:$D$1000,$N91)="","",INDEX('Cronograma R. Operacional'!$D$5:$D$1000,$N91)))</f>
        <v/>
      </c>
      <c r="D91" s="77">
        <f>IF($N91="","",IF(INDEX('Cronograma R. Operacional'!$E$5:$E$1000,$N91)="","",INDEX('Cronograma R. Operacional'!$E$5:$E$1000,$N91)))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Operacional'!$Y$5:$Y$1000,$N91),""),IF(INDEX('Cronograma R. Operacional'!$G$5:$G$1000,$N91)="","",INDEX('Cronograma R. Operacional'!$G$5:$G$1000,$N91))))</f>
        <v/>
      </c>
      <c r="G91" s="68">
        <f>IF($N91="","",IF($P91&gt;0,IF(2&lt;=SemanaActual,INDEX('Cronograma R. Operacional'!$Z$5:$Z$1000,$N91),""),IF(INDEX('Cronograma R. Operacional'!$H$5:$H$1000,$N91)="","",INDEX('Cronograma R. Operacional'!$H$5:$H$1000,$N91))))</f>
        <v/>
      </c>
      <c r="H91" s="68">
        <f>IF($N91="","",IF($P91&gt;0,IF(3&lt;=SemanaActual,INDEX('Cronograma R. Operacional'!$AA$5:$AA$1000,$N91),""),IF(INDEX('Cronograma R. Operacional'!$I$5:$I$1000,$N91)="","",INDEX('Cronograma R. Operacional'!$I$5:$I$1000,$N91))))</f>
        <v/>
      </c>
      <c r="I91" s="68">
        <f>IF($N91="","",IF($P91&gt;0,IF(4&lt;=SemanaActual,INDEX('Cronograma R. Operacional'!$AB$5:$AB$1000,$N91),""),IF(INDEX('Cronograma R. Operacional'!$J$5:$J$1000,$N91)="","",INDEX('Cronograma R. Operacional'!$J$5:$J$1000,$N91))))</f>
        <v/>
      </c>
      <c r="J91" s="68">
        <f>IF($N91="","",INDEX('Cronograma R. Operacional'!$K$5:$K$1000,$N91))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Operacional'!$M$5:$M$1000,$N91)&amp;"")</f>
        <v/>
      </c>
      <c r="M91" s="71">
        <f>IF($N91="","",INDEX('Cronograma R. Operacional'!$N$5:$N$1000,$N91)&amp;"")</f>
        <v/>
      </c>
      <c r="N91">
        <f>IFERROR(MATCH(ROW()-4,rOrden_RO,0),"")</f>
        <v/>
      </c>
      <c r="O91">
        <f>IF($N91="","",INDEX('Cronograma R. Operacional'!$S$5:$S$1000,$N91))</f>
        <v/>
      </c>
      <c r="P91">
        <f>IF($N91="","",N(INDEX('Cronograma R. Operacional'!$T$5:$T$1000,$N91)))</f>
        <v/>
      </c>
    </row>
    <row r="92">
      <c r="A92" s="62">
        <f>IF($N92="","",INDEX('Cronograma R. Operacional'!$A$5:$A$1000,$N92))</f>
        <v/>
      </c>
      <c r="B92" s="71">
        <f>IF($N92="","",IF($O92="Sub","      ↳  "&amp;INDEX('Cronograma R. Operacional'!$C$5:$C$1000,$N92),INDEX('Cronograma R. Operacional'!$C$5:$C$1000,$N92)&amp;""))</f>
        <v/>
      </c>
      <c r="C92" s="77">
        <f>IF($N92="","",IF(INDEX('Cronograma R. Operacional'!$D$5:$D$1000,$N92)="","",INDEX('Cronograma R. Operacional'!$D$5:$D$1000,$N92)))</f>
        <v/>
      </c>
      <c r="D92" s="77">
        <f>IF($N92="","",IF(INDEX('Cronograma R. Operacional'!$E$5:$E$1000,$N92)="","",INDEX('Cronograma R. Operacional'!$E$5:$E$1000,$N92)))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Operacional'!$Y$5:$Y$1000,$N92),""),IF(INDEX('Cronograma R. Operacional'!$G$5:$G$1000,$N92)="","",INDEX('Cronograma R. Operacional'!$G$5:$G$1000,$N92))))</f>
        <v/>
      </c>
      <c r="G92" s="68">
        <f>IF($N92="","",IF($P92&gt;0,IF(2&lt;=SemanaActual,INDEX('Cronograma R. Operacional'!$Z$5:$Z$1000,$N92),""),IF(INDEX('Cronograma R. Operacional'!$H$5:$H$1000,$N92)="","",INDEX('Cronograma R. Operacional'!$H$5:$H$1000,$N92))))</f>
        <v/>
      </c>
      <c r="H92" s="68">
        <f>IF($N92="","",IF($P92&gt;0,IF(3&lt;=SemanaActual,INDEX('Cronograma R. Operacional'!$AA$5:$AA$1000,$N92),""),IF(INDEX('Cronograma R. Operacional'!$I$5:$I$1000,$N92)="","",INDEX('Cronograma R. Operacional'!$I$5:$I$1000,$N92))))</f>
        <v/>
      </c>
      <c r="I92" s="68">
        <f>IF($N92="","",IF($P92&gt;0,IF(4&lt;=SemanaActual,INDEX('Cronograma R. Operacional'!$AB$5:$AB$1000,$N92),""),IF(INDEX('Cronograma R. Operacional'!$J$5:$J$1000,$N92)="","",INDEX('Cronograma R. Operacional'!$J$5:$J$1000,$N92))))</f>
        <v/>
      </c>
      <c r="J92" s="68">
        <f>IF($N92="","",INDEX('Cronograma R. Operacional'!$K$5:$K$1000,$N92))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Operacional'!$M$5:$M$1000,$N92)&amp;"")</f>
        <v/>
      </c>
      <c r="M92" s="71">
        <f>IF($N92="","",INDEX('Cronograma R. Operacional'!$N$5:$N$1000,$N92)&amp;"")</f>
        <v/>
      </c>
      <c r="N92">
        <f>IFERROR(MATCH(ROW()-4,rOrden_RO,0),"")</f>
        <v/>
      </c>
      <c r="O92">
        <f>IF($N92="","",INDEX('Cronograma R. Operacional'!$S$5:$S$1000,$N92))</f>
        <v/>
      </c>
      <c r="P92">
        <f>IF($N92="","",N(INDEX('Cronograma R. Operacional'!$T$5:$T$1000,$N92)))</f>
        <v/>
      </c>
    </row>
    <row r="93">
      <c r="A93" s="62">
        <f>IF($N93="","",INDEX('Cronograma R. Operacional'!$A$5:$A$1000,$N93))</f>
        <v/>
      </c>
      <c r="B93" s="71">
        <f>IF($N93="","",IF($O93="Sub","      ↳  "&amp;INDEX('Cronograma R. Operacional'!$C$5:$C$1000,$N93),INDEX('Cronograma R. Operacional'!$C$5:$C$1000,$N93)&amp;""))</f>
        <v/>
      </c>
      <c r="C93" s="77">
        <f>IF($N93="","",IF(INDEX('Cronograma R. Operacional'!$D$5:$D$1000,$N93)="","",INDEX('Cronograma R. Operacional'!$D$5:$D$1000,$N93)))</f>
        <v/>
      </c>
      <c r="D93" s="77">
        <f>IF($N93="","",IF(INDEX('Cronograma R. Operacional'!$E$5:$E$1000,$N93)="","",INDEX('Cronograma R. Operacional'!$E$5:$E$1000,$N93)))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Operacional'!$Y$5:$Y$1000,$N93),""),IF(INDEX('Cronograma R. Operacional'!$G$5:$G$1000,$N93)="","",INDEX('Cronograma R. Operacional'!$G$5:$G$1000,$N93))))</f>
        <v/>
      </c>
      <c r="G93" s="68">
        <f>IF($N93="","",IF($P93&gt;0,IF(2&lt;=SemanaActual,INDEX('Cronograma R. Operacional'!$Z$5:$Z$1000,$N93),""),IF(INDEX('Cronograma R. Operacional'!$H$5:$H$1000,$N93)="","",INDEX('Cronograma R. Operacional'!$H$5:$H$1000,$N93))))</f>
        <v/>
      </c>
      <c r="H93" s="68">
        <f>IF($N93="","",IF($P93&gt;0,IF(3&lt;=SemanaActual,INDEX('Cronograma R. Operacional'!$AA$5:$AA$1000,$N93),""),IF(INDEX('Cronograma R. Operacional'!$I$5:$I$1000,$N93)="","",INDEX('Cronograma R. Operacional'!$I$5:$I$1000,$N93))))</f>
        <v/>
      </c>
      <c r="I93" s="68">
        <f>IF($N93="","",IF($P93&gt;0,IF(4&lt;=SemanaActual,INDEX('Cronograma R. Operacional'!$AB$5:$AB$1000,$N93),""),IF(INDEX('Cronograma R. Operacional'!$J$5:$J$1000,$N93)="","",INDEX('Cronograma R. Operacional'!$J$5:$J$1000,$N93))))</f>
        <v/>
      </c>
      <c r="J93" s="68">
        <f>IF($N93="","",INDEX('Cronograma R. Operacional'!$K$5:$K$1000,$N93))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Operacional'!$M$5:$M$1000,$N93)&amp;"")</f>
        <v/>
      </c>
      <c r="M93" s="71">
        <f>IF($N93="","",INDEX('Cronograma R. Operacional'!$N$5:$N$1000,$N93)&amp;"")</f>
        <v/>
      </c>
      <c r="N93">
        <f>IFERROR(MATCH(ROW()-4,rOrden_RO,0),"")</f>
        <v/>
      </c>
      <c r="O93">
        <f>IF($N93="","",INDEX('Cronograma R. Operacional'!$S$5:$S$1000,$N93))</f>
        <v/>
      </c>
      <c r="P93">
        <f>IF($N93="","",N(INDEX('Cronograma R. Operacional'!$T$5:$T$1000,$N93)))</f>
        <v/>
      </c>
    </row>
    <row r="94">
      <c r="A94" s="62">
        <f>IF($N94="","",INDEX('Cronograma R. Operacional'!$A$5:$A$1000,$N94))</f>
        <v/>
      </c>
      <c r="B94" s="71">
        <f>IF($N94="","",IF($O94="Sub","      ↳  "&amp;INDEX('Cronograma R. Operacional'!$C$5:$C$1000,$N94),INDEX('Cronograma R. Operacional'!$C$5:$C$1000,$N94)&amp;""))</f>
        <v/>
      </c>
      <c r="C94" s="77">
        <f>IF($N94="","",IF(INDEX('Cronograma R. Operacional'!$D$5:$D$1000,$N94)="","",INDEX('Cronograma R. Operacional'!$D$5:$D$1000,$N94)))</f>
        <v/>
      </c>
      <c r="D94" s="77">
        <f>IF($N94="","",IF(INDEX('Cronograma R. Operacional'!$E$5:$E$1000,$N94)="","",INDEX('Cronograma R. Operacional'!$E$5:$E$1000,$N94)))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Operacional'!$Y$5:$Y$1000,$N94),""),IF(INDEX('Cronograma R. Operacional'!$G$5:$G$1000,$N94)="","",INDEX('Cronograma R. Operacional'!$G$5:$G$1000,$N94))))</f>
        <v/>
      </c>
      <c r="G94" s="68">
        <f>IF($N94="","",IF($P94&gt;0,IF(2&lt;=SemanaActual,INDEX('Cronograma R. Operacional'!$Z$5:$Z$1000,$N94),""),IF(INDEX('Cronograma R. Operacional'!$H$5:$H$1000,$N94)="","",INDEX('Cronograma R. Operacional'!$H$5:$H$1000,$N94))))</f>
        <v/>
      </c>
      <c r="H94" s="68">
        <f>IF($N94="","",IF($P94&gt;0,IF(3&lt;=SemanaActual,INDEX('Cronograma R. Operacional'!$AA$5:$AA$1000,$N94),""),IF(INDEX('Cronograma R. Operacional'!$I$5:$I$1000,$N94)="","",INDEX('Cronograma R. Operacional'!$I$5:$I$1000,$N94))))</f>
        <v/>
      </c>
      <c r="I94" s="68">
        <f>IF($N94="","",IF($P94&gt;0,IF(4&lt;=SemanaActual,INDEX('Cronograma R. Operacional'!$AB$5:$AB$1000,$N94),""),IF(INDEX('Cronograma R. Operacional'!$J$5:$J$1000,$N94)="","",INDEX('Cronograma R. Operacional'!$J$5:$J$1000,$N94))))</f>
        <v/>
      </c>
      <c r="J94" s="68">
        <f>IF($N94="","",INDEX('Cronograma R. Operacional'!$K$5:$K$1000,$N94))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Operacional'!$M$5:$M$1000,$N94)&amp;"")</f>
        <v/>
      </c>
      <c r="M94" s="71">
        <f>IF($N94="","",INDEX('Cronograma R. Operacional'!$N$5:$N$1000,$N94)&amp;"")</f>
        <v/>
      </c>
      <c r="N94">
        <f>IFERROR(MATCH(ROW()-4,rOrden_RO,0),"")</f>
        <v/>
      </c>
      <c r="O94">
        <f>IF($N94="","",INDEX('Cronograma R. Operacional'!$S$5:$S$1000,$N94))</f>
        <v/>
      </c>
      <c r="P94">
        <f>IF($N94="","",N(INDEX('Cronograma R. Operacional'!$T$5:$T$1000,$N94)))</f>
        <v/>
      </c>
    </row>
    <row r="95">
      <c r="A95" s="62">
        <f>IF($N95="","",INDEX('Cronograma R. Operacional'!$A$5:$A$1000,$N95))</f>
        <v/>
      </c>
      <c r="B95" s="71">
        <f>IF($N95="","",IF($O95="Sub","      ↳  "&amp;INDEX('Cronograma R. Operacional'!$C$5:$C$1000,$N95),INDEX('Cronograma R. Operacional'!$C$5:$C$1000,$N95)&amp;""))</f>
        <v/>
      </c>
      <c r="C95" s="77">
        <f>IF($N95="","",IF(INDEX('Cronograma R. Operacional'!$D$5:$D$1000,$N95)="","",INDEX('Cronograma R. Operacional'!$D$5:$D$1000,$N95)))</f>
        <v/>
      </c>
      <c r="D95" s="77">
        <f>IF($N95="","",IF(INDEX('Cronograma R. Operacional'!$E$5:$E$1000,$N95)="","",INDEX('Cronograma R. Operacional'!$E$5:$E$1000,$N95)))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Operacional'!$Y$5:$Y$1000,$N95),""),IF(INDEX('Cronograma R. Operacional'!$G$5:$G$1000,$N95)="","",INDEX('Cronograma R. Operacional'!$G$5:$G$1000,$N95))))</f>
        <v/>
      </c>
      <c r="G95" s="68">
        <f>IF($N95="","",IF($P95&gt;0,IF(2&lt;=SemanaActual,INDEX('Cronograma R. Operacional'!$Z$5:$Z$1000,$N95),""),IF(INDEX('Cronograma R. Operacional'!$H$5:$H$1000,$N95)="","",INDEX('Cronograma R. Operacional'!$H$5:$H$1000,$N95))))</f>
        <v/>
      </c>
      <c r="H95" s="68">
        <f>IF($N95="","",IF($P95&gt;0,IF(3&lt;=SemanaActual,INDEX('Cronograma R. Operacional'!$AA$5:$AA$1000,$N95),""),IF(INDEX('Cronograma R. Operacional'!$I$5:$I$1000,$N95)="","",INDEX('Cronograma R. Operacional'!$I$5:$I$1000,$N95))))</f>
        <v/>
      </c>
      <c r="I95" s="68">
        <f>IF($N95="","",IF($P95&gt;0,IF(4&lt;=SemanaActual,INDEX('Cronograma R. Operacional'!$AB$5:$AB$1000,$N95),""),IF(INDEX('Cronograma R. Operacional'!$J$5:$J$1000,$N95)="","",INDEX('Cronograma R. Operacional'!$J$5:$J$1000,$N95))))</f>
        <v/>
      </c>
      <c r="J95" s="68">
        <f>IF($N95="","",INDEX('Cronograma R. Operacional'!$K$5:$K$1000,$N95))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Operacional'!$M$5:$M$1000,$N95)&amp;"")</f>
        <v/>
      </c>
      <c r="M95" s="71">
        <f>IF($N95="","",INDEX('Cronograma R. Operacional'!$N$5:$N$1000,$N95)&amp;"")</f>
        <v/>
      </c>
      <c r="N95">
        <f>IFERROR(MATCH(ROW()-4,rOrden_RO,0),"")</f>
        <v/>
      </c>
      <c r="O95">
        <f>IF($N95="","",INDEX('Cronograma R. Operacional'!$S$5:$S$1000,$N95))</f>
        <v/>
      </c>
      <c r="P95">
        <f>IF($N95="","",N(INDEX('Cronograma R. Operacional'!$T$5:$T$1000,$N95)))</f>
        <v/>
      </c>
    </row>
    <row r="96">
      <c r="A96" s="62">
        <f>IF($N96="","",INDEX('Cronograma R. Operacional'!$A$5:$A$1000,$N96))</f>
        <v/>
      </c>
      <c r="B96" s="71">
        <f>IF($N96="","",IF($O96="Sub","      ↳  "&amp;INDEX('Cronograma R. Operacional'!$C$5:$C$1000,$N96),INDEX('Cronograma R. Operacional'!$C$5:$C$1000,$N96)&amp;""))</f>
        <v/>
      </c>
      <c r="C96" s="77">
        <f>IF($N96="","",IF(INDEX('Cronograma R. Operacional'!$D$5:$D$1000,$N96)="","",INDEX('Cronograma R. Operacional'!$D$5:$D$1000,$N96)))</f>
        <v/>
      </c>
      <c r="D96" s="77">
        <f>IF($N96="","",IF(INDEX('Cronograma R. Operacional'!$E$5:$E$1000,$N96)="","",INDEX('Cronograma R. Operacional'!$E$5:$E$1000,$N96)))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Operacional'!$Y$5:$Y$1000,$N96),""),IF(INDEX('Cronograma R. Operacional'!$G$5:$G$1000,$N96)="","",INDEX('Cronograma R. Operacional'!$G$5:$G$1000,$N96))))</f>
        <v/>
      </c>
      <c r="G96" s="68">
        <f>IF($N96="","",IF($P96&gt;0,IF(2&lt;=SemanaActual,INDEX('Cronograma R. Operacional'!$Z$5:$Z$1000,$N96),""),IF(INDEX('Cronograma R. Operacional'!$H$5:$H$1000,$N96)="","",INDEX('Cronograma R. Operacional'!$H$5:$H$1000,$N96))))</f>
        <v/>
      </c>
      <c r="H96" s="68">
        <f>IF($N96="","",IF($P96&gt;0,IF(3&lt;=SemanaActual,INDEX('Cronograma R. Operacional'!$AA$5:$AA$1000,$N96),""),IF(INDEX('Cronograma R. Operacional'!$I$5:$I$1000,$N96)="","",INDEX('Cronograma R. Operacional'!$I$5:$I$1000,$N96))))</f>
        <v/>
      </c>
      <c r="I96" s="68">
        <f>IF($N96="","",IF($P96&gt;0,IF(4&lt;=SemanaActual,INDEX('Cronograma R. Operacional'!$AB$5:$AB$1000,$N96),""),IF(INDEX('Cronograma R. Operacional'!$J$5:$J$1000,$N96)="","",INDEX('Cronograma R. Operacional'!$J$5:$J$1000,$N96))))</f>
        <v/>
      </c>
      <c r="J96" s="68">
        <f>IF($N96="","",INDEX('Cronograma R. Operacional'!$K$5:$K$1000,$N96))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Operacional'!$M$5:$M$1000,$N96)&amp;"")</f>
        <v/>
      </c>
      <c r="M96" s="71">
        <f>IF($N96="","",INDEX('Cronograma R. Operacional'!$N$5:$N$1000,$N96)&amp;"")</f>
        <v/>
      </c>
      <c r="N96">
        <f>IFERROR(MATCH(ROW()-4,rOrden_RO,0),"")</f>
        <v/>
      </c>
      <c r="O96">
        <f>IF($N96="","",INDEX('Cronograma R. Operacional'!$S$5:$S$1000,$N96))</f>
        <v/>
      </c>
      <c r="P96">
        <f>IF($N96="","",N(INDEX('Cronograma R. Operacional'!$T$5:$T$1000,$N96)))</f>
        <v/>
      </c>
    </row>
    <row r="97">
      <c r="A97" s="62">
        <f>IF($N97="","",INDEX('Cronograma R. Operacional'!$A$5:$A$1000,$N97))</f>
        <v/>
      </c>
      <c r="B97" s="71">
        <f>IF($N97="","",IF($O97="Sub","      ↳  "&amp;INDEX('Cronograma R. Operacional'!$C$5:$C$1000,$N97),INDEX('Cronograma R. Operacional'!$C$5:$C$1000,$N97)&amp;""))</f>
        <v/>
      </c>
      <c r="C97" s="77">
        <f>IF($N97="","",IF(INDEX('Cronograma R. Operacional'!$D$5:$D$1000,$N97)="","",INDEX('Cronograma R. Operacional'!$D$5:$D$1000,$N97)))</f>
        <v/>
      </c>
      <c r="D97" s="77">
        <f>IF($N97="","",IF(INDEX('Cronograma R. Operacional'!$E$5:$E$1000,$N97)="","",INDEX('Cronograma R. Operacional'!$E$5:$E$1000,$N97)))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Operacional'!$Y$5:$Y$1000,$N97),""),IF(INDEX('Cronograma R. Operacional'!$G$5:$G$1000,$N97)="","",INDEX('Cronograma R. Operacional'!$G$5:$G$1000,$N97))))</f>
        <v/>
      </c>
      <c r="G97" s="68">
        <f>IF($N97="","",IF($P97&gt;0,IF(2&lt;=SemanaActual,INDEX('Cronograma R. Operacional'!$Z$5:$Z$1000,$N97),""),IF(INDEX('Cronograma R. Operacional'!$H$5:$H$1000,$N97)="","",INDEX('Cronograma R. Operacional'!$H$5:$H$1000,$N97))))</f>
        <v/>
      </c>
      <c r="H97" s="68">
        <f>IF($N97="","",IF($P97&gt;0,IF(3&lt;=SemanaActual,INDEX('Cronograma R. Operacional'!$AA$5:$AA$1000,$N97),""),IF(INDEX('Cronograma R. Operacional'!$I$5:$I$1000,$N97)="","",INDEX('Cronograma R. Operacional'!$I$5:$I$1000,$N97))))</f>
        <v/>
      </c>
      <c r="I97" s="68">
        <f>IF($N97="","",IF($P97&gt;0,IF(4&lt;=SemanaActual,INDEX('Cronograma R. Operacional'!$AB$5:$AB$1000,$N97),""),IF(INDEX('Cronograma R. Operacional'!$J$5:$J$1000,$N97)="","",INDEX('Cronograma R. Operacional'!$J$5:$J$1000,$N97))))</f>
        <v/>
      </c>
      <c r="J97" s="68">
        <f>IF($N97="","",INDEX('Cronograma R. Operacional'!$K$5:$K$1000,$N97))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Operacional'!$M$5:$M$1000,$N97)&amp;"")</f>
        <v/>
      </c>
      <c r="M97" s="71">
        <f>IF($N97="","",INDEX('Cronograma R. Operacional'!$N$5:$N$1000,$N97)&amp;"")</f>
        <v/>
      </c>
      <c r="N97">
        <f>IFERROR(MATCH(ROW()-4,rOrden_RO,0),"")</f>
        <v/>
      </c>
      <c r="O97">
        <f>IF($N97="","",INDEX('Cronograma R. Operacional'!$S$5:$S$1000,$N97))</f>
        <v/>
      </c>
      <c r="P97">
        <f>IF($N97="","",N(INDEX('Cronograma R. Operacional'!$T$5:$T$1000,$N97)))</f>
        <v/>
      </c>
    </row>
    <row r="98">
      <c r="A98" s="62">
        <f>IF($N98="","",INDEX('Cronograma R. Operacional'!$A$5:$A$1000,$N98))</f>
        <v/>
      </c>
      <c r="B98" s="71">
        <f>IF($N98="","",IF($O98="Sub","      ↳  "&amp;INDEX('Cronograma R. Operacional'!$C$5:$C$1000,$N98),INDEX('Cronograma R. Operacional'!$C$5:$C$1000,$N98)&amp;""))</f>
        <v/>
      </c>
      <c r="C98" s="77">
        <f>IF($N98="","",IF(INDEX('Cronograma R. Operacional'!$D$5:$D$1000,$N98)="","",INDEX('Cronograma R. Operacional'!$D$5:$D$1000,$N98)))</f>
        <v/>
      </c>
      <c r="D98" s="77">
        <f>IF($N98="","",IF(INDEX('Cronograma R. Operacional'!$E$5:$E$1000,$N98)="","",INDEX('Cronograma R. Operacional'!$E$5:$E$1000,$N98)))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Operacional'!$Y$5:$Y$1000,$N98),""),IF(INDEX('Cronograma R. Operacional'!$G$5:$G$1000,$N98)="","",INDEX('Cronograma R. Operacional'!$G$5:$G$1000,$N98))))</f>
        <v/>
      </c>
      <c r="G98" s="68">
        <f>IF($N98="","",IF($P98&gt;0,IF(2&lt;=SemanaActual,INDEX('Cronograma R. Operacional'!$Z$5:$Z$1000,$N98),""),IF(INDEX('Cronograma R. Operacional'!$H$5:$H$1000,$N98)="","",INDEX('Cronograma R. Operacional'!$H$5:$H$1000,$N98))))</f>
        <v/>
      </c>
      <c r="H98" s="68">
        <f>IF($N98="","",IF($P98&gt;0,IF(3&lt;=SemanaActual,INDEX('Cronograma R. Operacional'!$AA$5:$AA$1000,$N98),""),IF(INDEX('Cronograma R. Operacional'!$I$5:$I$1000,$N98)="","",INDEX('Cronograma R. Operacional'!$I$5:$I$1000,$N98))))</f>
        <v/>
      </c>
      <c r="I98" s="68">
        <f>IF($N98="","",IF($P98&gt;0,IF(4&lt;=SemanaActual,INDEX('Cronograma R. Operacional'!$AB$5:$AB$1000,$N98),""),IF(INDEX('Cronograma R. Operacional'!$J$5:$J$1000,$N98)="","",INDEX('Cronograma R. Operacional'!$J$5:$J$1000,$N98))))</f>
        <v/>
      </c>
      <c r="J98" s="68">
        <f>IF($N98="","",INDEX('Cronograma R. Operacional'!$K$5:$K$1000,$N98))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Operacional'!$M$5:$M$1000,$N98)&amp;"")</f>
        <v/>
      </c>
      <c r="M98" s="71">
        <f>IF($N98="","",INDEX('Cronograma R. Operacional'!$N$5:$N$1000,$N98)&amp;"")</f>
        <v/>
      </c>
      <c r="N98">
        <f>IFERROR(MATCH(ROW()-4,rOrden_RO,0),"")</f>
        <v/>
      </c>
      <c r="O98">
        <f>IF($N98="","",INDEX('Cronograma R. Operacional'!$S$5:$S$1000,$N98))</f>
        <v/>
      </c>
      <c r="P98">
        <f>IF($N98="","",N(INDEX('Cronograma R. Operacional'!$T$5:$T$1000,$N98)))</f>
        <v/>
      </c>
    </row>
    <row r="99">
      <c r="A99" s="62">
        <f>IF($N99="","",INDEX('Cronograma R. Operacional'!$A$5:$A$1000,$N99))</f>
        <v/>
      </c>
      <c r="B99" s="71">
        <f>IF($N99="","",IF($O99="Sub","      ↳  "&amp;INDEX('Cronograma R. Operacional'!$C$5:$C$1000,$N99),INDEX('Cronograma R. Operacional'!$C$5:$C$1000,$N99)&amp;""))</f>
        <v/>
      </c>
      <c r="C99" s="77">
        <f>IF($N99="","",IF(INDEX('Cronograma R. Operacional'!$D$5:$D$1000,$N99)="","",INDEX('Cronograma R. Operacional'!$D$5:$D$1000,$N99)))</f>
        <v/>
      </c>
      <c r="D99" s="77">
        <f>IF($N99="","",IF(INDEX('Cronograma R. Operacional'!$E$5:$E$1000,$N99)="","",INDEX('Cronograma R. Operacional'!$E$5:$E$1000,$N99)))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Operacional'!$Y$5:$Y$1000,$N99),""),IF(INDEX('Cronograma R. Operacional'!$G$5:$G$1000,$N99)="","",INDEX('Cronograma R. Operacional'!$G$5:$G$1000,$N99))))</f>
        <v/>
      </c>
      <c r="G99" s="68">
        <f>IF($N99="","",IF($P99&gt;0,IF(2&lt;=SemanaActual,INDEX('Cronograma R. Operacional'!$Z$5:$Z$1000,$N99),""),IF(INDEX('Cronograma R. Operacional'!$H$5:$H$1000,$N99)="","",INDEX('Cronograma R. Operacional'!$H$5:$H$1000,$N99))))</f>
        <v/>
      </c>
      <c r="H99" s="68">
        <f>IF($N99="","",IF($P99&gt;0,IF(3&lt;=SemanaActual,INDEX('Cronograma R. Operacional'!$AA$5:$AA$1000,$N99),""),IF(INDEX('Cronograma R. Operacional'!$I$5:$I$1000,$N99)="","",INDEX('Cronograma R. Operacional'!$I$5:$I$1000,$N99))))</f>
        <v/>
      </c>
      <c r="I99" s="68">
        <f>IF($N99="","",IF($P99&gt;0,IF(4&lt;=SemanaActual,INDEX('Cronograma R. Operacional'!$AB$5:$AB$1000,$N99),""),IF(INDEX('Cronograma R. Operacional'!$J$5:$J$1000,$N99)="","",INDEX('Cronograma R. Operacional'!$J$5:$J$1000,$N99))))</f>
        <v/>
      </c>
      <c r="J99" s="68">
        <f>IF($N99="","",INDEX('Cronograma R. Operacional'!$K$5:$K$1000,$N99))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Operacional'!$M$5:$M$1000,$N99)&amp;"")</f>
        <v/>
      </c>
      <c r="M99" s="71">
        <f>IF($N99="","",INDEX('Cronograma R. Operacional'!$N$5:$N$1000,$N99)&amp;"")</f>
        <v/>
      </c>
      <c r="N99">
        <f>IFERROR(MATCH(ROW()-4,rOrden_RO,0),"")</f>
        <v/>
      </c>
      <c r="O99">
        <f>IF($N99="","",INDEX('Cronograma R. Operacional'!$S$5:$S$1000,$N99))</f>
        <v/>
      </c>
      <c r="P99">
        <f>IF($N99="","",N(INDEX('Cronograma R. Operacional'!$T$5:$T$1000,$N99)))</f>
        <v/>
      </c>
    </row>
    <row r="100">
      <c r="A100" s="62">
        <f>IF($N100="","",INDEX('Cronograma R. Operacional'!$A$5:$A$1000,$N100))</f>
        <v/>
      </c>
      <c r="B100" s="71">
        <f>IF($N100="","",IF($O100="Sub","      ↳  "&amp;INDEX('Cronograma R. Operacional'!$C$5:$C$1000,$N100),INDEX('Cronograma R. Operacional'!$C$5:$C$1000,$N100)&amp;""))</f>
        <v/>
      </c>
      <c r="C100" s="77">
        <f>IF($N100="","",IF(INDEX('Cronograma R. Operacional'!$D$5:$D$1000,$N100)="","",INDEX('Cronograma R. Operacional'!$D$5:$D$1000,$N100)))</f>
        <v/>
      </c>
      <c r="D100" s="77">
        <f>IF($N100="","",IF(INDEX('Cronograma R. Operacional'!$E$5:$E$1000,$N100)="","",INDEX('Cronograma R. Operacional'!$E$5:$E$1000,$N100)))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Operacional'!$Y$5:$Y$1000,$N100),""),IF(INDEX('Cronograma R. Operacional'!$G$5:$G$1000,$N100)="","",INDEX('Cronograma R. Operacional'!$G$5:$G$1000,$N100))))</f>
        <v/>
      </c>
      <c r="G100" s="68">
        <f>IF($N100="","",IF($P100&gt;0,IF(2&lt;=SemanaActual,INDEX('Cronograma R. Operacional'!$Z$5:$Z$1000,$N100),""),IF(INDEX('Cronograma R. Operacional'!$H$5:$H$1000,$N100)="","",INDEX('Cronograma R. Operacional'!$H$5:$H$1000,$N100))))</f>
        <v/>
      </c>
      <c r="H100" s="68">
        <f>IF($N100="","",IF($P100&gt;0,IF(3&lt;=SemanaActual,INDEX('Cronograma R. Operacional'!$AA$5:$AA$1000,$N100),""),IF(INDEX('Cronograma R. Operacional'!$I$5:$I$1000,$N100)="","",INDEX('Cronograma R. Operacional'!$I$5:$I$1000,$N100))))</f>
        <v/>
      </c>
      <c r="I100" s="68">
        <f>IF($N100="","",IF($P100&gt;0,IF(4&lt;=SemanaActual,INDEX('Cronograma R. Operacional'!$AB$5:$AB$1000,$N100),""),IF(INDEX('Cronograma R. Operacional'!$J$5:$J$1000,$N100)="","",INDEX('Cronograma R. Operacional'!$J$5:$J$1000,$N100))))</f>
        <v/>
      </c>
      <c r="J100" s="68">
        <f>IF($N100="","",INDEX('Cronograma R. Operacional'!$K$5:$K$1000,$N100))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Operacional'!$M$5:$M$1000,$N100)&amp;"")</f>
        <v/>
      </c>
      <c r="M100" s="71">
        <f>IF($N100="","",INDEX('Cronograma R. Operacional'!$N$5:$N$1000,$N100)&amp;"")</f>
        <v/>
      </c>
      <c r="N100">
        <f>IFERROR(MATCH(ROW()-4,rOrden_RO,0),"")</f>
        <v/>
      </c>
      <c r="O100">
        <f>IF($N100="","",INDEX('Cronograma R. Operacional'!$S$5:$S$1000,$N100))</f>
        <v/>
      </c>
      <c r="P100">
        <f>IF($N100="","",N(INDEX('Cronograma R. Operacional'!$T$5:$T$1000,$N100)))</f>
        <v/>
      </c>
    </row>
    <row r="101">
      <c r="A101" s="62">
        <f>IF($N101="","",INDEX('Cronograma R. Operacional'!$A$5:$A$1000,$N101))</f>
        <v/>
      </c>
      <c r="B101" s="71">
        <f>IF($N101="","",IF($O101="Sub","      ↳  "&amp;INDEX('Cronograma R. Operacional'!$C$5:$C$1000,$N101),INDEX('Cronograma R. Operacional'!$C$5:$C$1000,$N101)&amp;""))</f>
        <v/>
      </c>
      <c r="C101" s="77">
        <f>IF($N101="","",IF(INDEX('Cronograma R. Operacional'!$D$5:$D$1000,$N101)="","",INDEX('Cronograma R. Operacional'!$D$5:$D$1000,$N101)))</f>
        <v/>
      </c>
      <c r="D101" s="77">
        <f>IF($N101="","",IF(INDEX('Cronograma R. Operacional'!$E$5:$E$1000,$N101)="","",INDEX('Cronograma R. Operacional'!$E$5:$E$1000,$N101)))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Operacional'!$Y$5:$Y$1000,$N101),""),IF(INDEX('Cronograma R. Operacional'!$G$5:$G$1000,$N101)="","",INDEX('Cronograma R. Operacional'!$G$5:$G$1000,$N101))))</f>
        <v/>
      </c>
      <c r="G101" s="68">
        <f>IF($N101="","",IF($P101&gt;0,IF(2&lt;=SemanaActual,INDEX('Cronograma R. Operacional'!$Z$5:$Z$1000,$N101),""),IF(INDEX('Cronograma R. Operacional'!$H$5:$H$1000,$N101)="","",INDEX('Cronograma R. Operacional'!$H$5:$H$1000,$N101))))</f>
        <v/>
      </c>
      <c r="H101" s="68">
        <f>IF($N101="","",IF($P101&gt;0,IF(3&lt;=SemanaActual,INDEX('Cronograma R. Operacional'!$AA$5:$AA$1000,$N101),""),IF(INDEX('Cronograma R. Operacional'!$I$5:$I$1000,$N101)="","",INDEX('Cronograma R. Operacional'!$I$5:$I$1000,$N101))))</f>
        <v/>
      </c>
      <c r="I101" s="68">
        <f>IF($N101="","",IF($P101&gt;0,IF(4&lt;=SemanaActual,INDEX('Cronograma R. Operacional'!$AB$5:$AB$1000,$N101),""),IF(INDEX('Cronograma R. Operacional'!$J$5:$J$1000,$N101)="","",INDEX('Cronograma R. Operacional'!$J$5:$J$1000,$N101))))</f>
        <v/>
      </c>
      <c r="J101" s="68">
        <f>IF($N101="","",INDEX('Cronograma R. Operacional'!$K$5:$K$1000,$N101))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Operacional'!$M$5:$M$1000,$N101)&amp;"")</f>
        <v/>
      </c>
      <c r="M101" s="71">
        <f>IF($N101="","",INDEX('Cronograma R. Operacional'!$N$5:$N$1000,$N101)&amp;"")</f>
        <v/>
      </c>
      <c r="N101">
        <f>IFERROR(MATCH(ROW()-4,rOrden_RO,0),"")</f>
        <v/>
      </c>
      <c r="O101">
        <f>IF($N101="","",INDEX('Cronograma R. Operacional'!$S$5:$S$1000,$N101))</f>
        <v/>
      </c>
      <c r="P101">
        <f>IF($N101="","",N(INDEX('Cronograma R. Operacional'!$T$5:$T$1000,$N101)))</f>
        <v/>
      </c>
    </row>
    <row r="102">
      <c r="A102" s="62">
        <f>IF($N102="","",INDEX('Cronograma R. Operacional'!$A$5:$A$1000,$N102))</f>
        <v/>
      </c>
      <c r="B102" s="71">
        <f>IF($N102="","",IF($O102="Sub","      ↳  "&amp;INDEX('Cronograma R. Operacional'!$C$5:$C$1000,$N102),INDEX('Cronograma R. Operacional'!$C$5:$C$1000,$N102)&amp;""))</f>
        <v/>
      </c>
      <c r="C102" s="77">
        <f>IF($N102="","",IF(INDEX('Cronograma R. Operacional'!$D$5:$D$1000,$N102)="","",INDEX('Cronograma R. Operacional'!$D$5:$D$1000,$N102)))</f>
        <v/>
      </c>
      <c r="D102" s="77">
        <f>IF($N102="","",IF(INDEX('Cronograma R. Operacional'!$E$5:$E$1000,$N102)="","",INDEX('Cronograma R. Operacional'!$E$5:$E$1000,$N102)))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Operacional'!$Y$5:$Y$1000,$N102),""),IF(INDEX('Cronograma R. Operacional'!$G$5:$G$1000,$N102)="","",INDEX('Cronograma R. Operacional'!$G$5:$G$1000,$N102))))</f>
        <v/>
      </c>
      <c r="G102" s="68">
        <f>IF($N102="","",IF($P102&gt;0,IF(2&lt;=SemanaActual,INDEX('Cronograma R. Operacional'!$Z$5:$Z$1000,$N102),""),IF(INDEX('Cronograma R. Operacional'!$H$5:$H$1000,$N102)="","",INDEX('Cronograma R. Operacional'!$H$5:$H$1000,$N102))))</f>
        <v/>
      </c>
      <c r="H102" s="68">
        <f>IF($N102="","",IF($P102&gt;0,IF(3&lt;=SemanaActual,INDEX('Cronograma R. Operacional'!$AA$5:$AA$1000,$N102),""),IF(INDEX('Cronograma R. Operacional'!$I$5:$I$1000,$N102)="","",INDEX('Cronograma R. Operacional'!$I$5:$I$1000,$N102))))</f>
        <v/>
      </c>
      <c r="I102" s="68">
        <f>IF($N102="","",IF($P102&gt;0,IF(4&lt;=SemanaActual,INDEX('Cronograma R. Operacional'!$AB$5:$AB$1000,$N102),""),IF(INDEX('Cronograma R. Operacional'!$J$5:$J$1000,$N102)="","",INDEX('Cronograma R. Operacional'!$J$5:$J$1000,$N102))))</f>
        <v/>
      </c>
      <c r="J102" s="68">
        <f>IF($N102="","",INDEX('Cronograma R. Operacional'!$K$5:$K$1000,$N102))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Operacional'!$M$5:$M$1000,$N102)&amp;"")</f>
        <v/>
      </c>
      <c r="M102" s="71">
        <f>IF($N102="","",INDEX('Cronograma R. Operacional'!$N$5:$N$1000,$N102)&amp;"")</f>
        <v/>
      </c>
      <c r="N102">
        <f>IFERROR(MATCH(ROW()-4,rOrden_RO,0),"")</f>
        <v/>
      </c>
      <c r="O102">
        <f>IF($N102="","",INDEX('Cronograma R. Operacional'!$S$5:$S$1000,$N102))</f>
        <v/>
      </c>
      <c r="P102">
        <f>IF($N102="","",N(INDEX('Cronograma R. Operacional'!$T$5:$T$1000,$N102)))</f>
        <v/>
      </c>
    </row>
    <row r="103">
      <c r="A103" s="62">
        <f>IF($N103="","",INDEX('Cronograma R. Operacional'!$A$5:$A$1000,$N103))</f>
        <v/>
      </c>
      <c r="B103" s="71">
        <f>IF($N103="","",IF($O103="Sub","      ↳  "&amp;INDEX('Cronograma R. Operacional'!$C$5:$C$1000,$N103),INDEX('Cronograma R. Operacional'!$C$5:$C$1000,$N103)&amp;""))</f>
        <v/>
      </c>
      <c r="C103" s="77">
        <f>IF($N103="","",IF(INDEX('Cronograma R. Operacional'!$D$5:$D$1000,$N103)="","",INDEX('Cronograma R. Operacional'!$D$5:$D$1000,$N103)))</f>
        <v/>
      </c>
      <c r="D103" s="77">
        <f>IF($N103="","",IF(INDEX('Cronograma R. Operacional'!$E$5:$E$1000,$N103)="","",INDEX('Cronograma R. Operacional'!$E$5:$E$1000,$N103)))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Operacional'!$Y$5:$Y$1000,$N103),""),IF(INDEX('Cronograma R. Operacional'!$G$5:$G$1000,$N103)="","",INDEX('Cronograma R. Operacional'!$G$5:$G$1000,$N103))))</f>
        <v/>
      </c>
      <c r="G103" s="68">
        <f>IF($N103="","",IF($P103&gt;0,IF(2&lt;=SemanaActual,INDEX('Cronograma R. Operacional'!$Z$5:$Z$1000,$N103),""),IF(INDEX('Cronograma R. Operacional'!$H$5:$H$1000,$N103)="","",INDEX('Cronograma R. Operacional'!$H$5:$H$1000,$N103))))</f>
        <v/>
      </c>
      <c r="H103" s="68">
        <f>IF($N103="","",IF($P103&gt;0,IF(3&lt;=SemanaActual,INDEX('Cronograma R. Operacional'!$AA$5:$AA$1000,$N103),""),IF(INDEX('Cronograma R. Operacional'!$I$5:$I$1000,$N103)="","",INDEX('Cronograma R. Operacional'!$I$5:$I$1000,$N103))))</f>
        <v/>
      </c>
      <c r="I103" s="68">
        <f>IF($N103="","",IF($P103&gt;0,IF(4&lt;=SemanaActual,INDEX('Cronograma R. Operacional'!$AB$5:$AB$1000,$N103),""),IF(INDEX('Cronograma R. Operacional'!$J$5:$J$1000,$N103)="","",INDEX('Cronograma R. Operacional'!$J$5:$J$1000,$N103))))</f>
        <v/>
      </c>
      <c r="J103" s="68">
        <f>IF($N103="","",INDEX('Cronograma R. Operacional'!$K$5:$K$1000,$N103))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Operacional'!$M$5:$M$1000,$N103)&amp;"")</f>
        <v/>
      </c>
      <c r="M103" s="71">
        <f>IF($N103="","",INDEX('Cronograma R. Operacional'!$N$5:$N$1000,$N103)&amp;"")</f>
        <v/>
      </c>
      <c r="N103">
        <f>IFERROR(MATCH(ROW()-4,rOrden_RO,0),"")</f>
        <v/>
      </c>
      <c r="O103">
        <f>IF($N103="","",INDEX('Cronograma R. Operacional'!$S$5:$S$1000,$N103))</f>
        <v/>
      </c>
      <c r="P103">
        <f>IF($N103="","",N(INDEX('Cronograma R. Operacional'!$T$5:$T$1000,$N103)))</f>
        <v/>
      </c>
    </row>
    <row r="104">
      <c r="A104" s="62">
        <f>IF($N104="","",INDEX('Cronograma R. Operacional'!$A$5:$A$1000,$N104))</f>
        <v/>
      </c>
      <c r="B104" s="71">
        <f>IF($N104="","",IF($O104="Sub","      ↳  "&amp;INDEX('Cronograma R. Operacional'!$C$5:$C$1000,$N104),INDEX('Cronograma R. Operacional'!$C$5:$C$1000,$N104)&amp;""))</f>
        <v/>
      </c>
      <c r="C104" s="77">
        <f>IF($N104="","",IF(INDEX('Cronograma R. Operacional'!$D$5:$D$1000,$N104)="","",INDEX('Cronograma R. Operacional'!$D$5:$D$1000,$N104)))</f>
        <v/>
      </c>
      <c r="D104" s="77">
        <f>IF($N104="","",IF(INDEX('Cronograma R. Operacional'!$E$5:$E$1000,$N104)="","",INDEX('Cronograma R. Operacional'!$E$5:$E$1000,$N104)))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Operacional'!$Y$5:$Y$1000,$N104),""),IF(INDEX('Cronograma R. Operacional'!$G$5:$G$1000,$N104)="","",INDEX('Cronograma R. Operacional'!$G$5:$G$1000,$N104))))</f>
        <v/>
      </c>
      <c r="G104" s="68">
        <f>IF($N104="","",IF($P104&gt;0,IF(2&lt;=SemanaActual,INDEX('Cronograma R. Operacional'!$Z$5:$Z$1000,$N104),""),IF(INDEX('Cronograma R. Operacional'!$H$5:$H$1000,$N104)="","",INDEX('Cronograma R. Operacional'!$H$5:$H$1000,$N104))))</f>
        <v/>
      </c>
      <c r="H104" s="68">
        <f>IF($N104="","",IF($P104&gt;0,IF(3&lt;=SemanaActual,INDEX('Cronograma R. Operacional'!$AA$5:$AA$1000,$N104),""),IF(INDEX('Cronograma R. Operacional'!$I$5:$I$1000,$N104)="","",INDEX('Cronograma R. Operacional'!$I$5:$I$1000,$N104))))</f>
        <v/>
      </c>
      <c r="I104" s="68">
        <f>IF($N104="","",IF($P104&gt;0,IF(4&lt;=SemanaActual,INDEX('Cronograma R. Operacional'!$AB$5:$AB$1000,$N104),""),IF(INDEX('Cronograma R. Operacional'!$J$5:$J$1000,$N104)="","",INDEX('Cronograma R. Operacional'!$J$5:$J$1000,$N104))))</f>
        <v/>
      </c>
      <c r="J104" s="68">
        <f>IF($N104="","",INDEX('Cronograma R. Operacional'!$K$5:$K$1000,$N104))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Operacional'!$M$5:$M$1000,$N104)&amp;"")</f>
        <v/>
      </c>
      <c r="M104" s="71">
        <f>IF($N104="","",INDEX('Cronograma R. Operacional'!$N$5:$N$1000,$N104)&amp;"")</f>
        <v/>
      </c>
      <c r="N104">
        <f>IFERROR(MATCH(ROW()-4,rOrden_RO,0),"")</f>
        <v/>
      </c>
      <c r="O104">
        <f>IF($N104="","",INDEX('Cronograma R. Operacional'!$S$5:$S$1000,$N104))</f>
        <v/>
      </c>
      <c r="P104">
        <f>IF($N104="","",N(INDEX('Cronograma R. Operacional'!$T$5:$T$1000,$N104)))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M104">
    <cfRule type="expression" priority="3" dxfId="12">
      <formula>$O5="Macro"</formula>
    </cfRule>
  </conditionalFormatting>
  <conditionalFormatting sqref="A5:B104">
    <cfRule type="expression" priority="4" dxfId="13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78" t="inlineStr">
        <is>
          <t>Cronograma – Riesgo Normativo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79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50" t="inlineStr">
        <is>
          <t>Tipo</t>
        </is>
      </c>
      <c r="C4" s="50" t="inlineStr">
        <is>
          <t>Actividad</t>
        </is>
      </c>
      <c r="D4" s="50" t="inlineStr">
        <is>
          <t>Fecha de inicio</t>
        </is>
      </c>
      <c r="E4" s="50" t="inlineStr">
        <is>
          <t>Fecha límite</t>
        </is>
      </c>
      <c r="F4" s="50" t="inlineStr">
        <is>
          <t>Peso de actividad (%)</t>
        </is>
      </c>
      <c r="G4" s="50" t="inlineStr">
        <is>
          <t>Avance Semana 1 (%)</t>
        </is>
      </c>
      <c r="H4" s="50" t="inlineStr">
        <is>
          <t>Avance Semana 2 (%)</t>
        </is>
      </c>
      <c r="I4" s="50" t="inlineStr">
        <is>
          <t>Avance Semana 3 (%)</t>
        </is>
      </c>
      <c r="J4" s="50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50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20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21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78" t="inlineStr">
        <is>
          <t>Actividades del mes por semana – Riesgo Normativo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</row>
    <row r="2" ht="34" customHeight="1">
      <c r="A2" s="72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50" t="inlineStr">
        <is>
          <t>Semana 1</t>
        </is>
      </c>
      <c r="G4" s="50" t="inlineStr">
        <is>
          <t>Semana 2</t>
        </is>
      </c>
      <c r="H4" s="50" t="inlineStr">
        <is>
          <t>Semana 3</t>
        </is>
      </c>
      <c r="I4" s="50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Normativo'!$A$5:$A$1000,$N5))</f>
        <v/>
      </c>
      <c r="B5" s="71">
        <f>IF($N5="","",IF($O5="Sub","      ↳  "&amp;INDEX('Cronograma R. Normativo'!$C$5:$C$1000,$N5),INDEX('Cronograma R. Normativo'!$C$5:$C$1000,$N5)&amp;""))</f>
        <v/>
      </c>
      <c r="C5" s="77">
        <f>IF($N5="","",IF(INDEX('Cronograma R. Normativo'!$D$5:$D$1000,$N5)="","",INDEX('Cronograma R. Normativo'!$D$5:$D$1000,$N5)))</f>
        <v/>
      </c>
      <c r="D5" s="77">
        <f>IF($N5="","",IF(INDEX('Cronograma R. Normativo'!$E$5:$E$1000,$N5)="","",INDEX('Cronograma R. Normativo'!$E$5:$E$1000,$N5)))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Normativo'!$Y$5:$Y$1000,$N5),""),IF(INDEX('Cronograma R. Normativo'!$G$5:$G$1000,$N5)="","",INDEX('Cronograma R. Normativo'!$G$5:$G$1000,$N5))))</f>
        <v/>
      </c>
      <c r="G5" s="68">
        <f>IF($N5="","",IF($P5&gt;0,IF(2&lt;=SemanaActual,INDEX('Cronograma R. Normativo'!$Z$5:$Z$1000,$N5),""),IF(INDEX('Cronograma R. Normativo'!$H$5:$H$1000,$N5)="","",INDEX('Cronograma R. Normativo'!$H$5:$H$1000,$N5))))</f>
        <v/>
      </c>
      <c r="H5" s="68">
        <f>IF($N5="","",IF($P5&gt;0,IF(3&lt;=SemanaActual,INDEX('Cronograma R. Normativo'!$AA$5:$AA$1000,$N5),""),IF(INDEX('Cronograma R. Normativo'!$I$5:$I$1000,$N5)="","",INDEX('Cronograma R. Normativo'!$I$5:$I$1000,$N5))))</f>
        <v/>
      </c>
      <c r="I5" s="68">
        <f>IF($N5="","",IF($P5&gt;0,IF(4&lt;=SemanaActual,INDEX('Cronograma R. Normativo'!$AB$5:$AB$1000,$N5),""),IF(INDEX('Cronograma R. Normativo'!$J$5:$J$1000,$N5)="","",INDEX('Cronograma R. Normativo'!$J$5:$J$1000,$N5))))</f>
        <v/>
      </c>
      <c r="J5" s="68">
        <f>IF($N5="","",INDEX('Cronograma R. Normativo'!$K$5:$K$1000,$N5))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Normativo'!$M$5:$M$1000,$N5)&amp;"")</f>
        <v/>
      </c>
      <c r="M5" s="71">
        <f>IF($N5="","",INDEX('Cronograma R. Normativo'!$N$5:$N$1000,$N5)&amp;"")</f>
        <v/>
      </c>
      <c r="N5">
        <f>IFERROR(MATCH(ROW()-4,rOrden_RN,0),"")</f>
        <v/>
      </c>
      <c r="O5">
        <f>IF($N5="","",INDEX('Cronograma R. Normativo'!$S$5:$S$1000,$N5))</f>
        <v/>
      </c>
      <c r="P5">
        <f>IF($N5="","",N(INDEX('Cronograma R. Normativo'!$T$5:$T$1000,$N5)))</f>
        <v/>
      </c>
    </row>
    <row r="6">
      <c r="A6" s="62">
        <f>IF($N6="","",INDEX('Cronograma R. Normativo'!$A$5:$A$1000,$N6))</f>
        <v/>
      </c>
      <c r="B6" s="71">
        <f>IF($N6="","",IF($O6="Sub","      ↳  "&amp;INDEX('Cronograma R. Normativo'!$C$5:$C$1000,$N6),INDEX('Cronograma R. Normativo'!$C$5:$C$1000,$N6)&amp;""))</f>
        <v/>
      </c>
      <c r="C6" s="77">
        <f>IF($N6="","",IF(INDEX('Cronograma R. Normativo'!$D$5:$D$1000,$N6)="","",INDEX('Cronograma R. Normativo'!$D$5:$D$1000,$N6)))</f>
        <v/>
      </c>
      <c r="D6" s="77">
        <f>IF($N6="","",IF(INDEX('Cronograma R. Normativo'!$E$5:$E$1000,$N6)="","",INDEX('Cronograma R. Normativo'!$E$5:$E$1000,$N6)))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Normativo'!$Y$5:$Y$1000,$N6),""),IF(INDEX('Cronograma R. Normativo'!$G$5:$G$1000,$N6)="","",INDEX('Cronograma R. Normativo'!$G$5:$G$1000,$N6))))</f>
        <v/>
      </c>
      <c r="G6" s="68">
        <f>IF($N6="","",IF($P6&gt;0,IF(2&lt;=SemanaActual,INDEX('Cronograma R. Normativo'!$Z$5:$Z$1000,$N6),""),IF(INDEX('Cronograma R. Normativo'!$H$5:$H$1000,$N6)="","",INDEX('Cronograma R. Normativo'!$H$5:$H$1000,$N6))))</f>
        <v/>
      </c>
      <c r="H6" s="68">
        <f>IF($N6="","",IF($P6&gt;0,IF(3&lt;=SemanaActual,INDEX('Cronograma R. Normativo'!$AA$5:$AA$1000,$N6),""),IF(INDEX('Cronograma R. Normativo'!$I$5:$I$1000,$N6)="","",INDEX('Cronograma R. Normativo'!$I$5:$I$1000,$N6))))</f>
        <v/>
      </c>
      <c r="I6" s="68">
        <f>IF($N6="","",IF($P6&gt;0,IF(4&lt;=SemanaActual,INDEX('Cronograma R. Normativo'!$AB$5:$AB$1000,$N6),""),IF(INDEX('Cronograma R. Normativo'!$J$5:$J$1000,$N6)="","",INDEX('Cronograma R. Normativo'!$J$5:$J$1000,$N6))))</f>
        <v/>
      </c>
      <c r="J6" s="68">
        <f>IF($N6="","",INDEX('Cronograma R. Normativo'!$K$5:$K$1000,$N6))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Normativo'!$M$5:$M$1000,$N6)&amp;"")</f>
        <v/>
      </c>
      <c r="M6" s="71">
        <f>IF($N6="","",INDEX('Cronograma R. Normativo'!$N$5:$N$1000,$N6)&amp;"")</f>
        <v/>
      </c>
      <c r="N6">
        <f>IFERROR(MATCH(ROW()-4,rOrden_RN,0),"")</f>
        <v/>
      </c>
      <c r="O6">
        <f>IF($N6="","",INDEX('Cronograma R. Normativo'!$S$5:$S$1000,$N6))</f>
        <v/>
      </c>
      <c r="P6">
        <f>IF($N6="","",N(INDEX('Cronograma R. Normativo'!$T$5:$T$1000,$N6)))</f>
        <v/>
      </c>
    </row>
    <row r="7">
      <c r="A7" s="62">
        <f>IF($N7="","",INDEX('Cronograma R. Normativo'!$A$5:$A$1000,$N7))</f>
        <v/>
      </c>
      <c r="B7" s="71">
        <f>IF($N7="","",IF($O7="Sub","      ↳  "&amp;INDEX('Cronograma R. Normativo'!$C$5:$C$1000,$N7),INDEX('Cronograma R. Normativo'!$C$5:$C$1000,$N7)&amp;""))</f>
        <v/>
      </c>
      <c r="C7" s="77">
        <f>IF($N7="","",IF(INDEX('Cronograma R. Normativo'!$D$5:$D$1000,$N7)="","",INDEX('Cronograma R. Normativo'!$D$5:$D$1000,$N7)))</f>
        <v/>
      </c>
      <c r="D7" s="77">
        <f>IF($N7="","",IF(INDEX('Cronograma R. Normativo'!$E$5:$E$1000,$N7)="","",INDEX('Cronograma R. Normativo'!$E$5:$E$1000,$N7)))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Normativo'!$Y$5:$Y$1000,$N7),""),IF(INDEX('Cronograma R. Normativo'!$G$5:$G$1000,$N7)="","",INDEX('Cronograma R. Normativo'!$G$5:$G$1000,$N7))))</f>
        <v/>
      </c>
      <c r="G7" s="68">
        <f>IF($N7="","",IF($P7&gt;0,IF(2&lt;=SemanaActual,INDEX('Cronograma R. Normativo'!$Z$5:$Z$1000,$N7),""),IF(INDEX('Cronograma R. Normativo'!$H$5:$H$1000,$N7)="","",INDEX('Cronograma R. Normativo'!$H$5:$H$1000,$N7))))</f>
        <v/>
      </c>
      <c r="H7" s="68">
        <f>IF($N7="","",IF($P7&gt;0,IF(3&lt;=SemanaActual,INDEX('Cronograma R. Normativo'!$AA$5:$AA$1000,$N7),""),IF(INDEX('Cronograma R. Normativo'!$I$5:$I$1000,$N7)="","",INDEX('Cronograma R. Normativo'!$I$5:$I$1000,$N7))))</f>
        <v/>
      </c>
      <c r="I7" s="68">
        <f>IF($N7="","",IF($P7&gt;0,IF(4&lt;=SemanaActual,INDEX('Cronograma R. Normativo'!$AB$5:$AB$1000,$N7),""),IF(INDEX('Cronograma R. Normativo'!$J$5:$J$1000,$N7)="","",INDEX('Cronograma R. Normativo'!$J$5:$J$1000,$N7))))</f>
        <v/>
      </c>
      <c r="J7" s="68">
        <f>IF($N7="","",INDEX('Cronograma R. Normativo'!$K$5:$K$1000,$N7))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Normativo'!$M$5:$M$1000,$N7)&amp;"")</f>
        <v/>
      </c>
      <c r="M7" s="71">
        <f>IF($N7="","",INDEX('Cronograma R. Normativo'!$N$5:$N$1000,$N7)&amp;"")</f>
        <v/>
      </c>
      <c r="N7">
        <f>IFERROR(MATCH(ROW()-4,rOrden_RN,0),"")</f>
        <v/>
      </c>
      <c r="O7">
        <f>IF($N7="","",INDEX('Cronograma R. Normativo'!$S$5:$S$1000,$N7))</f>
        <v/>
      </c>
      <c r="P7">
        <f>IF($N7="","",N(INDEX('Cronograma R. Normativo'!$T$5:$T$1000,$N7)))</f>
        <v/>
      </c>
    </row>
    <row r="8">
      <c r="A8" s="62">
        <f>IF($N8="","",INDEX('Cronograma R. Normativo'!$A$5:$A$1000,$N8))</f>
        <v/>
      </c>
      <c r="B8" s="71">
        <f>IF($N8="","",IF($O8="Sub","      ↳  "&amp;INDEX('Cronograma R. Normativo'!$C$5:$C$1000,$N8),INDEX('Cronograma R. Normativo'!$C$5:$C$1000,$N8)&amp;""))</f>
        <v/>
      </c>
      <c r="C8" s="77">
        <f>IF($N8="","",IF(INDEX('Cronograma R. Normativo'!$D$5:$D$1000,$N8)="","",INDEX('Cronograma R. Normativo'!$D$5:$D$1000,$N8)))</f>
        <v/>
      </c>
      <c r="D8" s="77">
        <f>IF($N8="","",IF(INDEX('Cronograma R. Normativo'!$E$5:$E$1000,$N8)="","",INDEX('Cronograma R. Normativo'!$E$5:$E$1000,$N8)))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Normativo'!$Y$5:$Y$1000,$N8),""),IF(INDEX('Cronograma R. Normativo'!$G$5:$G$1000,$N8)="","",INDEX('Cronograma R. Normativo'!$G$5:$G$1000,$N8))))</f>
        <v/>
      </c>
      <c r="G8" s="68">
        <f>IF($N8="","",IF($P8&gt;0,IF(2&lt;=SemanaActual,INDEX('Cronograma R. Normativo'!$Z$5:$Z$1000,$N8),""),IF(INDEX('Cronograma R. Normativo'!$H$5:$H$1000,$N8)="","",INDEX('Cronograma R. Normativo'!$H$5:$H$1000,$N8))))</f>
        <v/>
      </c>
      <c r="H8" s="68">
        <f>IF($N8="","",IF($P8&gt;0,IF(3&lt;=SemanaActual,INDEX('Cronograma R. Normativo'!$AA$5:$AA$1000,$N8),""),IF(INDEX('Cronograma R. Normativo'!$I$5:$I$1000,$N8)="","",INDEX('Cronograma R. Normativo'!$I$5:$I$1000,$N8))))</f>
        <v/>
      </c>
      <c r="I8" s="68">
        <f>IF($N8="","",IF($P8&gt;0,IF(4&lt;=SemanaActual,INDEX('Cronograma R. Normativo'!$AB$5:$AB$1000,$N8),""),IF(INDEX('Cronograma R. Normativo'!$J$5:$J$1000,$N8)="","",INDEX('Cronograma R. Normativo'!$J$5:$J$1000,$N8))))</f>
        <v/>
      </c>
      <c r="J8" s="68">
        <f>IF($N8="","",INDEX('Cronograma R. Normativo'!$K$5:$K$1000,$N8))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Normativo'!$M$5:$M$1000,$N8)&amp;"")</f>
        <v/>
      </c>
      <c r="M8" s="71">
        <f>IF($N8="","",INDEX('Cronograma R. Normativo'!$N$5:$N$1000,$N8)&amp;"")</f>
        <v/>
      </c>
      <c r="N8">
        <f>IFERROR(MATCH(ROW()-4,rOrden_RN,0),"")</f>
        <v/>
      </c>
      <c r="O8">
        <f>IF($N8="","",INDEX('Cronograma R. Normativo'!$S$5:$S$1000,$N8))</f>
        <v/>
      </c>
      <c r="P8">
        <f>IF($N8="","",N(INDEX('Cronograma R. Normativo'!$T$5:$T$1000,$N8)))</f>
        <v/>
      </c>
    </row>
    <row r="9">
      <c r="A9" s="62">
        <f>IF($N9="","",INDEX('Cronograma R. Normativo'!$A$5:$A$1000,$N9))</f>
        <v/>
      </c>
      <c r="B9" s="71">
        <f>IF($N9="","",IF($O9="Sub","      ↳  "&amp;INDEX('Cronograma R. Normativo'!$C$5:$C$1000,$N9),INDEX('Cronograma R. Normativo'!$C$5:$C$1000,$N9)&amp;""))</f>
        <v/>
      </c>
      <c r="C9" s="77">
        <f>IF($N9="","",IF(INDEX('Cronograma R. Normativo'!$D$5:$D$1000,$N9)="","",INDEX('Cronograma R. Normativo'!$D$5:$D$1000,$N9)))</f>
        <v/>
      </c>
      <c r="D9" s="77">
        <f>IF($N9="","",IF(INDEX('Cronograma R. Normativo'!$E$5:$E$1000,$N9)="","",INDEX('Cronograma R. Normativo'!$E$5:$E$1000,$N9)))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Normativo'!$Y$5:$Y$1000,$N9),""),IF(INDEX('Cronograma R. Normativo'!$G$5:$G$1000,$N9)="","",INDEX('Cronograma R. Normativo'!$G$5:$G$1000,$N9))))</f>
        <v/>
      </c>
      <c r="G9" s="68">
        <f>IF($N9="","",IF($P9&gt;0,IF(2&lt;=SemanaActual,INDEX('Cronograma R. Normativo'!$Z$5:$Z$1000,$N9),""),IF(INDEX('Cronograma R. Normativo'!$H$5:$H$1000,$N9)="","",INDEX('Cronograma R. Normativo'!$H$5:$H$1000,$N9))))</f>
        <v/>
      </c>
      <c r="H9" s="68">
        <f>IF($N9="","",IF($P9&gt;0,IF(3&lt;=SemanaActual,INDEX('Cronograma R. Normativo'!$AA$5:$AA$1000,$N9),""),IF(INDEX('Cronograma R. Normativo'!$I$5:$I$1000,$N9)="","",INDEX('Cronograma R. Normativo'!$I$5:$I$1000,$N9))))</f>
        <v/>
      </c>
      <c r="I9" s="68">
        <f>IF($N9="","",IF($P9&gt;0,IF(4&lt;=SemanaActual,INDEX('Cronograma R. Normativo'!$AB$5:$AB$1000,$N9),""),IF(INDEX('Cronograma R. Normativo'!$J$5:$J$1000,$N9)="","",INDEX('Cronograma R. Normativo'!$J$5:$J$1000,$N9))))</f>
        <v/>
      </c>
      <c r="J9" s="68">
        <f>IF($N9="","",INDEX('Cronograma R. Normativo'!$K$5:$K$1000,$N9))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Normativo'!$M$5:$M$1000,$N9)&amp;"")</f>
        <v/>
      </c>
      <c r="M9" s="71">
        <f>IF($N9="","",INDEX('Cronograma R. Normativo'!$N$5:$N$1000,$N9)&amp;"")</f>
        <v/>
      </c>
      <c r="N9">
        <f>IFERROR(MATCH(ROW()-4,rOrden_RN,0),"")</f>
        <v/>
      </c>
      <c r="O9">
        <f>IF($N9="","",INDEX('Cronograma R. Normativo'!$S$5:$S$1000,$N9))</f>
        <v/>
      </c>
      <c r="P9">
        <f>IF($N9="","",N(INDEX('Cronograma R. Normativo'!$T$5:$T$1000,$N9)))</f>
        <v/>
      </c>
    </row>
    <row r="10">
      <c r="A10" s="62">
        <f>IF($N10="","",INDEX('Cronograma R. Normativo'!$A$5:$A$1000,$N10))</f>
        <v/>
      </c>
      <c r="B10" s="71">
        <f>IF($N10="","",IF($O10="Sub","      ↳  "&amp;INDEX('Cronograma R. Normativo'!$C$5:$C$1000,$N10),INDEX('Cronograma R. Normativo'!$C$5:$C$1000,$N10)&amp;""))</f>
        <v/>
      </c>
      <c r="C10" s="77">
        <f>IF($N10="","",IF(INDEX('Cronograma R. Normativo'!$D$5:$D$1000,$N10)="","",INDEX('Cronograma R. Normativo'!$D$5:$D$1000,$N10)))</f>
        <v/>
      </c>
      <c r="D10" s="77">
        <f>IF($N10="","",IF(INDEX('Cronograma R. Normativo'!$E$5:$E$1000,$N10)="","",INDEX('Cronograma R. Normativo'!$E$5:$E$1000,$N10)))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Normativo'!$Y$5:$Y$1000,$N10),""),IF(INDEX('Cronograma R. Normativo'!$G$5:$G$1000,$N10)="","",INDEX('Cronograma R. Normativo'!$G$5:$G$1000,$N10))))</f>
        <v/>
      </c>
      <c r="G10" s="68">
        <f>IF($N10="","",IF($P10&gt;0,IF(2&lt;=SemanaActual,INDEX('Cronograma R. Normativo'!$Z$5:$Z$1000,$N10),""),IF(INDEX('Cronograma R. Normativo'!$H$5:$H$1000,$N10)="","",INDEX('Cronograma R. Normativo'!$H$5:$H$1000,$N10))))</f>
        <v/>
      </c>
      <c r="H10" s="68">
        <f>IF($N10="","",IF($P10&gt;0,IF(3&lt;=SemanaActual,INDEX('Cronograma R. Normativo'!$AA$5:$AA$1000,$N10),""),IF(INDEX('Cronograma R. Normativo'!$I$5:$I$1000,$N10)="","",INDEX('Cronograma R. Normativo'!$I$5:$I$1000,$N10))))</f>
        <v/>
      </c>
      <c r="I10" s="68">
        <f>IF($N10="","",IF($P10&gt;0,IF(4&lt;=SemanaActual,INDEX('Cronograma R. Normativo'!$AB$5:$AB$1000,$N10),""),IF(INDEX('Cronograma R. Normativo'!$J$5:$J$1000,$N10)="","",INDEX('Cronograma R. Normativo'!$J$5:$J$1000,$N10))))</f>
        <v/>
      </c>
      <c r="J10" s="68">
        <f>IF($N10="","",INDEX('Cronograma R. Normativo'!$K$5:$K$1000,$N10))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Normativo'!$M$5:$M$1000,$N10)&amp;"")</f>
        <v/>
      </c>
      <c r="M10" s="71">
        <f>IF($N10="","",INDEX('Cronograma R. Normativo'!$N$5:$N$1000,$N10)&amp;"")</f>
        <v/>
      </c>
      <c r="N10">
        <f>IFERROR(MATCH(ROW()-4,rOrden_RN,0),"")</f>
        <v/>
      </c>
      <c r="O10">
        <f>IF($N10="","",INDEX('Cronograma R. Normativo'!$S$5:$S$1000,$N10))</f>
        <v/>
      </c>
      <c r="P10">
        <f>IF($N10="","",N(INDEX('Cronograma R. Normativo'!$T$5:$T$1000,$N10)))</f>
        <v/>
      </c>
    </row>
    <row r="11">
      <c r="A11" s="62">
        <f>IF($N11="","",INDEX('Cronograma R. Normativo'!$A$5:$A$1000,$N11))</f>
        <v/>
      </c>
      <c r="B11" s="71">
        <f>IF($N11="","",IF($O11="Sub","      ↳  "&amp;INDEX('Cronograma R. Normativo'!$C$5:$C$1000,$N11),INDEX('Cronograma R. Normativo'!$C$5:$C$1000,$N11)&amp;""))</f>
        <v/>
      </c>
      <c r="C11" s="77">
        <f>IF($N11="","",IF(INDEX('Cronograma R. Normativo'!$D$5:$D$1000,$N11)="","",INDEX('Cronograma R. Normativo'!$D$5:$D$1000,$N11)))</f>
        <v/>
      </c>
      <c r="D11" s="77">
        <f>IF($N11="","",IF(INDEX('Cronograma R. Normativo'!$E$5:$E$1000,$N11)="","",INDEX('Cronograma R. Normativo'!$E$5:$E$1000,$N11)))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Normativo'!$Y$5:$Y$1000,$N11),""),IF(INDEX('Cronograma R. Normativo'!$G$5:$G$1000,$N11)="","",INDEX('Cronograma R. Normativo'!$G$5:$G$1000,$N11))))</f>
        <v/>
      </c>
      <c r="G11" s="68">
        <f>IF($N11="","",IF($P11&gt;0,IF(2&lt;=SemanaActual,INDEX('Cronograma R. Normativo'!$Z$5:$Z$1000,$N11),""),IF(INDEX('Cronograma R. Normativo'!$H$5:$H$1000,$N11)="","",INDEX('Cronograma R. Normativo'!$H$5:$H$1000,$N11))))</f>
        <v/>
      </c>
      <c r="H11" s="68">
        <f>IF($N11="","",IF($P11&gt;0,IF(3&lt;=SemanaActual,INDEX('Cronograma R. Normativo'!$AA$5:$AA$1000,$N11),""),IF(INDEX('Cronograma R. Normativo'!$I$5:$I$1000,$N11)="","",INDEX('Cronograma R. Normativo'!$I$5:$I$1000,$N11))))</f>
        <v/>
      </c>
      <c r="I11" s="68">
        <f>IF($N11="","",IF($P11&gt;0,IF(4&lt;=SemanaActual,INDEX('Cronograma R. Normativo'!$AB$5:$AB$1000,$N11),""),IF(INDEX('Cronograma R. Normativo'!$J$5:$J$1000,$N11)="","",INDEX('Cronograma R. Normativo'!$J$5:$J$1000,$N11))))</f>
        <v/>
      </c>
      <c r="J11" s="68">
        <f>IF($N11="","",INDEX('Cronograma R. Normativo'!$K$5:$K$1000,$N11))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Normativo'!$M$5:$M$1000,$N11)&amp;"")</f>
        <v/>
      </c>
      <c r="M11" s="71">
        <f>IF($N11="","",INDEX('Cronograma R. Normativo'!$N$5:$N$1000,$N11)&amp;"")</f>
        <v/>
      </c>
      <c r="N11">
        <f>IFERROR(MATCH(ROW()-4,rOrden_RN,0),"")</f>
        <v/>
      </c>
      <c r="O11">
        <f>IF($N11="","",INDEX('Cronograma R. Normativo'!$S$5:$S$1000,$N11))</f>
        <v/>
      </c>
      <c r="P11">
        <f>IF($N11="","",N(INDEX('Cronograma R. Normativo'!$T$5:$T$1000,$N11)))</f>
        <v/>
      </c>
    </row>
    <row r="12">
      <c r="A12" s="62">
        <f>IF($N12="","",INDEX('Cronograma R. Normativo'!$A$5:$A$1000,$N12))</f>
        <v/>
      </c>
      <c r="B12" s="71">
        <f>IF($N12="","",IF($O12="Sub","      ↳  "&amp;INDEX('Cronograma R. Normativo'!$C$5:$C$1000,$N12),INDEX('Cronograma R. Normativo'!$C$5:$C$1000,$N12)&amp;""))</f>
        <v/>
      </c>
      <c r="C12" s="77">
        <f>IF($N12="","",IF(INDEX('Cronograma R. Normativo'!$D$5:$D$1000,$N12)="","",INDEX('Cronograma R. Normativo'!$D$5:$D$1000,$N12)))</f>
        <v/>
      </c>
      <c r="D12" s="77">
        <f>IF($N12="","",IF(INDEX('Cronograma R. Normativo'!$E$5:$E$1000,$N12)="","",INDEX('Cronograma R. Normativo'!$E$5:$E$1000,$N12)))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Normativo'!$Y$5:$Y$1000,$N12),""),IF(INDEX('Cronograma R. Normativo'!$G$5:$G$1000,$N12)="","",INDEX('Cronograma R. Normativo'!$G$5:$G$1000,$N12))))</f>
        <v/>
      </c>
      <c r="G12" s="68">
        <f>IF($N12="","",IF($P12&gt;0,IF(2&lt;=SemanaActual,INDEX('Cronograma R. Normativo'!$Z$5:$Z$1000,$N12),""),IF(INDEX('Cronograma R. Normativo'!$H$5:$H$1000,$N12)="","",INDEX('Cronograma R. Normativo'!$H$5:$H$1000,$N12))))</f>
        <v/>
      </c>
      <c r="H12" s="68">
        <f>IF($N12="","",IF($P12&gt;0,IF(3&lt;=SemanaActual,INDEX('Cronograma R. Normativo'!$AA$5:$AA$1000,$N12),""),IF(INDEX('Cronograma R. Normativo'!$I$5:$I$1000,$N12)="","",INDEX('Cronograma R. Normativo'!$I$5:$I$1000,$N12))))</f>
        <v/>
      </c>
      <c r="I12" s="68">
        <f>IF($N12="","",IF($P12&gt;0,IF(4&lt;=SemanaActual,INDEX('Cronograma R. Normativo'!$AB$5:$AB$1000,$N12),""),IF(INDEX('Cronograma R. Normativo'!$J$5:$J$1000,$N12)="","",INDEX('Cronograma R. Normativo'!$J$5:$J$1000,$N12))))</f>
        <v/>
      </c>
      <c r="J12" s="68">
        <f>IF($N12="","",INDEX('Cronograma R. Normativo'!$K$5:$K$1000,$N12))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Normativo'!$M$5:$M$1000,$N12)&amp;"")</f>
        <v/>
      </c>
      <c r="M12" s="71">
        <f>IF($N12="","",INDEX('Cronograma R. Normativo'!$N$5:$N$1000,$N12)&amp;"")</f>
        <v/>
      </c>
      <c r="N12">
        <f>IFERROR(MATCH(ROW()-4,rOrden_RN,0),"")</f>
        <v/>
      </c>
      <c r="O12">
        <f>IF($N12="","",INDEX('Cronograma R. Normativo'!$S$5:$S$1000,$N12))</f>
        <v/>
      </c>
      <c r="P12">
        <f>IF($N12="","",N(INDEX('Cronograma R. Normativo'!$T$5:$T$1000,$N12)))</f>
        <v/>
      </c>
    </row>
    <row r="13">
      <c r="A13" s="62">
        <f>IF($N13="","",INDEX('Cronograma R. Normativo'!$A$5:$A$1000,$N13))</f>
        <v/>
      </c>
      <c r="B13" s="71">
        <f>IF($N13="","",IF($O13="Sub","      ↳  "&amp;INDEX('Cronograma R. Normativo'!$C$5:$C$1000,$N13),INDEX('Cronograma R. Normativo'!$C$5:$C$1000,$N13)&amp;""))</f>
        <v/>
      </c>
      <c r="C13" s="77">
        <f>IF($N13="","",IF(INDEX('Cronograma R. Normativo'!$D$5:$D$1000,$N13)="","",INDEX('Cronograma R. Normativo'!$D$5:$D$1000,$N13)))</f>
        <v/>
      </c>
      <c r="D13" s="77">
        <f>IF($N13="","",IF(INDEX('Cronograma R. Normativo'!$E$5:$E$1000,$N13)="","",INDEX('Cronograma R. Normativo'!$E$5:$E$1000,$N13)))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Normativo'!$Y$5:$Y$1000,$N13),""),IF(INDEX('Cronograma R. Normativo'!$G$5:$G$1000,$N13)="","",INDEX('Cronograma R. Normativo'!$G$5:$G$1000,$N13))))</f>
        <v/>
      </c>
      <c r="G13" s="68">
        <f>IF($N13="","",IF($P13&gt;0,IF(2&lt;=SemanaActual,INDEX('Cronograma R. Normativo'!$Z$5:$Z$1000,$N13),""),IF(INDEX('Cronograma R. Normativo'!$H$5:$H$1000,$N13)="","",INDEX('Cronograma R. Normativo'!$H$5:$H$1000,$N13))))</f>
        <v/>
      </c>
      <c r="H13" s="68">
        <f>IF($N13="","",IF($P13&gt;0,IF(3&lt;=SemanaActual,INDEX('Cronograma R. Normativo'!$AA$5:$AA$1000,$N13),""),IF(INDEX('Cronograma R. Normativo'!$I$5:$I$1000,$N13)="","",INDEX('Cronograma R. Normativo'!$I$5:$I$1000,$N13))))</f>
        <v/>
      </c>
      <c r="I13" s="68">
        <f>IF($N13="","",IF($P13&gt;0,IF(4&lt;=SemanaActual,INDEX('Cronograma R. Normativo'!$AB$5:$AB$1000,$N13),""),IF(INDEX('Cronograma R. Normativo'!$J$5:$J$1000,$N13)="","",INDEX('Cronograma R. Normativo'!$J$5:$J$1000,$N13))))</f>
        <v/>
      </c>
      <c r="J13" s="68">
        <f>IF($N13="","",INDEX('Cronograma R. Normativo'!$K$5:$K$1000,$N13))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Normativo'!$M$5:$M$1000,$N13)&amp;"")</f>
        <v/>
      </c>
      <c r="M13" s="71">
        <f>IF($N13="","",INDEX('Cronograma R. Normativo'!$N$5:$N$1000,$N13)&amp;"")</f>
        <v/>
      </c>
      <c r="N13">
        <f>IFERROR(MATCH(ROW()-4,rOrden_RN,0),"")</f>
        <v/>
      </c>
      <c r="O13">
        <f>IF($N13="","",INDEX('Cronograma R. Normativo'!$S$5:$S$1000,$N13))</f>
        <v/>
      </c>
      <c r="P13">
        <f>IF($N13="","",N(INDEX('Cronograma R. Normativo'!$T$5:$T$1000,$N13)))</f>
        <v/>
      </c>
    </row>
    <row r="14">
      <c r="A14" s="62">
        <f>IF($N14="","",INDEX('Cronograma R. Normativo'!$A$5:$A$1000,$N14))</f>
        <v/>
      </c>
      <c r="B14" s="71">
        <f>IF($N14="","",IF($O14="Sub","      ↳  "&amp;INDEX('Cronograma R. Normativo'!$C$5:$C$1000,$N14),INDEX('Cronograma R. Normativo'!$C$5:$C$1000,$N14)&amp;""))</f>
        <v/>
      </c>
      <c r="C14" s="77">
        <f>IF($N14="","",IF(INDEX('Cronograma R. Normativo'!$D$5:$D$1000,$N14)="","",INDEX('Cronograma R. Normativo'!$D$5:$D$1000,$N14)))</f>
        <v/>
      </c>
      <c r="D14" s="77">
        <f>IF($N14="","",IF(INDEX('Cronograma R. Normativo'!$E$5:$E$1000,$N14)="","",INDEX('Cronograma R. Normativo'!$E$5:$E$1000,$N14)))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Normativo'!$Y$5:$Y$1000,$N14),""),IF(INDEX('Cronograma R. Normativo'!$G$5:$G$1000,$N14)="","",INDEX('Cronograma R. Normativo'!$G$5:$G$1000,$N14))))</f>
        <v/>
      </c>
      <c r="G14" s="68">
        <f>IF($N14="","",IF($P14&gt;0,IF(2&lt;=SemanaActual,INDEX('Cronograma R. Normativo'!$Z$5:$Z$1000,$N14),""),IF(INDEX('Cronograma R. Normativo'!$H$5:$H$1000,$N14)="","",INDEX('Cronograma R. Normativo'!$H$5:$H$1000,$N14))))</f>
        <v/>
      </c>
      <c r="H14" s="68">
        <f>IF($N14="","",IF($P14&gt;0,IF(3&lt;=SemanaActual,INDEX('Cronograma R. Normativo'!$AA$5:$AA$1000,$N14),""),IF(INDEX('Cronograma R. Normativo'!$I$5:$I$1000,$N14)="","",INDEX('Cronograma R. Normativo'!$I$5:$I$1000,$N14))))</f>
        <v/>
      </c>
      <c r="I14" s="68">
        <f>IF($N14="","",IF($P14&gt;0,IF(4&lt;=SemanaActual,INDEX('Cronograma R. Normativo'!$AB$5:$AB$1000,$N14),""),IF(INDEX('Cronograma R. Normativo'!$J$5:$J$1000,$N14)="","",INDEX('Cronograma R. Normativo'!$J$5:$J$1000,$N14))))</f>
        <v/>
      </c>
      <c r="J14" s="68">
        <f>IF($N14="","",INDEX('Cronograma R. Normativo'!$K$5:$K$1000,$N14))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Normativo'!$M$5:$M$1000,$N14)&amp;"")</f>
        <v/>
      </c>
      <c r="M14" s="71">
        <f>IF($N14="","",INDEX('Cronograma R. Normativo'!$N$5:$N$1000,$N14)&amp;"")</f>
        <v/>
      </c>
      <c r="N14">
        <f>IFERROR(MATCH(ROW()-4,rOrden_RN,0),"")</f>
        <v/>
      </c>
      <c r="O14">
        <f>IF($N14="","",INDEX('Cronograma R. Normativo'!$S$5:$S$1000,$N14))</f>
        <v/>
      </c>
      <c r="P14">
        <f>IF($N14="","",N(INDEX('Cronograma R. Normativo'!$T$5:$T$1000,$N14)))</f>
        <v/>
      </c>
    </row>
    <row r="15">
      <c r="A15" s="62">
        <f>IF($N15="","",INDEX('Cronograma R. Normativo'!$A$5:$A$1000,$N15))</f>
        <v/>
      </c>
      <c r="B15" s="71">
        <f>IF($N15="","",IF($O15="Sub","      ↳  "&amp;INDEX('Cronograma R. Normativo'!$C$5:$C$1000,$N15),INDEX('Cronograma R. Normativo'!$C$5:$C$1000,$N15)&amp;""))</f>
        <v/>
      </c>
      <c r="C15" s="77">
        <f>IF($N15="","",IF(INDEX('Cronograma R. Normativo'!$D$5:$D$1000,$N15)="","",INDEX('Cronograma R. Normativo'!$D$5:$D$1000,$N15)))</f>
        <v/>
      </c>
      <c r="D15" s="77">
        <f>IF($N15="","",IF(INDEX('Cronograma R. Normativo'!$E$5:$E$1000,$N15)="","",INDEX('Cronograma R. Normativo'!$E$5:$E$1000,$N15)))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Normativo'!$Y$5:$Y$1000,$N15),""),IF(INDEX('Cronograma R. Normativo'!$G$5:$G$1000,$N15)="","",INDEX('Cronograma R. Normativo'!$G$5:$G$1000,$N15))))</f>
        <v/>
      </c>
      <c r="G15" s="68">
        <f>IF($N15="","",IF($P15&gt;0,IF(2&lt;=SemanaActual,INDEX('Cronograma R. Normativo'!$Z$5:$Z$1000,$N15),""),IF(INDEX('Cronograma R. Normativo'!$H$5:$H$1000,$N15)="","",INDEX('Cronograma R. Normativo'!$H$5:$H$1000,$N15))))</f>
        <v/>
      </c>
      <c r="H15" s="68">
        <f>IF($N15="","",IF($P15&gt;0,IF(3&lt;=SemanaActual,INDEX('Cronograma R. Normativo'!$AA$5:$AA$1000,$N15),""),IF(INDEX('Cronograma R. Normativo'!$I$5:$I$1000,$N15)="","",INDEX('Cronograma R. Normativo'!$I$5:$I$1000,$N15))))</f>
        <v/>
      </c>
      <c r="I15" s="68">
        <f>IF($N15="","",IF($P15&gt;0,IF(4&lt;=SemanaActual,INDEX('Cronograma R. Normativo'!$AB$5:$AB$1000,$N15),""),IF(INDEX('Cronograma R. Normativo'!$J$5:$J$1000,$N15)="","",INDEX('Cronograma R. Normativo'!$J$5:$J$1000,$N15))))</f>
        <v/>
      </c>
      <c r="J15" s="68">
        <f>IF($N15="","",INDEX('Cronograma R. Normativo'!$K$5:$K$1000,$N15))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Normativo'!$M$5:$M$1000,$N15)&amp;"")</f>
        <v/>
      </c>
      <c r="M15" s="71">
        <f>IF($N15="","",INDEX('Cronograma R. Normativo'!$N$5:$N$1000,$N15)&amp;"")</f>
        <v/>
      </c>
      <c r="N15">
        <f>IFERROR(MATCH(ROW()-4,rOrden_RN,0),"")</f>
        <v/>
      </c>
      <c r="O15">
        <f>IF($N15="","",INDEX('Cronograma R. Normativo'!$S$5:$S$1000,$N15))</f>
        <v/>
      </c>
      <c r="P15">
        <f>IF($N15="","",N(INDEX('Cronograma R. Normativo'!$T$5:$T$1000,$N15)))</f>
        <v/>
      </c>
    </row>
    <row r="16">
      <c r="A16" s="62">
        <f>IF($N16="","",INDEX('Cronograma R. Normativo'!$A$5:$A$1000,$N16))</f>
        <v/>
      </c>
      <c r="B16" s="71">
        <f>IF($N16="","",IF($O16="Sub","      ↳  "&amp;INDEX('Cronograma R. Normativo'!$C$5:$C$1000,$N16),INDEX('Cronograma R. Normativo'!$C$5:$C$1000,$N16)&amp;""))</f>
        <v/>
      </c>
      <c r="C16" s="77">
        <f>IF($N16="","",IF(INDEX('Cronograma R. Normativo'!$D$5:$D$1000,$N16)="","",INDEX('Cronograma R. Normativo'!$D$5:$D$1000,$N16)))</f>
        <v/>
      </c>
      <c r="D16" s="77">
        <f>IF($N16="","",IF(INDEX('Cronograma R. Normativo'!$E$5:$E$1000,$N16)="","",INDEX('Cronograma R. Normativo'!$E$5:$E$1000,$N16)))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Normativo'!$Y$5:$Y$1000,$N16),""),IF(INDEX('Cronograma R. Normativo'!$G$5:$G$1000,$N16)="","",INDEX('Cronograma R. Normativo'!$G$5:$G$1000,$N16))))</f>
        <v/>
      </c>
      <c r="G16" s="68">
        <f>IF($N16="","",IF($P16&gt;0,IF(2&lt;=SemanaActual,INDEX('Cronograma R. Normativo'!$Z$5:$Z$1000,$N16),""),IF(INDEX('Cronograma R. Normativo'!$H$5:$H$1000,$N16)="","",INDEX('Cronograma R. Normativo'!$H$5:$H$1000,$N16))))</f>
        <v/>
      </c>
      <c r="H16" s="68">
        <f>IF($N16="","",IF($P16&gt;0,IF(3&lt;=SemanaActual,INDEX('Cronograma R. Normativo'!$AA$5:$AA$1000,$N16),""),IF(INDEX('Cronograma R. Normativo'!$I$5:$I$1000,$N16)="","",INDEX('Cronograma R. Normativo'!$I$5:$I$1000,$N16))))</f>
        <v/>
      </c>
      <c r="I16" s="68">
        <f>IF($N16="","",IF($P16&gt;0,IF(4&lt;=SemanaActual,INDEX('Cronograma R. Normativo'!$AB$5:$AB$1000,$N16),""),IF(INDEX('Cronograma R. Normativo'!$J$5:$J$1000,$N16)="","",INDEX('Cronograma R. Normativo'!$J$5:$J$1000,$N16))))</f>
        <v/>
      </c>
      <c r="J16" s="68">
        <f>IF($N16="","",INDEX('Cronograma R. Normativo'!$K$5:$K$1000,$N16))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Normativo'!$M$5:$M$1000,$N16)&amp;"")</f>
        <v/>
      </c>
      <c r="M16" s="71">
        <f>IF($N16="","",INDEX('Cronograma R. Normativo'!$N$5:$N$1000,$N16)&amp;"")</f>
        <v/>
      </c>
      <c r="N16">
        <f>IFERROR(MATCH(ROW()-4,rOrden_RN,0),"")</f>
        <v/>
      </c>
      <c r="O16">
        <f>IF($N16="","",INDEX('Cronograma R. Normativo'!$S$5:$S$1000,$N16))</f>
        <v/>
      </c>
      <c r="P16">
        <f>IF($N16="","",N(INDEX('Cronograma R. Normativo'!$T$5:$T$1000,$N16)))</f>
        <v/>
      </c>
    </row>
    <row r="17">
      <c r="A17" s="62">
        <f>IF($N17="","",INDEX('Cronograma R. Normativo'!$A$5:$A$1000,$N17))</f>
        <v/>
      </c>
      <c r="B17" s="71">
        <f>IF($N17="","",IF($O17="Sub","      ↳  "&amp;INDEX('Cronograma R. Normativo'!$C$5:$C$1000,$N17),INDEX('Cronograma R. Normativo'!$C$5:$C$1000,$N17)&amp;""))</f>
        <v/>
      </c>
      <c r="C17" s="77">
        <f>IF($N17="","",IF(INDEX('Cronograma R. Normativo'!$D$5:$D$1000,$N17)="","",INDEX('Cronograma R. Normativo'!$D$5:$D$1000,$N17)))</f>
        <v/>
      </c>
      <c r="D17" s="77">
        <f>IF($N17="","",IF(INDEX('Cronograma R. Normativo'!$E$5:$E$1000,$N17)="","",INDEX('Cronograma R. Normativo'!$E$5:$E$1000,$N17)))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Normativo'!$Y$5:$Y$1000,$N17),""),IF(INDEX('Cronograma R. Normativo'!$G$5:$G$1000,$N17)="","",INDEX('Cronograma R. Normativo'!$G$5:$G$1000,$N17))))</f>
        <v/>
      </c>
      <c r="G17" s="68">
        <f>IF($N17="","",IF($P17&gt;0,IF(2&lt;=SemanaActual,INDEX('Cronograma R. Normativo'!$Z$5:$Z$1000,$N17),""),IF(INDEX('Cronograma R. Normativo'!$H$5:$H$1000,$N17)="","",INDEX('Cronograma R. Normativo'!$H$5:$H$1000,$N17))))</f>
        <v/>
      </c>
      <c r="H17" s="68">
        <f>IF($N17="","",IF($P17&gt;0,IF(3&lt;=SemanaActual,INDEX('Cronograma R. Normativo'!$AA$5:$AA$1000,$N17),""),IF(INDEX('Cronograma R. Normativo'!$I$5:$I$1000,$N17)="","",INDEX('Cronograma R. Normativo'!$I$5:$I$1000,$N17))))</f>
        <v/>
      </c>
      <c r="I17" s="68">
        <f>IF($N17="","",IF($P17&gt;0,IF(4&lt;=SemanaActual,INDEX('Cronograma R. Normativo'!$AB$5:$AB$1000,$N17),""),IF(INDEX('Cronograma R. Normativo'!$J$5:$J$1000,$N17)="","",INDEX('Cronograma R. Normativo'!$J$5:$J$1000,$N17))))</f>
        <v/>
      </c>
      <c r="J17" s="68">
        <f>IF($N17="","",INDEX('Cronograma R. Normativo'!$K$5:$K$1000,$N17))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Normativo'!$M$5:$M$1000,$N17)&amp;"")</f>
        <v/>
      </c>
      <c r="M17" s="71">
        <f>IF($N17="","",INDEX('Cronograma R. Normativo'!$N$5:$N$1000,$N17)&amp;"")</f>
        <v/>
      </c>
      <c r="N17">
        <f>IFERROR(MATCH(ROW()-4,rOrden_RN,0),"")</f>
        <v/>
      </c>
      <c r="O17">
        <f>IF($N17="","",INDEX('Cronograma R. Normativo'!$S$5:$S$1000,$N17))</f>
        <v/>
      </c>
      <c r="P17">
        <f>IF($N17="","",N(INDEX('Cronograma R. Normativo'!$T$5:$T$1000,$N17)))</f>
        <v/>
      </c>
    </row>
    <row r="18">
      <c r="A18" s="62">
        <f>IF($N18="","",INDEX('Cronograma R. Normativo'!$A$5:$A$1000,$N18))</f>
        <v/>
      </c>
      <c r="B18" s="71">
        <f>IF($N18="","",IF($O18="Sub","      ↳  "&amp;INDEX('Cronograma R. Normativo'!$C$5:$C$1000,$N18),INDEX('Cronograma R. Normativo'!$C$5:$C$1000,$N18)&amp;""))</f>
        <v/>
      </c>
      <c r="C18" s="77">
        <f>IF($N18="","",IF(INDEX('Cronograma R. Normativo'!$D$5:$D$1000,$N18)="","",INDEX('Cronograma R. Normativo'!$D$5:$D$1000,$N18)))</f>
        <v/>
      </c>
      <c r="D18" s="77">
        <f>IF($N18="","",IF(INDEX('Cronograma R. Normativo'!$E$5:$E$1000,$N18)="","",INDEX('Cronograma R. Normativo'!$E$5:$E$1000,$N18)))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Normativo'!$Y$5:$Y$1000,$N18),""),IF(INDEX('Cronograma R. Normativo'!$G$5:$G$1000,$N18)="","",INDEX('Cronograma R. Normativo'!$G$5:$G$1000,$N18))))</f>
        <v/>
      </c>
      <c r="G18" s="68">
        <f>IF($N18="","",IF($P18&gt;0,IF(2&lt;=SemanaActual,INDEX('Cronograma R. Normativo'!$Z$5:$Z$1000,$N18),""),IF(INDEX('Cronograma R. Normativo'!$H$5:$H$1000,$N18)="","",INDEX('Cronograma R. Normativo'!$H$5:$H$1000,$N18))))</f>
        <v/>
      </c>
      <c r="H18" s="68">
        <f>IF($N18="","",IF($P18&gt;0,IF(3&lt;=SemanaActual,INDEX('Cronograma R. Normativo'!$AA$5:$AA$1000,$N18),""),IF(INDEX('Cronograma R. Normativo'!$I$5:$I$1000,$N18)="","",INDEX('Cronograma R. Normativo'!$I$5:$I$1000,$N18))))</f>
        <v/>
      </c>
      <c r="I18" s="68">
        <f>IF($N18="","",IF($P18&gt;0,IF(4&lt;=SemanaActual,INDEX('Cronograma R. Normativo'!$AB$5:$AB$1000,$N18),""),IF(INDEX('Cronograma R. Normativo'!$J$5:$J$1000,$N18)="","",INDEX('Cronograma R. Normativo'!$J$5:$J$1000,$N18))))</f>
        <v/>
      </c>
      <c r="J18" s="68">
        <f>IF($N18="","",INDEX('Cronograma R. Normativo'!$K$5:$K$1000,$N18))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Normativo'!$M$5:$M$1000,$N18)&amp;"")</f>
        <v/>
      </c>
      <c r="M18" s="71">
        <f>IF($N18="","",INDEX('Cronograma R. Normativo'!$N$5:$N$1000,$N18)&amp;"")</f>
        <v/>
      </c>
      <c r="N18">
        <f>IFERROR(MATCH(ROW()-4,rOrden_RN,0),"")</f>
        <v/>
      </c>
      <c r="O18">
        <f>IF($N18="","",INDEX('Cronograma R. Normativo'!$S$5:$S$1000,$N18))</f>
        <v/>
      </c>
      <c r="P18">
        <f>IF($N18="","",N(INDEX('Cronograma R. Normativo'!$T$5:$T$1000,$N18)))</f>
        <v/>
      </c>
    </row>
    <row r="19">
      <c r="A19" s="62">
        <f>IF($N19="","",INDEX('Cronograma R. Normativo'!$A$5:$A$1000,$N19))</f>
        <v/>
      </c>
      <c r="B19" s="71">
        <f>IF($N19="","",IF($O19="Sub","      ↳  "&amp;INDEX('Cronograma R. Normativo'!$C$5:$C$1000,$N19),INDEX('Cronograma R. Normativo'!$C$5:$C$1000,$N19)&amp;""))</f>
        <v/>
      </c>
      <c r="C19" s="77">
        <f>IF($N19="","",IF(INDEX('Cronograma R. Normativo'!$D$5:$D$1000,$N19)="","",INDEX('Cronograma R. Normativo'!$D$5:$D$1000,$N19)))</f>
        <v/>
      </c>
      <c r="D19" s="77">
        <f>IF($N19="","",IF(INDEX('Cronograma R. Normativo'!$E$5:$E$1000,$N19)="","",INDEX('Cronograma R. Normativo'!$E$5:$E$1000,$N19)))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Normativo'!$Y$5:$Y$1000,$N19),""),IF(INDEX('Cronograma R. Normativo'!$G$5:$G$1000,$N19)="","",INDEX('Cronograma R. Normativo'!$G$5:$G$1000,$N19))))</f>
        <v/>
      </c>
      <c r="G19" s="68">
        <f>IF($N19="","",IF($P19&gt;0,IF(2&lt;=SemanaActual,INDEX('Cronograma R. Normativo'!$Z$5:$Z$1000,$N19),""),IF(INDEX('Cronograma R. Normativo'!$H$5:$H$1000,$N19)="","",INDEX('Cronograma R. Normativo'!$H$5:$H$1000,$N19))))</f>
        <v/>
      </c>
      <c r="H19" s="68">
        <f>IF($N19="","",IF($P19&gt;0,IF(3&lt;=SemanaActual,INDEX('Cronograma R. Normativo'!$AA$5:$AA$1000,$N19),""),IF(INDEX('Cronograma R. Normativo'!$I$5:$I$1000,$N19)="","",INDEX('Cronograma R. Normativo'!$I$5:$I$1000,$N19))))</f>
        <v/>
      </c>
      <c r="I19" s="68">
        <f>IF($N19="","",IF($P19&gt;0,IF(4&lt;=SemanaActual,INDEX('Cronograma R. Normativo'!$AB$5:$AB$1000,$N19),""),IF(INDEX('Cronograma R. Normativo'!$J$5:$J$1000,$N19)="","",INDEX('Cronograma R. Normativo'!$J$5:$J$1000,$N19))))</f>
        <v/>
      </c>
      <c r="J19" s="68">
        <f>IF($N19="","",INDEX('Cronograma R. Normativo'!$K$5:$K$1000,$N19))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Normativo'!$M$5:$M$1000,$N19)&amp;"")</f>
        <v/>
      </c>
      <c r="M19" s="71">
        <f>IF($N19="","",INDEX('Cronograma R. Normativo'!$N$5:$N$1000,$N19)&amp;"")</f>
        <v/>
      </c>
      <c r="N19">
        <f>IFERROR(MATCH(ROW()-4,rOrden_RN,0),"")</f>
        <v/>
      </c>
      <c r="O19">
        <f>IF($N19="","",INDEX('Cronograma R. Normativo'!$S$5:$S$1000,$N19))</f>
        <v/>
      </c>
      <c r="P19">
        <f>IF($N19="","",N(INDEX('Cronograma R. Normativo'!$T$5:$T$1000,$N19)))</f>
        <v/>
      </c>
    </row>
    <row r="20">
      <c r="A20" s="62">
        <f>IF($N20="","",INDEX('Cronograma R. Normativo'!$A$5:$A$1000,$N20))</f>
        <v/>
      </c>
      <c r="B20" s="71">
        <f>IF($N20="","",IF($O20="Sub","      ↳  "&amp;INDEX('Cronograma R. Normativo'!$C$5:$C$1000,$N20),INDEX('Cronograma R. Normativo'!$C$5:$C$1000,$N20)&amp;""))</f>
        <v/>
      </c>
      <c r="C20" s="77">
        <f>IF($N20="","",IF(INDEX('Cronograma R. Normativo'!$D$5:$D$1000,$N20)="","",INDEX('Cronograma R. Normativo'!$D$5:$D$1000,$N20)))</f>
        <v/>
      </c>
      <c r="D20" s="77">
        <f>IF($N20="","",IF(INDEX('Cronograma R. Normativo'!$E$5:$E$1000,$N20)="","",INDEX('Cronograma R. Normativo'!$E$5:$E$1000,$N20)))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Normativo'!$Y$5:$Y$1000,$N20),""),IF(INDEX('Cronograma R. Normativo'!$G$5:$G$1000,$N20)="","",INDEX('Cronograma R. Normativo'!$G$5:$G$1000,$N20))))</f>
        <v/>
      </c>
      <c r="G20" s="68">
        <f>IF($N20="","",IF($P20&gt;0,IF(2&lt;=SemanaActual,INDEX('Cronograma R. Normativo'!$Z$5:$Z$1000,$N20),""),IF(INDEX('Cronograma R. Normativo'!$H$5:$H$1000,$N20)="","",INDEX('Cronograma R. Normativo'!$H$5:$H$1000,$N20))))</f>
        <v/>
      </c>
      <c r="H20" s="68">
        <f>IF($N20="","",IF($P20&gt;0,IF(3&lt;=SemanaActual,INDEX('Cronograma R. Normativo'!$AA$5:$AA$1000,$N20),""),IF(INDEX('Cronograma R. Normativo'!$I$5:$I$1000,$N20)="","",INDEX('Cronograma R. Normativo'!$I$5:$I$1000,$N20))))</f>
        <v/>
      </c>
      <c r="I20" s="68">
        <f>IF($N20="","",IF($P20&gt;0,IF(4&lt;=SemanaActual,INDEX('Cronograma R. Normativo'!$AB$5:$AB$1000,$N20),""),IF(INDEX('Cronograma R. Normativo'!$J$5:$J$1000,$N20)="","",INDEX('Cronograma R. Normativo'!$J$5:$J$1000,$N20))))</f>
        <v/>
      </c>
      <c r="J20" s="68">
        <f>IF($N20="","",INDEX('Cronograma R. Normativo'!$K$5:$K$1000,$N20))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Normativo'!$M$5:$M$1000,$N20)&amp;"")</f>
        <v/>
      </c>
      <c r="M20" s="71">
        <f>IF($N20="","",INDEX('Cronograma R. Normativo'!$N$5:$N$1000,$N20)&amp;"")</f>
        <v/>
      </c>
      <c r="N20">
        <f>IFERROR(MATCH(ROW()-4,rOrden_RN,0),"")</f>
        <v/>
      </c>
      <c r="O20">
        <f>IF($N20="","",INDEX('Cronograma R. Normativo'!$S$5:$S$1000,$N20))</f>
        <v/>
      </c>
      <c r="P20">
        <f>IF($N20="","",N(INDEX('Cronograma R. Normativo'!$T$5:$T$1000,$N20)))</f>
        <v/>
      </c>
    </row>
    <row r="21">
      <c r="A21" s="62">
        <f>IF($N21="","",INDEX('Cronograma R. Normativo'!$A$5:$A$1000,$N21))</f>
        <v/>
      </c>
      <c r="B21" s="71">
        <f>IF($N21="","",IF($O21="Sub","      ↳  "&amp;INDEX('Cronograma R. Normativo'!$C$5:$C$1000,$N21),INDEX('Cronograma R. Normativo'!$C$5:$C$1000,$N21)&amp;""))</f>
        <v/>
      </c>
      <c r="C21" s="77">
        <f>IF($N21="","",IF(INDEX('Cronograma R. Normativo'!$D$5:$D$1000,$N21)="","",INDEX('Cronograma R. Normativo'!$D$5:$D$1000,$N21)))</f>
        <v/>
      </c>
      <c r="D21" s="77">
        <f>IF($N21="","",IF(INDEX('Cronograma R. Normativo'!$E$5:$E$1000,$N21)="","",INDEX('Cronograma R. Normativo'!$E$5:$E$1000,$N21)))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Normativo'!$Y$5:$Y$1000,$N21),""),IF(INDEX('Cronograma R. Normativo'!$G$5:$G$1000,$N21)="","",INDEX('Cronograma R. Normativo'!$G$5:$G$1000,$N21))))</f>
        <v/>
      </c>
      <c r="G21" s="68">
        <f>IF($N21="","",IF($P21&gt;0,IF(2&lt;=SemanaActual,INDEX('Cronograma R. Normativo'!$Z$5:$Z$1000,$N21),""),IF(INDEX('Cronograma R. Normativo'!$H$5:$H$1000,$N21)="","",INDEX('Cronograma R. Normativo'!$H$5:$H$1000,$N21))))</f>
        <v/>
      </c>
      <c r="H21" s="68">
        <f>IF($N21="","",IF($P21&gt;0,IF(3&lt;=SemanaActual,INDEX('Cronograma R. Normativo'!$AA$5:$AA$1000,$N21),""),IF(INDEX('Cronograma R. Normativo'!$I$5:$I$1000,$N21)="","",INDEX('Cronograma R. Normativo'!$I$5:$I$1000,$N21))))</f>
        <v/>
      </c>
      <c r="I21" s="68">
        <f>IF($N21="","",IF($P21&gt;0,IF(4&lt;=SemanaActual,INDEX('Cronograma R. Normativo'!$AB$5:$AB$1000,$N21),""),IF(INDEX('Cronograma R. Normativo'!$J$5:$J$1000,$N21)="","",INDEX('Cronograma R. Normativo'!$J$5:$J$1000,$N21))))</f>
        <v/>
      </c>
      <c r="J21" s="68">
        <f>IF($N21="","",INDEX('Cronograma R. Normativo'!$K$5:$K$1000,$N21))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Normativo'!$M$5:$M$1000,$N21)&amp;"")</f>
        <v/>
      </c>
      <c r="M21" s="71">
        <f>IF($N21="","",INDEX('Cronograma R. Normativo'!$N$5:$N$1000,$N21)&amp;"")</f>
        <v/>
      </c>
      <c r="N21">
        <f>IFERROR(MATCH(ROW()-4,rOrden_RN,0),"")</f>
        <v/>
      </c>
      <c r="O21">
        <f>IF($N21="","",INDEX('Cronograma R. Normativo'!$S$5:$S$1000,$N21))</f>
        <v/>
      </c>
      <c r="P21">
        <f>IF($N21="","",N(INDEX('Cronograma R. Normativo'!$T$5:$T$1000,$N21)))</f>
        <v/>
      </c>
    </row>
    <row r="22">
      <c r="A22" s="62">
        <f>IF($N22="","",INDEX('Cronograma R. Normativo'!$A$5:$A$1000,$N22))</f>
        <v/>
      </c>
      <c r="B22" s="71">
        <f>IF($N22="","",IF($O22="Sub","      ↳  "&amp;INDEX('Cronograma R. Normativo'!$C$5:$C$1000,$N22),INDEX('Cronograma R. Normativo'!$C$5:$C$1000,$N22)&amp;""))</f>
        <v/>
      </c>
      <c r="C22" s="77">
        <f>IF($N22="","",IF(INDEX('Cronograma R. Normativo'!$D$5:$D$1000,$N22)="","",INDEX('Cronograma R. Normativo'!$D$5:$D$1000,$N22)))</f>
        <v/>
      </c>
      <c r="D22" s="77">
        <f>IF($N22="","",IF(INDEX('Cronograma R. Normativo'!$E$5:$E$1000,$N22)="","",INDEX('Cronograma R. Normativo'!$E$5:$E$1000,$N22)))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Normativo'!$Y$5:$Y$1000,$N22),""),IF(INDEX('Cronograma R. Normativo'!$G$5:$G$1000,$N22)="","",INDEX('Cronograma R. Normativo'!$G$5:$G$1000,$N22))))</f>
        <v/>
      </c>
      <c r="G22" s="68">
        <f>IF($N22="","",IF($P22&gt;0,IF(2&lt;=SemanaActual,INDEX('Cronograma R. Normativo'!$Z$5:$Z$1000,$N22),""),IF(INDEX('Cronograma R. Normativo'!$H$5:$H$1000,$N22)="","",INDEX('Cronograma R. Normativo'!$H$5:$H$1000,$N22))))</f>
        <v/>
      </c>
      <c r="H22" s="68">
        <f>IF($N22="","",IF($P22&gt;0,IF(3&lt;=SemanaActual,INDEX('Cronograma R. Normativo'!$AA$5:$AA$1000,$N22),""),IF(INDEX('Cronograma R. Normativo'!$I$5:$I$1000,$N22)="","",INDEX('Cronograma R. Normativo'!$I$5:$I$1000,$N22))))</f>
        <v/>
      </c>
      <c r="I22" s="68">
        <f>IF($N22="","",IF($P22&gt;0,IF(4&lt;=SemanaActual,INDEX('Cronograma R. Normativo'!$AB$5:$AB$1000,$N22),""),IF(INDEX('Cronograma R. Normativo'!$J$5:$J$1000,$N22)="","",INDEX('Cronograma R. Normativo'!$J$5:$J$1000,$N22))))</f>
        <v/>
      </c>
      <c r="J22" s="68">
        <f>IF($N22="","",INDEX('Cronograma R. Normativo'!$K$5:$K$1000,$N22))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Normativo'!$M$5:$M$1000,$N22)&amp;"")</f>
        <v/>
      </c>
      <c r="M22" s="71">
        <f>IF($N22="","",INDEX('Cronograma R. Normativo'!$N$5:$N$1000,$N22)&amp;"")</f>
        <v/>
      </c>
      <c r="N22">
        <f>IFERROR(MATCH(ROW()-4,rOrden_RN,0),"")</f>
        <v/>
      </c>
      <c r="O22">
        <f>IF($N22="","",INDEX('Cronograma R. Normativo'!$S$5:$S$1000,$N22))</f>
        <v/>
      </c>
      <c r="P22">
        <f>IF($N22="","",N(INDEX('Cronograma R. Normativo'!$T$5:$T$1000,$N22)))</f>
        <v/>
      </c>
    </row>
    <row r="23">
      <c r="A23" s="62">
        <f>IF($N23="","",INDEX('Cronograma R. Normativo'!$A$5:$A$1000,$N23))</f>
        <v/>
      </c>
      <c r="B23" s="71">
        <f>IF($N23="","",IF($O23="Sub","      ↳  "&amp;INDEX('Cronograma R. Normativo'!$C$5:$C$1000,$N23),INDEX('Cronograma R. Normativo'!$C$5:$C$1000,$N23)&amp;""))</f>
        <v/>
      </c>
      <c r="C23" s="77">
        <f>IF($N23="","",IF(INDEX('Cronograma R. Normativo'!$D$5:$D$1000,$N23)="","",INDEX('Cronograma R. Normativo'!$D$5:$D$1000,$N23)))</f>
        <v/>
      </c>
      <c r="D23" s="77">
        <f>IF($N23="","",IF(INDEX('Cronograma R. Normativo'!$E$5:$E$1000,$N23)="","",INDEX('Cronograma R. Normativo'!$E$5:$E$1000,$N23)))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Normativo'!$Y$5:$Y$1000,$N23),""),IF(INDEX('Cronograma R. Normativo'!$G$5:$G$1000,$N23)="","",INDEX('Cronograma R. Normativo'!$G$5:$G$1000,$N23))))</f>
        <v/>
      </c>
      <c r="G23" s="68">
        <f>IF($N23="","",IF($P23&gt;0,IF(2&lt;=SemanaActual,INDEX('Cronograma R. Normativo'!$Z$5:$Z$1000,$N23),""),IF(INDEX('Cronograma R. Normativo'!$H$5:$H$1000,$N23)="","",INDEX('Cronograma R. Normativo'!$H$5:$H$1000,$N23))))</f>
        <v/>
      </c>
      <c r="H23" s="68">
        <f>IF($N23="","",IF($P23&gt;0,IF(3&lt;=SemanaActual,INDEX('Cronograma R. Normativo'!$AA$5:$AA$1000,$N23),""),IF(INDEX('Cronograma R. Normativo'!$I$5:$I$1000,$N23)="","",INDEX('Cronograma R. Normativo'!$I$5:$I$1000,$N23))))</f>
        <v/>
      </c>
      <c r="I23" s="68">
        <f>IF($N23="","",IF($P23&gt;0,IF(4&lt;=SemanaActual,INDEX('Cronograma R. Normativo'!$AB$5:$AB$1000,$N23),""),IF(INDEX('Cronograma R. Normativo'!$J$5:$J$1000,$N23)="","",INDEX('Cronograma R. Normativo'!$J$5:$J$1000,$N23))))</f>
        <v/>
      </c>
      <c r="J23" s="68">
        <f>IF($N23="","",INDEX('Cronograma R. Normativo'!$K$5:$K$1000,$N23))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Normativo'!$M$5:$M$1000,$N23)&amp;"")</f>
        <v/>
      </c>
      <c r="M23" s="71">
        <f>IF($N23="","",INDEX('Cronograma R. Normativo'!$N$5:$N$1000,$N23)&amp;"")</f>
        <v/>
      </c>
      <c r="N23">
        <f>IFERROR(MATCH(ROW()-4,rOrden_RN,0),"")</f>
        <v/>
      </c>
      <c r="O23">
        <f>IF($N23="","",INDEX('Cronograma R. Normativo'!$S$5:$S$1000,$N23))</f>
        <v/>
      </c>
      <c r="P23">
        <f>IF($N23="","",N(INDEX('Cronograma R. Normativo'!$T$5:$T$1000,$N23)))</f>
        <v/>
      </c>
    </row>
    <row r="24">
      <c r="A24" s="62">
        <f>IF($N24="","",INDEX('Cronograma R. Normativo'!$A$5:$A$1000,$N24))</f>
        <v/>
      </c>
      <c r="B24" s="71">
        <f>IF($N24="","",IF($O24="Sub","      ↳  "&amp;INDEX('Cronograma R. Normativo'!$C$5:$C$1000,$N24),INDEX('Cronograma R. Normativo'!$C$5:$C$1000,$N24)&amp;""))</f>
        <v/>
      </c>
      <c r="C24" s="77">
        <f>IF($N24="","",IF(INDEX('Cronograma R. Normativo'!$D$5:$D$1000,$N24)="","",INDEX('Cronograma R. Normativo'!$D$5:$D$1000,$N24)))</f>
        <v/>
      </c>
      <c r="D24" s="77">
        <f>IF($N24="","",IF(INDEX('Cronograma R. Normativo'!$E$5:$E$1000,$N24)="","",INDEX('Cronograma R. Normativo'!$E$5:$E$1000,$N24)))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Normativo'!$Y$5:$Y$1000,$N24),""),IF(INDEX('Cronograma R. Normativo'!$G$5:$G$1000,$N24)="","",INDEX('Cronograma R. Normativo'!$G$5:$G$1000,$N24))))</f>
        <v/>
      </c>
      <c r="G24" s="68">
        <f>IF($N24="","",IF($P24&gt;0,IF(2&lt;=SemanaActual,INDEX('Cronograma R. Normativo'!$Z$5:$Z$1000,$N24),""),IF(INDEX('Cronograma R. Normativo'!$H$5:$H$1000,$N24)="","",INDEX('Cronograma R. Normativo'!$H$5:$H$1000,$N24))))</f>
        <v/>
      </c>
      <c r="H24" s="68">
        <f>IF($N24="","",IF($P24&gt;0,IF(3&lt;=SemanaActual,INDEX('Cronograma R. Normativo'!$AA$5:$AA$1000,$N24),""),IF(INDEX('Cronograma R. Normativo'!$I$5:$I$1000,$N24)="","",INDEX('Cronograma R. Normativo'!$I$5:$I$1000,$N24))))</f>
        <v/>
      </c>
      <c r="I24" s="68">
        <f>IF($N24="","",IF($P24&gt;0,IF(4&lt;=SemanaActual,INDEX('Cronograma R. Normativo'!$AB$5:$AB$1000,$N24),""),IF(INDEX('Cronograma R. Normativo'!$J$5:$J$1000,$N24)="","",INDEX('Cronograma R. Normativo'!$J$5:$J$1000,$N24))))</f>
        <v/>
      </c>
      <c r="J24" s="68">
        <f>IF($N24="","",INDEX('Cronograma R. Normativo'!$K$5:$K$1000,$N24))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Normativo'!$M$5:$M$1000,$N24)&amp;"")</f>
        <v/>
      </c>
      <c r="M24" s="71">
        <f>IF($N24="","",INDEX('Cronograma R. Normativo'!$N$5:$N$1000,$N24)&amp;"")</f>
        <v/>
      </c>
      <c r="N24">
        <f>IFERROR(MATCH(ROW()-4,rOrden_RN,0),"")</f>
        <v/>
      </c>
      <c r="O24">
        <f>IF($N24="","",INDEX('Cronograma R. Normativo'!$S$5:$S$1000,$N24))</f>
        <v/>
      </c>
      <c r="P24">
        <f>IF($N24="","",N(INDEX('Cronograma R. Normativo'!$T$5:$T$1000,$N24)))</f>
        <v/>
      </c>
    </row>
    <row r="25">
      <c r="A25" s="62">
        <f>IF($N25="","",INDEX('Cronograma R. Normativo'!$A$5:$A$1000,$N25))</f>
        <v/>
      </c>
      <c r="B25" s="71">
        <f>IF($N25="","",IF($O25="Sub","      ↳  "&amp;INDEX('Cronograma R. Normativo'!$C$5:$C$1000,$N25),INDEX('Cronograma R. Normativo'!$C$5:$C$1000,$N25)&amp;""))</f>
        <v/>
      </c>
      <c r="C25" s="77">
        <f>IF($N25="","",IF(INDEX('Cronograma R. Normativo'!$D$5:$D$1000,$N25)="","",INDEX('Cronograma R. Normativo'!$D$5:$D$1000,$N25)))</f>
        <v/>
      </c>
      <c r="D25" s="77">
        <f>IF($N25="","",IF(INDEX('Cronograma R. Normativo'!$E$5:$E$1000,$N25)="","",INDEX('Cronograma R. Normativo'!$E$5:$E$1000,$N25)))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Normativo'!$Y$5:$Y$1000,$N25),""),IF(INDEX('Cronograma R. Normativo'!$G$5:$G$1000,$N25)="","",INDEX('Cronograma R. Normativo'!$G$5:$G$1000,$N25))))</f>
        <v/>
      </c>
      <c r="G25" s="68">
        <f>IF($N25="","",IF($P25&gt;0,IF(2&lt;=SemanaActual,INDEX('Cronograma R. Normativo'!$Z$5:$Z$1000,$N25),""),IF(INDEX('Cronograma R. Normativo'!$H$5:$H$1000,$N25)="","",INDEX('Cronograma R. Normativo'!$H$5:$H$1000,$N25))))</f>
        <v/>
      </c>
      <c r="H25" s="68">
        <f>IF($N25="","",IF($P25&gt;0,IF(3&lt;=SemanaActual,INDEX('Cronograma R. Normativo'!$AA$5:$AA$1000,$N25),""),IF(INDEX('Cronograma R. Normativo'!$I$5:$I$1000,$N25)="","",INDEX('Cronograma R. Normativo'!$I$5:$I$1000,$N25))))</f>
        <v/>
      </c>
      <c r="I25" s="68">
        <f>IF($N25="","",IF($P25&gt;0,IF(4&lt;=SemanaActual,INDEX('Cronograma R. Normativo'!$AB$5:$AB$1000,$N25),""),IF(INDEX('Cronograma R. Normativo'!$J$5:$J$1000,$N25)="","",INDEX('Cronograma R. Normativo'!$J$5:$J$1000,$N25))))</f>
        <v/>
      </c>
      <c r="J25" s="68">
        <f>IF($N25="","",INDEX('Cronograma R. Normativo'!$K$5:$K$1000,$N25))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Normativo'!$M$5:$M$1000,$N25)&amp;"")</f>
        <v/>
      </c>
      <c r="M25" s="71">
        <f>IF($N25="","",INDEX('Cronograma R. Normativo'!$N$5:$N$1000,$N25)&amp;"")</f>
        <v/>
      </c>
      <c r="N25">
        <f>IFERROR(MATCH(ROW()-4,rOrden_RN,0),"")</f>
        <v/>
      </c>
      <c r="O25">
        <f>IF($N25="","",INDEX('Cronograma R. Normativo'!$S$5:$S$1000,$N25))</f>
        <v/>
      </c>
      <c r="P25">
        <f>IF($N25="","",N(INDEX('Cronograma R. Normativo'!$T$5:$T$1000,$N25)))</f>
        <v/>
      </c>
    </row>
    <row r="26">
      <c r="A26" s="62">
        <f>IF($N26="","",INDEX('Cronograma R. Normativo'!$A$5:$A$1000,$N26))</f>
        <v/>
      </c>
      <c r="B26" s="71">
        <f>IF($N26="","",IF($O26="Sub","      ↳  "&amp;INDEX('Cronograma R. Normativo'!$C$5:$C$1000,$N26),INDEX('Cronograma R. Normativo'!$C$5:$C$1000,$N26)&amp;""))</f>
        <v/>
      </c>
      <c r="C26" s="77">
        <f>IF($N26="","",IF(INDEX('Cronograma R. Normativo'!$D$5:$D$1000,$N26)="","",INDEX('Cronograma R. Normativo'!$D$5:$D$1000,$N26)))</f>
        <v/>
      </c>
      <c r="D26" s="77">
        <f>IF($N26="","",IF(INDEX('Cronograma R. Normativo'!$E$5:$E$1000,$N26)="","",INDEX('Cronograma R. Normativo'!$E$5:$E$1000,$N26)))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Normativo'!$Y$5:$Y$1000,$N26),""),IF(INDEX('Cronograma R. Normativo'!$G$5:$G$1000,$N26)="","",INDEX('Cronograma R. Normativo'!$G$5:$G$1000,$N26))))</f>
        <v/>
      </c>
      <c r="G26" s="68">
        <f>IF($N26="","",IF($P26&gt;0,IF(2&lt;=SemanaActual,INDEX('Cronograma R. Normativo'!$Z$5:$Z$1000,$N26),""),IF(INDEX('Cronograma R. Normativo'!$H$5:$H$1000,$N26)="","",INDEX('Cronograma R. Normativo'!$H$5:$H$1000,$N26))))</f>
        <v/>
      </c>
      <c r="H26" s="68">
        <f>IF($N26="","",IF($P26&gt;0,IF(3&lt;=SemanaActual,INDEX('Cronograma R. Normativo'!$AA$5:$AA$1000,$N26),""),IF(INDEX('Cronograma R. Normativo'!$I$5:$I$1000,$N26)="","",INDEX('Cronograma R. Normativo'!$I$5:$I$1000,$N26))))</f>
        <v/>
      </c>
      <c r="I26" s="68">
        <f>IF($N26="","",IF($P26&gt;0,IF(4&lt;=SemanaActual,INDEX('Cronograma R. Normativo'!$AB$5:$AB$1000,$N26),""),IF(INDEX('Cronograma R. Normativo'!$J$5:$J$1000,$N26)="","",INDEX('Cronograma R. Normativo'!$J$5:$J$1000,$N26))))</f>
        <v/>
      </c>
      <c r="J26" s="68">
        <f>IF($N26="","",INDEX('Cronograma R. Normativo'!$K$5:$K$1000,$N26))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Normativo'!$M$5:$M$1000,$N26)&amp;"")</f>
        <v/>
      </c>
      <c r="M26" s="71">
        <f>IF($N26="","",INDEX('Cronograma R. Normativo'!$N$5:$N$1000,$N26)&amp;"")</f>
        <v/>
      </c>
      <c r="N26">
        <f>IFERROR(MATCH(ROW()-4,rOrden_RN,0),"")</f>
        <v/>
      </c>
      <c r="O26">
        <f>IF($N26="","",INDEX('Cronograma R. Normativo'!$S$5:$S$1000,$N26))</f>
        <v/>
      </c>
      <c r="P26">
        <f>IF($N26="","",N(INDEX('Cronograma R. Normativo'!$T$5:$T$1000,$N26)))</f>
        <v/>
      </c>
    </row>
    <row r="27">
      <c r="A27" s="62">
        <f>IF($N27="","",INDEX('Cronograma R. Normativo'!$A$5:$A$1000,$N27))</f>
        <v/>
      </c>
      <c r="B27" s="71">
        <f>IF($N27="","",IF($O27="Sub","      ↳  "&amp;INDEX('Cronograma R. Normativo'!$C$5:$C$1000,$N27),INDEX('Cronograma R. Normativo'!$C$5:$C$1000,$N27)&amp;""))</f>
        <v/>
      </c>
      <c r="C27" s="77">
        <f>IF($N27="","",IF(INDEX('Cronograma R. Normativo'!$D$5:$D$1000,$N27)="","",INDEX('Cronograma R. Normativo'!$D$5:$D$1000,$N27)))</f>
        <v/>
      </c>
      <c r="D27" s="77">
        <f>IF($N27="","",IF(INDEX('Cronograma R. Normativo'!$E$5:$E$1000,$N27)="","",INDEX('Cronograma R. Normativo'!$E$5:$E$1000,$N27)))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Normativo'!$Y$5:$Y$1000,$N27),""),IF(INDEX('Cronograma R. Normativo'!$G$5:$G$1000,$N27)="","",INDEX('Cronograma R. Normativo'!$G$5:$G$1000,$N27))))</f>
        <v/>
      </c>
      <c r="G27" s="68">
        <f>IF($N27="","",IF($P27&gt;0,IF(2&lt;=SemanaActual,INDEX('Cronograma R. Normativo'!$Z$5:$Z$1000,$N27),""),IF(INDEX('Cronograma R. Normativo'!$H$5:$H$1000,$N27)="","",INDEX('Cronograma R. Normativo'!$H$5:$H$1000,$N27))))</f>
        <v/>
      </c>
      <c r="H27" s="68">
        <f>IF($N27="","",IF($P27&gt;0,IF(3&lt;=SemanaActual,INDEX('Cronograma R. Normativo'!$AA$5:$AA$1000,$N27),""),IF(INDEX('Cronograma R. Normativo'!$I$5:$I$1000,$N27)="","",INDEX('Cronograma R. Normativo'!$I$5:$I$1000,$N27))))</f>
        <v/>
      </c>
      <c r="I27" s="68">
        <f>IF($N27="","",IF($P27&gt;0,IF(4&lt;=SemanaActual,INDEX('Cronograma R. Normativo'!$AB$5:$AB$1000,$N27),""),IF(INDEX('Cronograma R. Normativo'!$J$5:$J$1000,$N27)="","",INDEX('Cronograma R. Normativo'!$J$5:$J$1000,$N27))))</f>
        <v/>
      </c>
      <c r="J27" s="68">
        <f>IF($N27="","",INDEX('Cronograma R. Normativo'!$K$5:$K$1000,$N27))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Normativo'!$M$5:$M$1000,$N27)&amp;"")</f>
        <v/>
      </c>
      <c r="M27" s="71">
        <f>IF($N27="","",INDEX('Cronograma R. Normativo'!$N$5:$N$1000,$N27)&amp;"")</f>
        <v/>
      </c>
      <c r="N27">
        <f>IFERROR(MATCH(ROW()-4,rOrden_RN,0),"")</f>
        <v/>
      </c>
      <c r="O27">
        <f>IF($N27="","",INDEX('Cronograma R. Normativo'!$S$5:$S$1000,$N27))</f>
        <v/>
      </c>
      <c r="P27">
        <f>IF($N27="","",N(INDEX('Cronograma R. Normativo'!$T$5:$T$1000,$N27)))</f>
        <v/>
      </c>
    </row>
    <row r="28">
      <c r="A28" s="62">
        <f>IF($N28="","",INDEX('Cronograma R. Normativo'!$A$5:$A$1000,$N28))</f>
        <v/>
      </c>
      <c r="B28" s="71">
        <f>IF($N28="","",IF($O28="Sub","      ↳  "&amp;INDEX('Cronograma R. Normativo'!$C$5:$C$1000,$N28),INDEX('Cronograma R. Normativo'!$C$5:$C$1000,$N28)&amp;""))</f>
        <v/>
      </c>
      <c r="C28" s="77">
        <f>IF($N28="","",IF(INDEX('Cronograma R. Normativo'!$D$5:$D$1000,$N28)="","",INDEX('Cronograma R. Normativo'!$D$5:$D$1000,$N28)))</f>
        <v/>
      </c>
      <c r="D28" s="77">
        <f>IF($N28="","",IF(INDEX('Cronograma R. Normativo'!$E$5:$E$1000,$N28)="","",INDEX('Cronograma R. Normativo'!$E$5:$E$1000,$N28)))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Normativo'!$Y$5:$Y$1000,$N28),""),IF(INDEX('Cronograma R. Normativo'!$G$5:$G$1000,$N28)="","",INDEX('Cronograma R. Normativo'!$G$5:$G$1000,$N28))))</f>
        <v/>
      </c>
      <c r="G28" s="68">
        <f>IF($N28="","",IF($P28&gt;0,IF(2&lt;=SemanaActual,INDEX('Cronograma R. Normativo'!$Z$5:$Z$1000,$N28),""),IF(INDEX('Cronograma R. Normativo'!$H$5:$H$1000,$N28)="","",INDEX('Cronograma R. Normativo'!$H$5:$H$1000,$N28))))</f>
        <v/>
      </c>
      <c r="H28" s="68">
        <f>IF($N28="","",IF($P28&gt;0,IF(3&lt;=SemanaActual,INDEX('Cronograma R. Normativo'!$AA$5:$AA$1000,$N28),""),IF(INDEX('Cronograma R. Normativo'!$I$5:$I$1000,$N28)="","",INDEX('Cronograma R. Normativo'!$I$5:$I$1000,$N28))))</f>
        <v/>
      </c>
      <c r="I28" s="68">
        <f>IF($N28="","",IF($P28&gt;0,IF(4&lt;=SemanaActual,INDEX('Cronograma R. Normativo'!$AB$5:$AB$1000,$N28),""),IF(INDEX('Cronograma R. Normativo'!$J$5:$J$1000,$N28)="","",INDEX('Cronograma R. Normativo'!$J$5:$J$1000,$N28))))</f>
        <v/>
      </c>
      <c r="J28" s="68">
        <f>IF($N28="","",INDEX('Cronograma R. Normativo'!$K$5:$K$1000,$N28))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Normativo'!$M$5:$M$1000,$N28)&amp;"")</f>
        <v/>
      </c>
      <c r="M28" s="71">
        <f>IF($N28="","",INDEX('Cronograma R. Normativo'!$N$5:$N$1000,$N28)&amp;"")</f>
        <v/>
      </c>
      <c r="N28">
        <f>IFERROR(MATCH(ROW()-4,rOrden_RN,0),"")</f>
        <v/>
      </c>
      <c r="O28">
        <f>IF($N28="","",INDEX('Cronograma R. Normativo'!$S$5:$S$1000,$N28))</f>
        <v/>
      </c>
      <c r="P28">
        <f>IF($N28="","",N(INDEX('Cronograma R. Normativo'!$T$5:$T$1000,$N28)))</f>
        <v/>
      </c>
    </row>
    <row r="29">
      <c r="A29" s="62">
        <f>IF($N29="","",INDEX('Cronograma R. Normativo'!$A$5:$A$1000,$N29))</f>
        <v/>
      </c>
      <c r="B29" s="71">
        <f>IF($N29="","",IF($O29="Sub","      ↳  "&amp;INDEX('Cronograma R. Normativo'!$C$5:$C$1000,$N29),INDEX('Cronograma R. Normativo'!$C$5:$C$1000,$N29)&amp;""))</f>
        <v/>
      </c>
      <c r="C29" s="77">
        <f>IF($N29="","",IF(INDEX('Cronograma R. Normativo'!$D$5:$D$1000,$N29)="","",INDEX('Cronograma R. Normativo'!$D$5:$D$1000,$N29)))</f>
        <v/>
      </c>
      <c r="D29" s="77">
        <f>IF($N29="","",IF(INDEX('Cronograma R. Normativo'!$E$5:$E$1000,$N29)="","",INDEX('Cronograma R. Normativo'!$E$5:$E$1000,$N29)))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Normativo'!$Y$5:$Y$1000,$N29),""),IF(INDEX('Cronograma R. Normativo'!$G$5:$G$1000,$N29)="","",INDEX('Cronograma R. Normativo'!$G$5:$G$1000,$N29))))</f>
        <v/>
      </c>
      <c r="G29" s="68">
        <f>IF($N29="","",IF($P29&gt;0,IF(2&lt;=SemanaActual,INDEX('Cronograma R. Normativo'!$Z$5:$Z$1000,$N29),""),IF(INDEX('Cronograma R. Normativo'!$H$5:$H$1000,$N29)="","",INDEX('Cronograma R. Normativo'!$H$5:$H$1000,$N29))))</f>
        <v/>
      </c>
      <c r="H29" s="68">
        <f>IF($N29="","",IF($P29&gt;0,IF(3&lt;=SemanaActual,INDEX('Cronograma R. Normativo'!$AA$5:$AA$1000,$N29),""),IF(INDEX('Cronograma R. Normativo'!$I$5:$I$1000,$N29)="","",INDEX('Cronograma R. Normativo'!$I$5:$I$1000,$N29))))</f>
        <v/>
      </c>
      <c r="I29" s="68">
        <f>IF($N29="","",IF($P29&gt;0,IF(4&lt;=SemanaActual,INDEX('Cronograma R. Normativo'!$AB$5:$AB$1000,$N29),""),IF(INDEX('Cronograma R. Normativo'!$J$5:$J$1000,$N29)="","",INDEX('Cronograma R. Normativo'!$J$5:$J$1000,$N29))))</f>
        <v/>
      </c>
      <c r="J29" s="68">
        <f>IF($N29="","",INDEX('Cronograma R. Normativo'!$K$5:$K$1000,$N29))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Normativo'!$M$5:$M$1000,$N29)&amp;"")</f>
        <v/>
      </c>
      <c r="M29" s="71">
        <f>IF($N29="","",INDEX('Cronograma R. Normativo'!$N$5:$N$1000,$N29)&amp;"")</f>
        <v/>
      </c>
      <c r="N29">
        <f>IFERROR(MATCH(ROW()-4,rOrden_RN,0),"")</f>
        <v/>
      </c>
      <c r="O29">
        <f>IF($N29="","",INDEX('Cronograma R. Normativo'!$S$5:$S$1000,$N29))</f>
        <v/>
      </c>
      <c r="P29">
        <f>IF($N29="","",N(INDEX('Cronograma R. Normativo'!$T$5:$T$1000,$N29)))</f>
        <v/>
      </c>
    </row>
    <row r="30">
      <c r="A30" s="62">
        <f>IF($N30="","",INDEX('Cronograma R. Normativo'!$A$5:$A$1000,$N30))</f>
        <v/>
      </c>
      <c r="B30" s="71">
        <f>IF($N30="","",IF($O30="Sub","      ↳  "&amp;INDEX('Cronograma R. Normativo'!$C$5:$C$1000,$N30),INDEX('Cronograma R. Normativo'!$C$5:$C$1000,$N30)&amp;""))</f>
        <v/>
      </c>
      <c r="C30" s="77">
        <f>IF($N30="","",IF(INDEX('Cronograma R. Normativo'!$D$5:$D$1000,$N30)="","",INDEX('Cronograma R. Normativo'!$D$5:$D$1000,$N30)))</f>
        <v/>
      </c>
      <c r="D30" s="77">
        <f>IF($N30="","",IF(INDEX('Cronograma R. Normativo'!$E$5:$E$1000,$N30)="","",INDEX('Cronograma R. Normativo'!$E$5:$E$1000,$N30)))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Normativo'!$Y$5:$Y$1000,$N30),""),IF(INDEX('Cronograma R. Normativo'!$G$5:$G$1000,$N30)="","",INDEX('Cronograma R. Normativo'!$G$5:$G$1000,$N30))))</f>
        <v/>
      </c>
      <c r="G30" s="68">
        <f>IF($N30="","",IF($P30&gt;0,IF(2&lt;=SemanaActual,INDEX('Cronograma R. Normativo'!$Z$5:$Z$1000,$N30),""),IF(INDEX('Cronograma R. Normativo'!$H$5:$H$1000,$N30)="","",INDEX('Cronograma R. Normativo'!$H$5:$H$1000,$N30))))</f>
        <v/>
      </c>
      <c r="H30" s="68">
        <f>IF($N30="","",IF($P30&gt;0,IF(3&lt;=SemanaActual,INDEX('Cronograma R. Normativo'!$AA$5:$AA$1000,$N30),""),IF(INDEX('Cronograma R. Normativo'!$I$5:$I$1000,$N30)="","",INDEX('Cronograma R. Normativo'!$I$5:$I$1000,$N30))))</f>
        <v/>
      </c>
      <c r="I30" s="68">
        <f>IF($N30="","",IF($P30&gt;0,IF(4&lt;=SemanaActual,INDEX('Cronograma R. Normativo'!$AB$5:$AB$1000,$N30),""),IF(INDEX('Cronograma R. Normativo'!$J$5:$J$1000,$N30)="","",INDEX('Cronograma R. Normativo'!$J$5:$J$1000,$N30))))</f>
        <v/>
      </c>
      <c r="J30" s="68">
        <f>IF($N30="","",INDEX('Cronograma R. Normativo'!$K$5:$K$1000,$N30))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Normativo'!$M$5:$M$1000,$N30)&amp;"")</f>
        <v/>
      </c>
      <c r="M30" s="71">
        <f>IF($N30="","",INDEX('Cronograma R. Normativo'!$N$5:$N$1000,$N30)&amp;"")</f>
        <v/>
      </c>
      <c r="N30">
        <f>IFERROR(MATCH(ROW()-4,rOrden_RN,0),"")</f>
        <v/>
      </c>
      <c r="O30">
        <f>IF($N30="","",INDEX('Cronograma R. Normativo'!$S$5:$S$1000,$N30))</f>
        <v/>
      </c>
      <c r="P30">
        <f>IF($N30="","",N(INDEX('Cronograma R. Normativo'!$T$5:$T$1000,$N30)))</f>
        <v/>
      </c>
    </row>
    <row r="31">
      <c r="A31" s="62">
        <f>IF($N31="","",INDEX('Cronograma R. Normativo'!$A$5:$A$1000,$N31))</f>
        <v/>
      </c>
      <c r="B31" s="71">
        <f>IF($N31="","",IF($O31="Sub","      ↳  "&amp;INDEX('Cronograma R. Normativo'!$C$5:$C$1000,$N31),INDEX('Cronograma R. Normativo'!$C$5:$C$1000,$N31)&amp;""))</f>
        <v/>
      </c>
      <c r="C31" s="77">
        <f>IF($N31="","",IF(INDEX('Cronograma R. Normativo'!$D$5:$D$1000,$N31)="","",INDEX('Cronograma R. Normativo'!$D$5:$D$1000,$N31)))</f>
        <v/>
      </c>
      <c r="D31" s="77">
        <f>IF($N31="","",IF(INDEX('Cronograma R. Normativo'!$E$5:$E$1000,$N31)="","",INDEX('Cronograma R. Normativo'!$E$5:$E$1000,$N31)))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Normativo'!$Y$5:$Y$1000,$N31),""),IF(INDEX('Cronograma R. Normativo'!$G$5:$G$1000,$N31)="","",INDEX('Cronograma R. Normativo'!$G$5:$G$1000,$N31))))</f>
        <v/>
      </c>
      <c r="G31" s="68">
        <f>IF($N31="","",IF($P31&gt;0,IF(2&lt;=SemanaActual,INDEX('Cronograma R. Normativo'!$Z$5:$Z$1000,$N31),""),IF(INDEX('Cronograma R. Normativo'!$H$5:$H$1000,$N31)="","",INDEX('Cronograma R. Normativo'!$H$5:$H$1000,$N31))))</f>
        <v/>
      </c>
      <c r="H31" s="68">
        <f>IF($N31="","",IF($P31&gt;0,IF(3&lt;=SemanaActual,INDEX('Cronograma R. Normativo'!$AA$5:$AA$1000,$N31),""),IF(INDEX('Cronograma R. Normativo'!$I$5:$I$1000,$N31)="","",INDEX('Cronograma R. Normativo'!$I$5:$I$1000,$N31))))</f>
        <v/>
      </c>
      <c r="I31" s="68">
        <f>IF($N31="","",IF($P31&gt;0,IF(4&lt;=SemanaActual,INDEX('Cronograma R. Normativo'!$AB$5:$AB$1000,$N31),""),IF(INDEX('Cronograma R. Normativo'!$J$5:$J$1000,$N31)="","",INDEX('Cronograma R. Normativo'!$J$5:$J$1000,$N31))))</f>
        <v/>
      </c>
      <c r="J31" s="68">
        <f>IF($N31="","",INDEX('Cronograma R. Normativo'!$K$5:$K$1000,$N31))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Normativo'!$M$5:$M$1000,$N31)&amp;"")</f>
        <v/>
      </c>
      <c r="M31" s="71">
        <f>IF($N31="","",INDEX('Cronograma R. Normativo'!$N$5:$N$1000,$N31)&amp;"")</f>
        <v/>
      </c>
      <c r="N31">
        <f>IFERROR(MATCH(ROW()-4,rOrden_RN,0),"")</f>
        <v/>
      </c>
      <c r="O31">
        <f>IF($N31="","",INDEX('Cronograma R. Normativo'!$S$5:$S$1000,$N31))</f>
        <v/>
      </c>
      <c r="P31">
        <f>IF($N31="","",N(INDEX('Cronograma R. Normativo'!$T$5:$T$1000,$N31)))</f>
        <v/>
      </c>
    </row>
    <row r="32">
      <c r="A32" s="62">
        <f>IF($N32="","",INDEX('Cronograma R. Normativo'!$A$5:$A$1000,$N32))</f>
        <v/>
      </c>
      <c r="B32" s="71">
        <f>IF($N32="","",IF($O32="Sub","      ↳  "&amp;INDEX('Cronograma R. Normativo'!$C$5:$C$1000,$N32),INDEX('Cronograma R. Normativo'!$C$5:$C$1000,$N32)&amp;""))</f>
        <v/>
      </c>
      <c r="C32" s="77">
        <f>IF($N32="","",IF(INDEX('Cronograma R. Normativo'!$D$5:$D$1000,$N32)="","",INDEX('Cronograma R. Normativo'!$D$5:$D$1000,$N32)))</f>
        <v/>
      </c>
      <c r="D32" s="77">
        <f>IF($N32="","",IF(INDEX('Cronograma R. Normativo'!$E$5:$E$1000,$N32)="","",INDEX('Cronograma R. Normativo'!$E$5:$E$1000,$N32)))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Normativo'!$Y$5:$Y$1000,$N32),""),IF(INDEX('Cronograma R. Normativo'!$G$5:$G$1000,$N32)="","",INDEX('Cronograma R. Normativo'!$G$5:$G$1000,$N32))))</f>
        <v/>
      </c>
      <c r="G32" s="68">
        <f>IF($N32="","",IF($P32&gt;0,IF(2&lt;=SemanaActual,INDEX('Cronograma R. Normativo'!$Z$5:$Z$1000,$N32),""),IF(INDEX('Cronograma R. Normativo'!$H$5:$H$1000,$N32)="","",INDEX('Cronograma R. Normativo'!$H$5:$H$1000,$N32))))</f>
        <v/>
      </c>
      <c r="H32" s="68">
        <f>IF($N32="","",IF($P32&gt;0,IF(3&lt;=SemanaActual,INDEX('Cronograma R. Normativo'!$AA$5:$AA$1000,$N32),""),IF(INDEX('Cronograma R. Normativo'!$I$5:$I$1000,$N32)="","",INDEX('Cronograma R. Normativo'!$I$5:$I$1000,$N32))))</f>
        <v/>
      </c>
      <c r="I32" s="68">
        <f>IF($N32="","",IF($P32&gt;0,IF(4&lt;=SemanaActual,INDEX('Cronograma R. Normativo'!$AB$5:$AB$1000,$N32),""),IF(INDEX('Cronograma R. Normativo'!$J$5:$J$1000,$N32)="","",INDEX('Cronograma R. Normativo'!$J$5:$J$1000,$N32))))</f>
        <v/>
      </c>
      <c r="J32" s="68">
        <f>IF($N32="","",INDEX('Cronograma R. Normativo'!$K$5:$K$1000,$N32))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Normativo'!$M$5:$M$1000,$N32)&amp;"")</f>
        <v/>
      </c>
      <c r="M32" s="71">
        <f>IF($N32="","",INDEX('Cronograma R. Normativo'!$N$5:$N$1000,$N32)&amp;"")</f>
        <v/>
      </c>
      <c r="N32">
        <f>IFERROR(MATCH(ROW()-4,rOrden_RN,0),"")</f>
        <v/>
      </c>
      <c r="O32">
        <f>IF($N32="","",INDEX('Cronograma R. Normativo'!$S$5:$S$1000,$N32))</f>
        <v/>
      </c>
      <c r="P32">
        <f>IF($N32="","",N(INDEX('Cronograma R. Normativo'!$T$5:$T$1000,$N32)))</f>
        <v/>
      </c>
    </row>
    <row r="33">
      <c r="A33" s="62">
        <f>IF($N33="","",INDEX('Cronograma R. Normativo'!$A$5:$A$1000,$N33))</f>
        <v/>
      </c>
      <c r="B33" s="71">
        <f>IF($N33="","",IF($O33="Sub","      ↳  "&amp;INDEX('Cronograma R. Normativo'!$C$5:$C$1000,$N33),INDEX('Cronograma R. Normativo'!$C$5:$C$1000,$N33)&amp;""))</f>
        <v/>
      </c>
      <c r="C33" s="77">
        <f>IF($N33="","",IF(INDEX('Cronograma R. Normativo'!$D$5:$D$1000,$N33)="","",INDEX('Cronograma R. Normativo'!$D$5:$D$1000,$N33)))</f>
        <v/>
      </c>
      <c r="D33" s="77">
        <f>IF($N33="","",IF(INDEX('Cronograma R. Normativo'!$E$5:$E$1000,$N33)="","",INDEX('Cronograma R. Normativo'!$E$5:$E$1000,$N33)))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Normativo'!$Y$5:$Y$1000,$N33),""),IF(INDEX('Cronograma R. Normativo'!$G$5:$G$1000,$N33)="","",INDEX('Cronograma R. Normativo'!$G$5:$G$1000,$N33))))</f>
        <v/>
      </c>
      <c r="G33" s="68">
        <f>IF($N33="","",IF($P33&gt;0,IF(2&lt;=SemanaActual,INDEX('Cronograma R. Normativo'!$Z$5:$Z$1000,$N33),""),IF(INDEX('Cronograma R. Normativo'!$H$5:$H$1000,$N33)="","",INDEX('Cronograma R. Normativo'!$H$5:$H$1000,$N33))))</f>
        <v/>
      </c>
      <c r="H33" s="68">
        <f>IF($N33="","",IF($P33&gt;0,IF(3&lt;=SemanaActual,INDEX('Cronograma R. Normativo'!$AA$5:$AA$1000,$N33),""),IF(INDEX('Cronograma R. Normativo'!$I$5:$I$1000,$N33)="","",INDEX('Cronograma R. Normativo'!$I$5:$I$1000,$N33))))</f>
        <v/>
      </c>
      <c r="I33" s="68">
        <f>IF($N33="","",IF($P33&gt;0,IF(4&lt;=SemanaActual,INDEX('Cronograma R. Normativo'!$AB$5:$AB$1000,$N33),""),IF(INDEX('Cronograma R. Normativo'!$J$5:$J$1000,$N33)="","",INDEX('Cronograma R. Normativo'!$J$5:$J$1000,$N33))))</f>
        <v/>
      </c>
      <c r="J33" s="68">
        <f>IF($N33="","",INDEX('Cronograma R. Normativo'!$K$5:$K$1000,$N33))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Normativo'!$M$5:$M$1000,$N33)&amp;"")</f>
        <v/>
      </c>
      <c r="M33" s="71">
        <f>IF($N33="","",INDEX('Cronograma R. Normativo'!$N$5:$N$1000,$N33)&amp;"")</f>
        <v/>
      </c>
      <c r="N33">
        <f>IFERROR(MATCH(ROW()-4,rOrden_RN,0),"")</f>
        <v/>
      </c>
      <c r="O33">
        <f>IF($N33="","",INDEX('Cronograma R. Normativo'!$S$5:$S$1000,$N33))</f>
        <v/>
      </c>
      <c r="P33">
        <f>IF($N33="","",N(INDEX('Cronograma R. Normativo'!$T$5:$T$1000,$N33)))</f>
        <v/>
      </c>
    </row>
    <row r="34">
      <c r="A34" s="62">
        <f>IF($N34="","",INDEX('Cronograma R. Normativo'!$A$5:$A$1000,$N34))</f>
        <v/>
      </c>
      <c r="B34" s="71">
        <f>IF($N34="","",IF($O34="Sub","      ↳  "&amp;INDEX('Cronograma R. Normativo'!$C$5:$C$1000,$N34),INDEX('Cronograma R. Normativo'!$C$5:$C$1000,$N34)&amp;""))</f>
        <v/>
      </c>
      <c r="C34" s="77">
        <f>IF($N34="","",IF(INDEX('Cronograma R. Normativo'!$D$5:$D$1000,$N34)="","",INDEX('Cronograma R. Normativo'!$D$5:$D$1000,$N34)))</f>
        <v/>
      </c>
      <c r="D34" s="77">
        <f>IF($N34="","",IF(INDEX('Cronograma R. Normativo'!$E$5:$E$1000,$N34)="","",INDEX('Cronograma R. Normativo'!$E$5:$E$1000,$N34)))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Normativo'!$Y$5:$Y$1000,$N34),""),IF(INDEX('Cronograma R. Normativo'!$G$5:$G$1000,$N34)="","",INDEX('Cronograma R. Normativo'!$G$5:$G$1000,$N34))))</f>
        <v/>
      </c>
      <c r="G34" s="68">
        <f>IF($N34="","",IF($P34&gt;0,IF(2&lt;=SemanaActual,INDEX('Cronograma R. Normativo'!$Z$5:$Z$1000,$N34),""),IF(INDEX('Cronograma R. Normativo'!$H$5:$H$1000,$N34)="","",INDEX('Cronograma R. Normativo'!$H$5:$H$1000,$N34))))</f>
        <v/>
      </c>
      <c r="H34" s="68">
        <f>IF($N34="","",IF($P34&gt;0,IF(3&lt;=SemanaActual,INDEX('Cronograma R. Normativo'!$AA$5:$AA$1000,$N34),""),IF(INDEX('Cronograma R. Normativo'!$I$5:$I$1000,$N34)="","",INDEX('Cronograma R. Normativo'!$I$5:$I$1000,$N34))))</f>
        <v/>
      </c>
      <c r="I34" s="68">
        <f>IF($N34="","",IF($P34&gt;0,IF(4&lt;=SemanaActual,INDEX('Cronograma R. Normativo'!$AB$5:$AB$1000,$N34),""),IF(INDEX('Cronograma R. Normativo'!$J$5:$J$1000,$N34)="","",INDEX('Cronograma R. Normativo'!$J$5:$J$1000,$N34))))</f>
        <v/>
      </c>
      <c r="J34" s="68">
        <f>IF($N34="","",INDEX('Cronograma R. Normativo'!$K$5:$K$1000,$N34))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Normativo'!$M$5:$M$1000,$N34)&amp;"")</f>
        <v/>
      </c>
      <c r="M34" s="71">
        <f>IF($N34="","",INDEX('Cronograma R. Normativo'!$N$5:$N$1000,$N34)&amp;"")</f>
        <v/>
      </c>
      <c r="N34">
        <f>IFERROR(MATCH(ROW()-4,rOrden_RN,0),"")</f>
        <v/>
      </c>
      <c r="O34">
        <f>IF($N34="","",INDEX('Cronograma R. Normativo'!$S$5:$S$1000,$N34))</f>
        <v/>
      </c>
      <c r="P34">
        <f>IF($N34="","",N(INDEX('Cronograma R. Normativo'!$T$5:$T$1000,$N34)))</f>
        <v/>
      </c>
    </row>
    <row r="35">
      <c r="A35" s="62">
        <f>IF($N35="","",INDEX('Cronograma R. Normativo'!$A$5:$A$1000,$N35))</f>
        <v/>
      </c>
      <c r="B35" s="71">
        <f>IF($N35="","",IF($O35="Sub","      ↳  "&amp;INDEX('Cronograma R. Normativo'!$C$5:$C$1000,$N35),INDEX('Cronograma R. Normativo'!$C$5:$C$1000,$N35)&amp;""))</f>
        <v/>
      </c>
      <c r="C35" s="77">
        <f>IF($N35="","",IF(INDEX('Cronograma R. Normativo'!$D$5:$D$1000,$N35)="","",INDEX('Cronograma R. Normativo'!$D$5:$D$1000,$N35)))</f>
        <v/>
      </c>
      <c r="D35" s="77">
        <f>IF($N35="","",IF(INDEX('Cronograma R. Normativo'!$E$5:$E$1000,$N35)="","",INDEX('Cronograma R. Normativo'!$E$5:$E$1000,$N35)))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Normativo'!$Y$5:$Y$1000,$N35),""),IF(INDEX('Cronograma R. Normativo'!$G$5:$G$1000,$N35)="","",INDEX('Cronograma R. Normativo'!$G$5:$G$1000,$N35))))</f>
        <v/>
      </c>
      <c r="G35" s="68">
        <f>IF($N35="","",IF($P35&gt;0,IF(2&lt;=SemanaActual,INDEX('Cronograma R. Normativo'!$Z$5:$Z$1000,$N35),""),IF(INDEX('Cronograma R. Normativo'!$H$5:$H$1000,$N35)="","",INDEX('Cronograma R. Normativo'!$H$5:$H$1000,$N35))))</f>
        <v/>
      </c>
      <c r="H35" s="68">
        <f>IF($N35="","",IF($P35&gt;0,IF(3&lt;=SemanaActual,INDEX('Cronograma R. Normativo'!$AA$5:$AA$1000,$N35),""),IF(INDEX('Cronograma R. Normativo'!$I$5:$I$1000,$N35)="","",INDEX('Cronograma R. Normativo'!$I$5:$I$1000,$N35))))</f>
        <v/>
      </c>
      <c r="I35" s="68">
        <f>IF($N35="","",IF($P35&gt;0,IF(4&lt;=SemanaActual,INDEX('Cronograma R. Normativo'!$AB$5:$AB$1000,$N35),""),IF(INDEX('Cronograma R. Normativo'!$J$5:$J$1000,$N35)="","",INDEX('Cronograma R. Normativo'!$J$5:$J$1000,$N35))))</f>
        <v/>
      </c>
      <c r="J35" s="68">
        <f>IF($N35="","",INDEX('Cronograma R. Normativo'!$K$5:$K$1000,$N35))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Normativo'!$M$5:$M$1000,$N35)&amp;"")</f>
        <v/>
      </c>
      <c r="M35" s="71">
        <f>IF($N35="","",INDEX('Cronograma R. Normativo'!$N$5:$N$1000,$N35)&amp;"")</f>
        <v/>
      </c>
      <c r="N35">
        <f>IFERROR(MATCH(ROW()-4,rOrden_RN,0),"")</f>
        <v/>
      </c>
      <c r="O35">
        <f>IF($N35="","",INDEX('Cronograma R. Normativo'!$S$5:$S$1000,$N35))</f>
        <v/>
      </c>
      <c r="P35">
        <f>IF($N35="","",N(INDEX('Cronograma R. Normativo'!$T$5:$T$1000,$N35)))</f>
        <v/>
      </c>
    </row>
    <row r="36">
      <c r="A36" s="62">
        <f>IF($N36="","",INDEX('Cronograma R. Normativo'!$A$5:$A$1000,$N36))</f>
        <v/>
      </c>
      <c r="B36" s="71">
        <f>IF($N36="","",IF($O36="Sub","      ↳  "&amp;INDEX('Cronograma R. Normativo'!$C$5:$C$1000,$N36),INDEX('Cronograma R. Normativo'!$C$5:$C$1000,$N36)&amp;""))</f>
        <v/>
      </c>
      <c r="C36" s="77">
        <f>IF($N36="","",IF(INDEX('Cronograma R. Normativo'!$D$5:$D$1000,$N36)="","",INDEX('Cronograma R. Normativo'!$D$5:$D$1000,$N36)))</f>
        <v/>
      </c>
      <c r="D36" s="77">
        <f>IF($N36="","",IF(INDEX('Cronograma R. Normativo'!$E$5:$E$1000,$N36)="","",INDEX('Cronograma R. Normativo'!$E$5:$E$1000,$N36)))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Normativo'!$Y$5:$Y$1000,$N36),""),IF(INDEX('Cronograma R. Normativo'!$G$5:$G$1000,$N36)="","",INDEX('Cronograma R. Normativo'!$G$5:$G$1000,$N36))))</f>
        <v/>
      </c>
      <c r="G36" s="68">
        <f>IF($N36="","",IF($P36&gt;0,IF(2&lt;=SemanaActual,INDEX('Cronograma R. Normativo'!$Z$5:$Z$1000,$N36),""),IF(INDEX('Cronograma R. Normativo'!$H$5:$H$1000,$N36)="","",INDEX('Cronograma R. Normativo'!$H$5:$H$1000,$N36))))</f>
        <v/>
      </c>
      <c r="H36" s="68">
        <f>IF($N36="","",IF($P36&gt;0,IF(3&lt;=SemanaActual,INDEX('Cronograma R. Normativo'!$AA$5:$AA$1000,$N36),""),IF(INDEX('Cronograma R. Normativo'!$I$5:$I$1000,$N36)="","",INDEX('Cronograma R. Normativo'!$I$5:$I$1000,$N36))))</f>
        <v/>
      </c>
      <c r="I36" s="68">
        <f>IF($N36="","",IF($P36&gt;0,IF(4&lt;=SemanaActual,INDEX('Cronograma R. Normativo'!$AB$5:$AB$1000,$N36),""),IF(INDEX('Cronograma R. Normativo'!$J$5:$J$1000,$N36)="","",INDEX('Cronograma R. Normativo'!$J$5:$J$1000,$N36))))</f>
        <v/>
      </c>
      <c r="J36" s="68">
        <f>IF($N36="","",INDEX('Cronograma R. Normativo'!$K$5:$K$1000,$N36))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Normativo'!$M$5:$M$1000,$N36)&amp;"")</f>
        <v/>
      </c>
      <c r="M36" s="71">
        <f>IF($N36="","",INDEX('Cronograma R. Normativo'!$N$5:$N$1000,$N36)&amp;"")</f>
        <v/>
      </c>
      <c r="N36">
        <f>IFERROR(MATCH(ROW()-4,rOrden_RN,0),"")</f>
        <v/>
      </c>
      <c r="O36">
        <f>IF($N36="","",INDEX('Cronograma R. Normativo'!$S$5:$S$1000,$N36))</f>
        <v/>
      </c>
      <c r="P36">
        <f>IF($N36="","",N(INDEX('Cronograma R. Normativo'!$T$5:$T$1000,$N36)))</f>
        <v/>
      </c>
    </row>
    <row r="37">
      <c r="A37" s="62">
        <f>IF($N37="","",INDEX('Cronograma R. Normativo'!$A$5:$A$1000,$N37))</f>
        <v/>
      </c>
      <c r="B37" s="71">
        <f>IF($N37="","",IF($O37="Sub","      ↳  "&amp;INDEX('Cronograma R. Normativo'!$C$5:$C$1000,$N37),INDEX('Cronograma R. Normativo'!$C$5:$C$1000,$N37)&amp;""))</f>
        <v/>
      </c>
      <c r="C37" s="77">
        <f>IF($N37="","",IF(INDEX('Cronograma R. Normativo'!$D$5:$D$1000,$N37)="","",INDEX('Cronograma R. Normativo'!$D$5:$D$1000,$N37)))</f>
        <v/>
      </c>
      <c r="D37" s="77">
        <f>IF($N37="","",IF(INDEX('Cronograma R. Normativo'!$E$5:$E$1000,$N37)="","",INDEX('Cronograma R. Normativo'!$E$5:$E$1000,$N37)))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Normativo'!$Y$5:$Y$1000,$N37),""),IF(INDEX('Cronograma R. Normativo'!$G$5:$G$1000,$N37)="","",INDEX('Cronograma R. Normativo'!$G$5:$G$1000,$N37))))</f>
        <v/>
      </c>
      <c r="G37" s="68">
        <f>IF($N37="","",IF($P37&gt;0,IF(2&lt;=SemanaActual,INDEX('Cronograma R. Normativo'!$Z$5:$Z$1000,$N37),""),IF(INDEX('Cronograma R. Normativo'!$H$5:$H$1000,$N37)="","",INDEX('Cronograma R. Normativo'!$H$5:$H$1000,$N37))))</f>
        <v/>
      </c>
      <c r="H37" s="68">
        <f>IF($N37="","",IF($P37&gt;0,IF(3&lt;=SemanaActual,INDEX('Cronograma R. Normativo'!$AA$5:$AA$1000,$N37),""),IF(INDEX('Cronograma R. Normativo'!$I$5:$I$1000,$N37)="","",INDEX('Cronograma R. Normativo'!$I$5:$I$1000,$N37))))</f>
        <v/>
      </c>
      <c r="I37" s="68">
        <f>IF($N37="","",IF($P37&gt;0,IF(4&lt;=SemanaActual,INDEX('Cronograma R. Normativo'!$AB$5:$AB$1000,$N37),""),IF(INDEX('Cronograma R. Normativo'!$J$5:$J$1000,$N37)="","",INDEX('Cronograma R. Normativo'!$J$5:$J$1000,$N37))))</f>
        <v/>
      </c>
      <c r="J37" s="68">
        <f>IF($N37="","",INDEX('Cronograma R. Normativo'!$K$5:$K$1000,$N37))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Normativo'!$M$5:$M$1000,$N37)&amp;"")</f>
        <v/>
      </c>
      <c r="M37" s="71">
        <f>IF($N37="","",INDEX('Cronograma R. Normativo'!$N$5:$N$1000,$N37)&amp;"")</f>
        <v/>
      </c>
      <c r="N37">
        <f>IFERROR(MATCH(ROW()-4,rOrden_RN,0),"")</f>
        <v/>
      </c>
      <c r="O37">
        <f>IF($N37="","",INDEX('Cronograma R. Normativo'!$S$5:$S$1000,$N37))</f>
        <v/>
      </c>
      <c r="P37">
        <f>IF($N37="","",N(INDEX('Cronograma R. Normativo'!$T$5:$T$1000,$N37)))</f>
        <v/>
      </c>
    </row>
    <row r="38">
      <c r="A38" s="62">
        <f>IF($N38="","",INDEX('Cronograma R. Normativo'!$A$5:$A$1000,$N38))</f>
        <v/>
      </c>
      <c r="B38" s="71">
        <f>IF($N38="","",IF($O38="Sub","      ↳  "&amp;INDEX('Cronograma R. Normativo'!$C$5:$C$1000,$N38),INDEX('Cronograma R. Normativo'!$C$5:$C$1000,$N38)&amp;""))</f>
        <v/>
      </c>
      <c r="C38" s="77">
        <f>IF($N38="","",IF(INDEX('Cronograma R. Normativo'!$D$5:$D$1000,$N38)="","",INDEX('Cronograma R. Normativo'!$D$5:$D$1000,$N38)))</f>
        <v/>
      </c>
      <c r="D38" s="77">
        <f>IF($N38="","",IF(INDEX('Cronograma R. Normativo'!$E$5:$E$1000,$N38)="","",INDEX('Cronograma R. Normativo'!$E$5:$E$1000,$N38)))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Normativo'!$Y$5:$Y$1000,$N38),""),IF(INDEX('Cronograma R. Normativo'!$G$5:$G$1000,$N38)="","",INDEX('Cronograma R. Normativo'!$G$5:$G$1000,$N38))))</f>
        <v/>
      </c>
      <c r="G38" s="68">
        <f>IF($N38="","",IF($P38&gt;0,IF(2&lt;=SemanaActual,INDEX('Cronograma R. Normativo'!$Z$5:$Z$1000,$N38),""),IF(INDEX('Cronograma R. Normativo'!$H$5:$H$1000,$N38)="","",INDEX('Cronograma R. Normativo'!$H$5:$H$1000,$N38))))</f>
        <v/>
      </c>
      <c r="H38" s="68">
        <f>IF($N38="","",IF($P38&gt;0,IF(3&lt;=SemanaActual,INDEX('Cronograma R. Normativo'!$AA$5:$AA$1000,$N38),""),IF(INDEX('Cronograma R. Normativo'!$I$5:$I$1000,$N38)="","",INDEX('Cronograma R. Normativo'!$I$5:$I$1000,$N38))))</f>
        <v/>
      </c>
      <c r="I38" s="68">
        <f>IF($N38="","",IF($P38&gt;0,IF(4&lt;=SemanaActual,INDEX('Cronograma R. Normativo'!$AB$5:$AB$1000,$N38),""),IF(INDEX('Cronograma R. Normativo'!$J$5:$J$1000,$N38)="","",INDEX('Cronograma R. Normativo'!$J$5:$J$1000,$N38))))</f>
        <v/>
      </c>
      <c r="J38" s="68">
        <f>IF($N38="","",INDEX('Cronograma R. Normativo'!$K$5:$K$1000,$N38))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Normativo'!$M$5:$M$1000,$N38)&amp;"")</f>
        <v/>
      </c>
      <c r="M38" s="71">
        <f>IF($N38="","",INDEX('Cronograma R. Normativo'!$N$5:$N$1000,$N38)&amp;"")</f>
        <v/>
      </c>
      <c r="N38">
        <f>IFERROR(MATCH(ROW()-4,rOrden_RN,0),"")</f>
        <v/>
      </c>
      <c r="O38">
        <f>IF($N38="","",INDEX('Cronograma R. Normativo'!$S$5:$S$1000,$N38))</f>
        <v/>
      </c>
      <c r="P38">
        <f>IF($N38="","",N(INDEX('Cronograma R. Normativo'!$T$5:$T$1000,$N38)))</f>
        <v/>
      </c>
    </row>
    <row r="39">
      <c r="A39" s="62">
        <f>IF($N39="","",INDEX('Cronograma R. Normativo'!$A$5:$A$1000,$N39))</f>
        <v/>
      </c>
      <c r="B39" s="71">
        <f>IF($N39="","",IF($O39="Sub","      ↳  "&amp;INDEX('Cronograma R. Normativo'!$C$5:$C$1000,$N39),INDEX('Cronograma R. Normativo'!$C$5:$C$1000,$N39)&amp;""))</f>
        <v/>
      </c>
      <c r="C39" s="77">
        <f>IF($N39="","",IF(INDEX('Cronograma R. Normativo'!$D$5:$D$1000,$N39)="","",INDEX('Cronograma R. Normativo'!$D$5:$D$1000,$N39)))</f>
        <v/>
      </c>
      <c r="D39" s="77">
        <f>IF($N39="","",IF(INDEX('Cronograma R. Normativo'!$E$5:$E$1000,$N39)="","",INDEX('Cronograma R. Normativo'!$E$5:$E$1000,$N39)))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Normativo'!$Y$5:$Y$1000,$N39),""),IF(INDEX('Cronograma R. Normativo'!$G$5:$G$1000,$N39)="","",INDEX('Cronograma R. Normativo'!$G$5:$G$1000,$N39))))</f>
        <v/>
      </c>
      <c r="G39" s="68">
        <f>IF($N39="","",IF($P39&gt;0,IF(2&lt;=SemanaActual,INDEX('Cronograma R. Normativo'!$Z$5:$Z$1000,$N39),""),IF(INDEX('Cronograma R. Normativo'!$H$5:$H$1000,$N39)="","",INDEX('Cronograma R. Normativo'!$H$5:$H$1000,$N39))))</f>
        <v/>
      </c>
      <c r="H39" s="68">
        <f>IF($N39="","",IF($P39&gt;0,IF(3&lt;=SemanaActual,INDEX('Cronograma R. Normativo'!$AA$5:$AA$1000,$N39),""),IF(INDEX('Cronograma R. Normativo'!$I$5:$I$1000,$N39)="","",INDEX('Cronograma R. Normativo'!$I$5:$I$1000,$N39))))</f>
        <v/>
      </c>
      <c r="I39" s="68">
        <f>IF($N39="","",IF($P39&gt;0,IF(4&lt;=SemanaActual,INDEX('Cronograma R. Normativo'!$AB$5:$AB$1000,$N39),""),IF(INDEX('Cronograma R. Normativo'!$J$5:$J$1000,$N39)="","",INDEX('Cronograma R. Normativo'!$J$5:$J$1000,$N39))))</f>
        <v/>
      </c>
      <c r="J39" s="68">
        <f>IF($N39="","",INDEX('Cronograma R. Normativo'!$K$5:$K$1000,$N39))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Normativo'!$M$5:$M$1000,$N39)&amp;"")</f>
        <v/>
      </c>
      <c r="M39" s="71">
        <f>IF($N39="","",INDEX('Cronograma R. Normativo'!$N$5:$N$1000,$N39)&amp;"")</f>
        <v/>
      </c>
      <c r="N39">
        <f>IFERROR(MATCH(ROW()-4,rOrden_RN,0),"")</f>
        <v/>
      </c>
      <c r="O39">
        <f>IF($N39="","",INDEX('Cronograma R. Normativo'!$S$5:$S$1000,$N39))</f>
        <v/>
      </c>
      <c r="P39">
        <f>IF($N39="","",N(INDEX('Cronograma R. Normativo'!$T$5:$T$1000,$N39)))</f>
        <v/>
      </c>
    </row>
    <row r="40">
      <c r="A40" s="62">
        <f>IF($N40="","",INDEX('Cronograma R. Normativo'!$A$5:$A$1000,$N40))</f>
        <v/>
      </c>
      <c r="B40" s="71">
        <f>IF($N40="","",IF($O40="Sub","      ↳  "&amp;INDEX('Cronograma R. Normativo'!$C$5:$C$1000,$N40),INDEX('Cronograma R. Normativo'!$C$5:$C$1000,$N40)&amp;""))</f>
        <v/>
      </c>
      <c r="C40" s="77">
        <f>IF($N40="","",IF(INDEX('Cronograma R. Normativo'!$D$5:$D$1000,$N40)="","",INDEX('Cronograma R. Normativo'!$D$5:$D$1000,$N40)))</f>
        <v/>
      </c>
      <c r="D40" s="77">
        <f>IF($N40="","",IF(INDEX('Cronograma R. Normativo'!$E$5:$E$1000,$N40)="","",INDEX('Cronograma R. Normativo'!$E$5:$E$1000,$N40)))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Normativo'!$Y$5:$Y$1000,$N40),""),IF(INDEX('Cronograma R. Normativo'!$G$5:$G$1000,$N40)="","",INDEX('Cronograma R. Normativo'!$G$5:$G$1000,$N40))))</f>
        <v/>
      </c>
      <c r="G40" s="68">
        <f>IF($N40="","",IF($P40&gt;0,IF(2&lt;=SemanaActual,INDEX('Cronograma R. Normativo'!$Z$5:$Z$1000,$N40),""),IF(INDEX('Cronograma R. Normativo'!$H$5:$H$1000,$N40)="","",INDEX('Cronograma R. Normativo'!$H$5:$H$1000,$N40))))</f>
        <v/>
      </c>
      <c r="H40" s="68">
        <f>IF($N40="","",IF($P40&gt;0,IF(3&lt;=SemanaActual,INDEX('Cronograma R. Normativo'!$AA$5:$AA$1000,$N40),""),IF(INDEX('Cronograma R. Normativo'!$I$5:$I$1000,$N40)="","",INDEX('Cronograma R. Normativo'!$I$5:$I$1000,$N40))))</f>
        <v/>
      </c>
      <c r="I40" s="68">
        <f>IF($N40="","",IF($P40&gt;0,IF(4&lt;=SemanaActual,INDEX('Cronograma R. Normativo'!$AB$5:$AB$1000,$N40),""),IF(INDEX('Cronograma R. Normativo'!$J$5:$J$1000,$N40)="","",INDEX('Cronograma R. Normativo'!$J$5:$J$1000,$N40))))</f>
        <v/>
      </c>
      <c r="J40" s="68">
        <f>IF($N40="","",INDEX('Cronograma R. Normativo'!$K$5:$K$1000,$N40))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Normativo'!$M$5:$M$1000,$N40)&amp;"")</f>
        <v/>
      </c>
      <c r="M40" s="71">
        <f>IF($N40="","",INDEX('Cronograma R. Normativo'!$N$5:$N$1000,$N40)&amp;"")</f>
        <v/>
      </c>
      <c r="N40">
        <f>IFERROR(MATCH(ROW()-4,rOrden_RN,0),"")</f>
        <v/>
      </c>
      <c r="O40">
        <f>IF($N40="","",INDEX('Cronograma R. Normativo'!$S$5:$S$1000,$N40))</f>
        <v/>
      </c>
      <c r="P40">
        <f>IF($N40="","",N(INDEX('Cronograma R. Normativo'!$T$5:$T$1000,$N40)))</f>
        <v/>
      </c>
    </row>
    <row r="41">
      <c r="A41" s="62">
        <f>IF($N41="","",INDEX('Cronograma R. Normativo'!$A$5:$A$1000,$N41))</f>
        <v/>
      </c>
      <c r="B41" s="71">
        <f>IF($N41="","",IF($O41="Sub","      ↳  "&amp;INDEX('Cronograma R. Normativo'!$C$5:$C$1000,$N41),INDEX('Cronograma R. Normativo'!$C$5:$C$1000,$N41)&amp;""))</f>
        <v/>
      </c>
      <c r="C41" s="77">
        <f>IF($N41="","",IF(INDEX('Cronograma R. Normativo'!$D$5:$D$1000,$N41)="","",INDEX('Cronograma R. Normativo'!$D$5:$D$1000,$N41)))</f>
        <v/>
      </c>
      <c r="D41" s="77">
        <f>IF($N41="","",IF(INDEX('Cronograma R. Normativo'!$E$5:$E$1000,$N41)="","",INDEX('Cronograma R. Normativo'!$E$5:$E$1000,$N41)))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Normativo'!$Y$5:$Y$1000,$N41),""),IF(INDEX('Cronograma R. Normativo'!$G$5:$G$1000,$N41)="","",INDEX('Cronograma R. Normativo'!$G$5:$G$1000,$N41))))</f>
        <v/>
      </c>
      <c r="G41" s="68">
        <f>IF($N41="","",IF($P41&gt;0,IF(2&lt;=SemanaActual,INDEX('Cronograma R. Normativo'!$Z$5:$Z$1000,$N41),""),IF(INDEX('Cronograma R. Normativo'!$H$5:$H$1000,$N41)="","",INDEX('Cronograma R. Normativo'!$H$5:$H$1000,$N41))))</f>
        <v/>
      </c>
      <c r="H41" s="68">
        <f>IF($N41="","",IF($P41&gt;0,IF(3&lt;=SemanaActual,INDEX('Cronograma R. Normativo'!$AA$5:$AA$1000,$N41),""),IF(INDEX('Cronograma R. Normativo'!$I$5:$I$1000,$N41)="","",INDEX('Cronograma R. Normativo'!$I$5:$I$1000,$N41))))</f>
        <v/>
      </c>
      <c r="I41" s="68">
        <f>IF($N41="","",IF($P41&gt;0,IF(4&lt;=SemanaActual,INDEX('Cronograma R. Normativo'!$AB$5:$AB$1000,$N41),""),IF(INDEX('Cronograma R. Normativo'!$J$5:$J$1000,$N41)="","",INDEX('Cronograma R. Normativo'!$J$5:$J$1000,$N41))))</f>
        <v/>
      </c>
      <c r="J41" s="68">
        <f>IF($N41="","",INDEX('Cronograma R. Normativo'!$K$5:$K$1000,$N41))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Normativo'!$M$5:$M$1000,$N41)&amp;"")</f>
        <v/>
      </c>
      <c r="M41" s="71">
        <f>IF($N41="","",INDEX('Cronograma R. Normativo'!$N$5:$N$1000,$N41)&amp;"")</f>
        <v/>
      </c>
      <c r="N41">
        <f>IFERROR(MATCH(ROW()-4,rOrden_RN,0),"")</f>
        <v/>
      </c>
      <c r="O41">
        <f>IF($N41="","",INDEX('Cronograma R. Normativo'!$S$5:$S$1000,$N41))</f>
        <v/>
      </c>
      <c r="P41">
        <f>IF($N41="","",N(INDEX('Cronograma R. Normativo'!$T$5:$T$1000,$N41)))</f>
        <v/>
      </c>
    </row>
    <row r="42">
      <c r="A42" s="62">
        <f>IF($N42="","",INDEX('Cronograma R. Normativo'!$A$5:$A$1000,$N42))</f>
        <v/>
      </c>
      <c r="B42" s="71">
        <f>IF($N42="","",IF($O42="Sub","      ↳  "&amp;INDEX('Cronograma R. Normativo'!$C$5:$C$1000,$N42),INDEX('Cronograma R. Normativo'!$C$5:$C$1000,$N42)&amp;""))</f>
        <v/>
      </c>
      <c r="C42" s="77">
        <f>IF($N42="","",IF(INDEX('Cronograma R. Normativo'!$D$5:$D$1000,$N42)="","",INDEX('Cronograma R. Normativo'!$D$5:$D$1000,$N42)))</f>
        <v/>
      </c>
      <c r="D42" s="77">
        <f>IF($N42="","",IF(INDEX('Cronograma R. Normativo'!$E$5:$E$1000,$N42)="","",INDEX('Cronograma R. Normativo'!$E$5:$E$1000,$N42)))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Normativo'!$Y$5:$Y$1000,$N42),""),IF(INDEX('Cronograma R. Normativo'!$G$5:$G$1000,$N42)="","",INDEX('Cronograma R. Normativo'!$G$5:$G$1000,$N42))))</f>
        <v/>
      </c>
      <c r="G42" s="68">
        <f>IF($N42="","",IF($P42&gt;0,IF(2&lt;=SemanaActual,INDEX('Cronograma R. Normativo'!$Z$5:$Z$1000,$N42),""),IF(INDEX('Cronograma R. Normativo'!$H$5:$H$1000,$N42)="","",INDEX('Cronograma R. Normativo'!$H$5:$H$1000,$N42))))</f>
        <v/>
      </c>
      <c r="H42" s="68">
        <f>IF($N42="","",IF($P42&gt;0,IF(3&lt;=SemanaActual,INDEX('Cronograma R. Normativo'!$AA$5:$AA$1000,$N42),""),IF(INDEX('Cronograma R. Normativo'!$I$5:$I$1000,$N42)="","",INDEX('Cronograma R. Normativo'!$I$5:$I$1000,$N42))))</f>
        <v/>
      </c>
      <c r="I42" s="68">
        <f>IF($N42="","",IF($P42&gt;0,IF(4&lt;=SemanaActual,INDEX('Cronograma R. Normativo'!$AB$5:$AB$1000,$N42),""),IF(INDEX('Cronograma R. Normativo'!$J$5:$J$1000,$N42)="","",INDEX('Cronograma R. Normativo'!$J$5:$J$1000,$N42))))</f>
        <v/>
      </c>
      <c r="J42" s="68">
        <f>IF($N42="","",INDEX('Cronograma R. Normativo'!$K$5:$K$1000,$N42))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Normativo'!$M$5:$M$1000,$N42)&amp;"")</f>
        <v/>
      </c>
      <c r="M42" s="71">
        <f>IF($N42="","",INDEX('Cronograma R. Normativo'!$N$5:$N$1000,$N42)&amp;"")</f>
        <v/>
      </c>
      <c r="N42">
        <f>IFERROR(MATCH(ROW()-4,rOrden_RN,0),"")</f>
        <v/>
      </c>
      <c r="O42">
        <f>IF($N42="","",INDEX('Cronograma R. Normativo'!$S$5:$S$1000,$N42))</f>
        <v/>
      </c>
      <c r="P42">
        <f>IF($N42="","",N(INDEX('Cronograma R. Normativo'!$T$5:$T$1000,$N42)))</f>
        <v/>
      </c>
    </row>
    <row r="43">
      <c r="A43" s="62">
        <f>IF($N43="","",INDEX('Cronograma R. Normativo'!$A$5:$A$1000,$N43))</f>
        <v/>
      </c>
      <c r="B43" s="71">
        <f>IF($N43="","",IF($O43="Sub","      ↳  "&amp;INDEX('Cronograma R. Normativo'!$C$5:$C$1000,$N43),INDEX('Cronograma R. Normativo'!$C$5:$C$1000,$N43)&amp;""))</f>
        <v/>
      </c>
      <c r="C43" s="77">
        <f>IF($N43="","",IF(INDEX('Cronograma R. Normativo'!$D$5:$D$1000,$N43)="","",INDEX('Cronograma R. Normativo'!$D$5:$D$1000,$N43)))</f>
        <v/>
      </c>
      <c r="D43" s="77">
        <f>IF($N43="","",IF(INDEX('Cronograma R. Normativo'!$E$5:$E$1000,$N43)="","",INDEX('Cronograma R. Normativo'!$E$5:$E$1000,$N43)))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Normativo'!$Y$5:$Y$1000,$N43),""),IF(INDEX('Cronograma R. Normativo'!$G$5:$G$1000,$N43)="","",INDEX('Cronograma R. Normativo'!$G$5:$G$1000,$N43))))</f>
        <v/>
      </c>
      <c r="G43" s="68">
        <f>IF($N43="","",IF($P43&gt;0,IF(2&lt;=SemanaActual,INDEX('Cronograma R. Normativo'!$Z$5:$Z$1000,$N43),""),IF(INDEX('Cronograma R. Normativo'!$H$5:$H$1000,$N43)="","",INDEX('Cronograma R. Normativo'!$H$5:$H$1000,$N43))))</f>
        <v/>
      </c>
      <c r="H43" s="68">
        <f>IF($N43="","",IF($P43&gt;0,IF(3&lt;=SemanaActual,INDEX('Cronograma R. Normativo'!$AA$5:$AA$1000,$N43),""),IF(INDEX('Cronograma R. Normativo'!$I$5:$I$1000,$N43)="","",INDEX('Cronograma R. Normativo'!$I$5:$I$1000,$N43))))</f>
        <v/>
      </c>
      <c r="I43" s="68">
        <f>IF($N43="","",IF($P43&gt;0,IF(4&lt;=SemanaActual,INDEX('Cronograma R. Normativo'!$AB$5:$AB$1000,$N43),""),IF(INDEX('Cronograma R. Normativo'!$J$5:$J$1000,$N43)="","",INDEX('Cronograma R. Normativo'!$J$5:$J$1000,$N43))))</f>
        <v/>
      </c>
      <c r="J43" s="68">
        <f>IF($N43="","",INDEX('Cronograma R. Normativo'!$K$5:$K$1000,$N43))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Normativo'!$M$5:$M$1000,$N43)&amp;"")</f>
        <v/>
      </c>
      <c r="M43" s="71">
        <f>IF($N43="","",INDEX('Cronograma R. Normativo'!$N$5:$N$1000,$N43)&amp;"")</f>
        <v/>
      </c>
      <c r="N43">
        <f>IFERROR(MATCH(ROW()-4,rOrden_RN,0),"")</f>
        <v/>
      </c>
      <c r="O43">
        <f>IF($N43="","",INDEX('Cronograma R. Normativo'!$S$5:$S$1000,$N43))</f>
        <v/>
      </c>
      <c r="P43">
        <f>IF($N43="","",N(INDEX('Cronograma R. Normativo'!$T$5:$T$1000,$N43)))</f>
        <v/>
      </c>
    </row>
    <row r="44">
      <c r="A44" s="62">
        <f>IF($N44="","",INDEX('Cronograma R. Normativo'!$A$5:$A$1000,$N44))</f>
        <v/>
      </c>
      <c r="B44" s="71">
        <f>IF($N44="","",IF($O44="Sub","      ↳  "&amp;INDEX('Cronograma R. Normativo'!$C$5:$C$1000,$N44),INDEX('Cronograma R. Normativo'!$C$5:$C$1000,$N44)&amp;""))</f>
        <v/>
      </c>
      <c r="C44" s="77">
        <f>IF($N44="","",IF(INDEX('Cronograma R. Normativo'!$D$5:$D$1000,$N44)="","",INDEX('Cronograma R. Normativo'!$D$5:$D$1000,$N44)))</f>
        <v/>
      </c>
      <c r="D44" s="77">
        <f>IF($N44="","",IF(INDEX('Cronograma R. Normativo'!$E$5:$E$1000,$N44)="","",INDEX('Cronograma R. Normativo'!$E$5:$E$1000,$N44)))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Normativo'!$Y$5:$Y$1000,$N44),""),IF(INDEX('Cronograma R. Normativo'!$G$5:$G$1000,$N44)="","",INDEX('Cronograma R. Normativo'!$G$5:$G$1000,$N44))))</f>
        <v/>
      </c>
      <c r="G44" s="68">
        <f>IF($N44="","",IF($P44&gt;0,IF(2&lt;=SemanaActual,INDEX('Cronograma R. Normativo'!$Z$5:$Z$1000,$N44),""),IF(INDEX('Cronograma R. Normativo'!$H$5:$H$1000,$N44)="","",INDEX('Cronograma R. Normativo'!$H$5:$H$1000,$N44))))</f>
        <v/>
      </c>
      <c r="H44" s="68">
        <f>IF($N44="","",IF($P44&gt;0,IF(3&lt;=SemanaActual,INDEX('Cronograma R. Normativo'!$AA$5:$AA$1000,$N44),""),IF(INDEX('Cronograma R. Normativo'!$I$5:$I$1000,$N44)="","",INDEX('Cronograma R. Normativo'!$I$5:$I$1000,$N44))))</f>
        <v/>
      </c>
      <c r="I44" s="68">
        <f>IF($N44="","",IF($P44&gt;0,IF(4&lt;=SemanaActual,INDEX('Cronograma R. Normativo'!$AB$5:$AB$1000,$N44),""),IF(INDEX('Cronograma R. Normativo'!$J$5:$J$1000,$N44)="","",INDEX('Cronograma R. Normativo'!$J$5:$J$1000,$N44))))</f>
        <v/>
      </c>
      <c r="J44" s="68">
        <f>IF($N44="","",INDEX('Cronograma R. Normativo'!$K$5:$K$1000,$N44))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Normativo'!$M$5:$M$1000,$N44)&amp;"")</f>
        <v/>
      </c>
      <c r="M44" s="71">
        <f>IF($N44="","",INDEX('Cronograma R. Normativo'!$N$5:$N$1000,$N44)&amp;"")</f>
        <v/>
      </c>
      <c r="N44">
        <f>IFERROR(MATCH(ROW()-4,rOrden_RN,0),"")</f>
        <v/>
      </c>
      <c r="O44">
        <f>IF($N44="","",INDEX('Cronograma R. Normativo'!$S$5:$S$1000,$N44))</f>
        <v/>
      </c>
      <c r="P44">
        <f>IF($N44="","",N(INDEX('Cronograma R. Normativo'!$T$5:$T$1000,$N44)))</f>
        <v/>
      </c>
    </row>
    <row r="45">
      <c r="A45" s="62">
        <f>IF($N45="","",INDEX('Cronograma R. Normativo'!$A$5:$A$1000,$N45))</f>
        <v/>
      </c>
      <c r="B45" s="71">
        <f>IF($N45="","",IF($O45="Sub","      ↳  "&amp;INDEX('Cronograma R. Normativo'!$C$5:$C$1000,$N45),INDEX('Cronograma R. Normativo'!$C$5:$C$1000,$N45)&amp;""))</f>
        <v/>
      </c>
      <c r="C45" s="77">
        <f>IF($N45="","",IF(INDEX('Cronograma R. Normativo'!$D$5:$D$1000,$N45)="","",INDEX('Cronograma R. Normativo'!$D$5:$D$1000,$N45)))</f>
        <v/>
      </c>
      <c r="D45" s="77">
        <f>IF($N45="","",IF(INDEX('Cronograma R. Normativo'!$E$5:$E$1000,$N45)="","",INDEX('Cronograma R. Normativo'!$E$5:$E$1000,$N45)))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Normativo'!$Y$5:$Y$1000,$N45),""),IF(INDEX('Cronograma R. Normativo'!$G$5:$G$1000,$N45)="","",INDEX('Cronograma R. Normativo'!$G$5:$G$1000,$N45))))</f>
        <v/>
      </c>
      <c r="G45" s="68">
        <f>IF($N45="","",IF($P45&gt;0,IF(2&lt;=SemanaActual,INDEX('Cronograma R. Normativo'!$Z$5:$Z$1000,$N45),""),IF(INDEX('Cronograma R. Normativo'!$H$5:$H$1000,$N45)="","",INDEX('Cronograma R. Normativo'!$H$5:$H$1000,$N45))))</f>
        <v/>
      </c>
      <c r="H45" s="68">
        <f>IF($N45="","",IF($P45&gt;0,IF(3&lt;=SemanaActual,INDEX('Cronograma R. Normativo'!$AA$5:$AA$1000,$N45),""),IF(INDEX('Cronograma R. Normativo'!$I$5:$I$1000,$N45)="","",INDEX('Cronograma R. Normativo'!$I$5:$I$1000,$N45))))</f>
        <v/>
      </c>
      <c r="I45" s="68">
        <f>IF($N45="","",IF($P45&gt;0,IF(4&lt;=SemanaActual,INDEX('Cronograma R. Normativo'!$AB$5:$AB$1000,$N45),""),IF(INDEX('Cronograma R. Normativo'!$J$5:$J$1000,$N45)="","",INDEX('Cronograma R. Normativo'!$J$5:$J$1000,$N45))))</f>
        <v/>
      </c>
      <c r="J45" s="68">
        <f>IF($N45="","",INDEX('Cronograma R. Normativo'!$K$5:$K$1000,$N45))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Normativo'!$M$5:$M$1000,$N45)&amp;"")</f>
        <v/>
      </c>
      <c r="M45" s="71">
        <f>IF($N45="","",INDEX('Cronograma R. Normativo'!$N$5:$N$1000,$N45)&amp;"")</f>
        <v/>
      </c>
      <c r="N45">
        <f>IFERROR(MATCH(ROW()-4,rOrden_RN,0),"")</f>
        <v/>
      </c>
      <c r="O45">
        <f>IF($N45="","",INDEX('Cronograma R. Normativo'!$S$5:$S$1000,$N45))</f>
        <v/>
      </c>
      <c r="P45">
        <f>IF($N45="","",N(INDEX('Cronograma R. Normativo'!$T$5:$T$1000,$N45)))</f>
        <v/>
      </c>
    </row>
    <row r="46">
      <c r="A46" s="62">
        <f>IF($N46="","",INDEX('Cronograma R. Normativo'!$A$5:$A$1000,$N46))</f>
        <v/>
      </c>
      <c r="B46" s="71">
        <f>IF($N46="","",IF($O46="Sub","      ↳  "&amp;INDEX('Cronograma R. Normativo'!$C$5:$C$1000,$N46),INDEX('Cronograma R. Normativo'!$C$5:$C$1000,$N46)&amp;""))</f>
        <v/>
      </c>
      <c r="C46" s="77">
        <f>IF($N46="","",IF(INDEX('Cronograma R. Normativo'!$D$5:$D$1000,$N46)="","",INDEX('Cronograma R. Normativo'!$D$5:$D$1000,$N46)))</f>
        <v/>
      </c>
      <c r="D46" s="77">
        <f>IF($N46="","",IF(INDEX('Cronograma R. Normativo'!$E$5:$E$1000,$N46)="","",INDEX('Cronograma R. Normativo'!$E$5:$E$1000,$N46)))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Normativo'!$Y$5:$Y$1000,$N46),""),IF(INDEX('Cronograma R. Normativo'!$G$5:$G$1000,$N46)="","",INDEX('Cronograma R. Normativo'!$G$5:$G$1000,$N46))))</f>
        <v/>
      </c>
      <c r="G46" s="68">
        <f>IF($N46="","",IF($P46&gt;0,IF(2&lt;=SemanaActual,INDEX('Cronograma R. Normativo'!$Z$5:$Z$1000,$N46),""),IF(INDEX('Cronograma R. Normativo'!$H$5:$H$1000,$N46)="","",INDEX('Cronograma R. Normativo'!$H$5:$H$1000,$N46))))</f>
        <v/>
      </c>
      <c r="H46" s="68">
        <f>IF($N46="","",IF($P46&gt;0,IF(3&lt;=SemanaActual,INDEX('Cronograma R. Normativo'!$AA$5:$AA$1000,$N46),""),IF(INDEX('Cronograma R. Normativo'!$I$5:$I$1000,$N46)="","",INDEX('Cronograma R. Normativo'!$I$5:$I$1000,$N46))))</f>
        <v/>
      </c>
      <c r="I46" s="68">
        <f>IF($N46="","",IF($P46&gt;0,IF(4&lt;=SemanaActual,INDEX('Cronograma R. Normativo'!$AB$5:$AB$1000,$N46),""),IF(INDEX('Cronograma R. Normativo'!$J$5:$J$1000,$N46)="","",INDEX('Cronograma R. Normativo'!$J$5:$J$1000,$N46))))</f>
        <v/>
      </c>
      <c r="J46" s="68">
        <f>IF($N46="","",INDEX('Cronograma R. Normativo'!$K$5:$K$1000,$N46))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Normativo'!$M$5:$M$1000,$N46)&amp;"")</f>
        <v/>
      </c>
      <c r="M46" s="71">
        <f>IF($N46="","",INDEX('Cronograma R. Normativo'!$N$5:$N$1000,$N46)&amp;"")</f>
        <v/>
      </c>
      <c r="N46">
        <f>IFERROR(MATCH(ROW()-4,rOrden_RN,0),"")</f>
        <v/>
      </c>
      <c r="O46">
        <f>IF($N46="","",INDEX('Cronograma R. Normativo'!$S$5:$S$1000,$N46))</f>
        <v/>
      </c>
      <c r="P46">
        <f>IF($N46="","",N(INDEX('Cronograma R. Normativo'!$T$5:$T$1000,$N46)))</f>
        <v/>
      </c>
    </row>
    <row r="47">
      <c r="A47" s="62">
        <f>IF($N47="","",INDEX('Cronograma R. Normativo'!$A$5:$A$1000,$N47))</f>
        <v/>
      </c>
      <c r="B47" s="71">
        <f>IF($N47="","",IF($O47="Sub","      ↳  "&amp;INDEX('Cronograma R. Normativo'!$C$5:$C$1000,$N47),INDEX('Cronograma R. Normativo'!$C$5:$C$1000,$N47)&amp;""))</f>
        <v/>
      </c>
      <c r="C47" s="77">
        <f>IF($N47="","",IF(INDEX('Cronograma R. Normativo'!$D$5:$D$1000,$N47)="","",INDEX('Cronograma R. Normativo'!$D$5:$D$1000,$N47)))</f>
        <v/>
      </c>
      <c r="D47" s="77">
        <f>IF($N47="","",IF(INDEX('Cronograma R. Normativo'!$E$5:$E$1000,$N47)="","",INDEX('Cronograma R. Normativo'!$E$5:$E$1000,$N47)))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Normativo'!$Y$5:$Y$1000,$N47),""),IF(INDEX('Cronograma R. Normativo'!$G$5:$G$1000,$N47)="","",INDEX('Cronograma R. Normativo'!$G$5:$G$1000,$N47))))</f>
        <v/>
      </c>
      <c r="G47" s="68">
        <f>IF($N47="","",IF($P47&gt;0,IF(2&lt;=SemanaActual,INDEX('Cronograma R. Normativo'!$Z$5:$Z$1000,$N47),""),IF(INDEX('Cronograma R. Normativo'!$H$5:$H$1000,$N47)="","",INDEX('Cronograma R. Normativo'!$H$5:$H$1000,$N47))))</f>
        <v/>
      </c>
      <c r="H47" s="68">
        <f>IF($N47="","",IF($P47&gt;0,IF(3&lt;=SemanaActual,INDEX('Cronograma R. Normativo'!$AA$5:$AA$1000,$N47),""),IF(INDEX('Cronograma R. Normativo'!$I$5:$I$1000,$N47)="","",INDEX('Cronograma R. Normativo'!$I$5:$I$1000,$N47))))</f>
        <v/>
      </c>
      <c r="I47" s="68">
        <f>IF($N47="","",IF($P47&gt;0,IF(4&lt;=SemanaActual,INDEX('Cronograma R. Normativo'!$AB$5:$AB$1000,$N47),""),IF(INDEX('Cronograma R. Normativo'!$J$5:$J$1000,$N47)="","",INDEX('Cronograma R. Normativo'!$J$5:$J$1000,$N47))))</f>
        <v/>
      </c>
      <c r="J47" s="68">
        <f>IF($N47="","",INDEX('Cronograma R. Normativo'!$K$5:$K$1000,$N47))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Normativo'!$M$5:$M$1000,$N47)&amp;"")</f>
        <v/>
      </c>
      <c r="M47" s="71">
        <f>IF($N47="","",INDEX('Cronograma R. Normativo'!$N$5:$N$1000,$N47)&amp;"")</f>
        <v/>
      </c>
      <c r="N47">
        <f>IFERROR(MATCH(ROW()-4,rOrden_RN,0),"")</f>
        <v/>
      </c>
      <c r="O47">
        <f>IF($N47="","",INDEX('Cronograma R. Normativo'!$S$5:$S$1000,$N47))</f>
        <v/>
      </c>
      <c r="P47">
        <f>IF($N47="","",N(INDEX('Cronograma R. Normativo'!$T$5:$T$1000,$N47)))</f>
        <v/>
      </c>
    </row>
    <row r="48">
      <c r="A48" s="62">
        <f>IF($N48="","",INDEX('Cronograma R. Normativo'!$A$5:$A$1000,$N48))</f>
        <v/>
      </c>
      <c r="B48" s="71">
        <f>IF($N48="","",IF($O48="Sub","      ↳  "&amp;INDEX('Cronograma R. Normativo'!$C$5:$C$1000,$N48),INDEX('Cronograma R. Normativo'!$C$5:$C$1000,$N48)&amp;""))</f>
        <v/>
      </c>
      <c r="C48" s="77">
        <f>IF($N48="","",IF(INDEX('Cronograma R. Normativo'!$D$5:$D$1000,$N48)="","",INDEX('Cronograma R. Normativo'!$D$5:$D$1000,$N48)))</f>
        <v/>
      </c>
      <c r="D48" s="77">
        <f>IF($N48="","",IF(INDEX('Cronograma R. Normativo'!$E$5:$E$1000,$N48)="","",INDEX('Cronograma R. Normativo'!$E$5:$E$1000,$N48)))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Normativo'!$Y$5:$Y$1000,$N48),""),IF(INDEX('Cronograma R. Normativo'!$G$5:$G$1000,$N48)="","",INDEX('Cronograma R. Normativo'!$G$5:$G$1000,$N48))))</f>
        <v/>
      </c>
      <c r="G48" s="68">
        <f>IF($N48="","",IF($P48&gt;0,IF(2&lt;=SemanaActual,INDEX('Cronograma R. Normativo'!$Z$5:$Z$1000,$N48),""),IF(INDEX('Cronograma R. Normativo'!$H$5:$H$1000,$N48)="","",INDEX('Cronograma R. Normativo'!$H$5:$H$1000,$N48))))</f>
        <v/>
      </c>
      <c r="H48" s="68">
        <f>IF($N48="","",IF($P48&gt;0,IF(3&lt;=SemanaActual,INDEX('Cronograma R. Normativo'!$AA$5:$AA$1000,$N48),""),IF(INDEX('Cronograma R. Normativo'!$I$5:$I$1000,$N48)="","",INDEX('Cronograma R. Normativo'!$I$5:$I$1000,$N48))))</f>
        <v/>
      </c>
      <c r="I48" s="68">
        <f>IF($N48="","",IF($P48&gt;0,IF(4&lt;=SemanaActual,INDEX('Cronograma R. Normativo'!$AB$5:$AB$1000,$N48),""),IF(INDEX('Cronograma R. Normativo'!$J$5:$J$1000,$N48)="","",INDEX('Cronograma R. Normativo'!$J$5:$J$1000,$N48))))</f>
        <v/>
      </c>
      <c r="J48" s="68">
        <f>IF($N48="","",INDEX('Cronograma R. Normativo'!$K$5:$K$1000,$N48))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Normativo'!$M$5:$M$1000,$N48)&amp;"")</f>
        <v/>
      </c>
      <c r="M48" s="71">
        <f>IF($N48="","",INDEX('Cronograma R. Normativo'!$N$5:$N$1000,$N48)&amp;"")</f>
        <v/>
      </c>
      <c r="N48">
        <f>IFERROR(MATCH(ROW()-4,rOrden_RN,0),"")</f>
        <v/>
      </c>
      <c r="O48">
        <f>IF($N48="","",INDEX('Cronograma R. Normativo'!$S$5:$S$1000,$N48))</f>
        <v/>
      </c>
      <c r="P48">
        <f>IF($N48="","",N(INDEX('Cronograma R. Normativo'!$T$5:$T$1000,$N48)))</f>
        <v/>
      </c>
    </row>
    <row r="49">
      <c r="A49" s="62">
        <f>IF($N49="","",INDEX('Cronograma R. Normativo'!$A$5:$A$1000,$N49))</f>
        <v/>
      </c>
      <c r="B49" s="71">
        <f>IF($N49="","",IF($O49="Sub","      ↳  "&amp;INDEX('Cronograma R. Normativo'!$C$5:$C$1000,$N49),INDEX('Cronograma R. Normativo'!$C$5:$C$1000,$N49)&amp;""))</f>
        <v/>
      </c>
      <c r="C49" s="77">
        <f>IF($N49="","",IF(INDEX('Cronograma R. Normativo'!$D$5:$D$1000,$N49)="","",INDEX('Cronograma R. Normativo'!$D$5:$D$1000,$N49)))</f>
        <v/>
      </c>
      <c r="D49" s="77">
        <f>IF($N49="","",IF(INDEX('Cronograma R. Normativo'!$E$5:$E$1000,$N49)="","",INDEX('Cronograma R. Normativo'!$E$5:$E$1000,$N49)))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Normativo'!$Y$5:$Y$1000,$N49),""),IF(INDEX('Cronograma R. Normativo'!$G$5:$G$1000,$N49)="","",INDEX('Cronograma R. Normativo'!$G$5:$G$1000,$N49))))</f>
        <v/>
      </c>
      <c r="G49" s="68">
        <f>IF($N49="","",IF($P49&gt;0,IF(2&lt;=SemanaActual,INDEX('Cronograma R. Normativo'!$Z$5:$Z$1000,$N49),""),IF(INDEX('Cronograma R. Normativo'!$H$5:$H$1000,$N49)="","",INDEX('Cronograma R. Normativo'!$H$5:$H$1000,$N49))))</f>
        <v/>
      </c>
      <c r="H49" s="68">
        <f>IF($N49="","",IF($P49&gt;0,IF(3&lt;=SemanaActual,INDEX('Cronograma R. Normativo'!$AA$5:$AA$1000,$N49),""),IF(INDEX('Cronograma R. Normativo'!$I$5:$I$1000,$N49)="","",INDEX('Cronograma R. Normativo'!$I$5:$I$1000,$N49))))</f>
        <v/>
      </c>
      <c r="I49" s="68">
        <f>IF($N49="","",IF($P49&gt;0,IF(4&lt;=SemanaActual,INDEX('Cronograma R. Normativo'!$AB$5:$AB$1000,$N49),""),IF(INDEX('Cronograma R. Normativo'!$J$5:$J$1000,$N49)="","",INDEX('Cronograma R. Normativo'!$J$5:$J$1000,$N49))))</f>
        <v/>
      </c>
      <c r="J49" s="68">
        <f>IF($N49="","",INDEX('Cronograma R. Normativo'!$K$5:$K$1000,$N49))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Normativo'!$M$5:$M$1000,$N49)&amp;"")</f>
        <v/>
      </c>
      <c r="M49" s="71">
        <f>IF($N49="","",INDEX('Cronograma R. Normativo'!$N$5:$N$1000,$N49)&amp;"")</f>
        <v/>
      </c>
      <c r="N49">
        <f>IFERROR(MATCH(ROW()-4,rOrden_RN,0),"")</f>
        <v/>
      </c>
      <c r="O49">
        <f>IF($N49="","",INDEX('Cronograma R. Normativo'!$S$5:$S$1000,$N49))</f>
        <v/>
      </c>
      <c r="P49">
        <f>IF($N49="","",N(INDEX('Cronograma R. Normativo'!$T$5:$T$1000,$N49)))</f>
        <v/>
      </c>
    </row>
    <row r="50">
      <c r="A50" s="62">
        <f>IF($N50="","",INDEX('Cronograma R. Normativo'!$A$5:$A$1000,$N50))</f>
        <v/>
      </c>
      <c r="B50" s="71">
        <f>IF($N50="","",IF($O50="Sub","      ↳  "&amp;INDEX('Cronograma R. Normativo'!$C$5:$C$1000,$N50),INDEX('Cronograma R. Normativo'!$C$5:$C$1000,$N50)&amp;""))</f>
        <v/>
      </c>
      <c r="C50" s="77">
        <f>IF($N50="","",IF(INDEX('Cronograma R. Normativo'!$D$5:$D$1000,$N50)="","",INDEX('Cronograma R. Normativo'!$D$5:$D$1000,$N50)))</f>
        <v/>
      </c>
      <c r="D50" s="77">
        <f>IF($N50="","",IF(INDEX('Cronograma R. Normativo'!$E$5:$E$1000,$N50)="","",INDEX('Cronograma R. Normativo'!$E$5:$E$1000,$N50)))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Normativo'!$Y$5:$Y$1000,$N50),""),IF(INDEX('Cronograma R. Normativo'!$G$5:$G$1000,$N50)="","",INDEX('Cronograma R. Normativo'!$G$5:$G$1000,$N50))))</f>
        <v/>
      </c>
      <c r="G50" s="68">
        <f>IF($N50="","",IF($P50&gt;0,IF(2&lt;=SemanaActual,INDEX('Cronograma R. Normativo'!$Z$5:$Z$1000,$N50),""),IF(INDEX('Cronograma R. Normativo'!$H$5:$H$1000,$N50)="","",INDEX('Cronograma R. Normativo'!$H$5:$H$1000,$N50))))</f>
        <v/>
      </c>
      <c r="H50" s="68">
        <f>IF($N50="","",IF($P50&gt;0,IF(3&lt;=SemanaActual,INDEX('Cronograma R. Normativo'!$AA$5:$AA$1000,$N50),""),IF(INDEX('Cronograma R. Normativo'!$I$5:$I$1000,$N50)="","",INDEX('Cronograma R. Normativo'!$I$5:$I$1000,$N50))))</f>
        <v/>
      </c>
      <c r="I50" s="68">
        <f>IF($N50="","",IF($P50&gt;0,IF(4&lt;=SemanaActual,INDEX('Cronograma R. Normativo'!$AB$5:$AB$1000,$N50),""),IF(INDEX('Cronograma R. Normativo'!$J$5:$J$1000,$N50)="","",INDEX('Cronograma R. Normativo'!$J$5:$J$1000,$N50))))</f>
        <v/>
      </c>
      <c r="J50" s="68">
        <f>IF($N50="","",INDEX('Cronograma R. Normativo'!$K$5:$K$1000,$N50))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Normativo'!$M$5:$M$1000,$N50)&amp;"")</f>
        <v/>
      </c>
      <c r="M50" s="71">
        <f>IF($N50="","",INDEX('Cronograma R. Normativo'!$N$5:$N$1000,$N50)&amp;"")</f>
        <v/>
      </c>
      <c r="N50">
        <f>IFERROR(MATCH(ROW()-4,rOrden_RN,0),"")</f>
        <v/>
      </c>
      <c r="O50">
        <f>IF($N50="","",INDEX('Cronograma R. Normativo'!$S$5:$S$1000,$N50))</f>
        <v/>
      </c>
      <c r="P50">
        <f>IF($N50="","",N(INDEX('Cronograma R. Normativo'!$T$5:$T$1000,$N50)))</f>
        <v/>
      </c>
    </row>
    <row r="51">
      <c r="A51" s="62">
        <f>IF($N51="","",INDEX('Cronograma R. Normativo'!$A$5:$A$1000,$N51))</f>
        <v/>
      </c>
      <c r="B51" s="71">
        <f>IF($N51="","",IF($O51="Sub","      ↳  "&amp;INDEX('Cronograma R. Normativo'!$C$5:$C$1000,$N51),INDEX('Cronograma R. Normativo'!$C$5:$C$1000,$N51)&amp;""))</f>
        <v/>
      </c>
      <c r="C51" s="77">
        <f>IF($N51="","",IF(INDEX('Cronograma R. Normativo'!$D$5:$D$1000,$N51)="","",INDEX('Cronograma R. Normativo'!$D$5:$D$1000,$N51)))</f>
        <v/>
      </c>
      <c r="D51" s="77">
        <f>IF($N51="","",IF(INDEX('Cronograma R. Normativo'!$E$5:$E$1000,$N51)="","",INDEX('Cronograma R. Normativo'!$E$5:$E$1000,$N51)))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Normativo'!$Y$5:$Y$1000,$N51),""),IF(INDEX('Cronograma R. Normativo'!$G$5:$G$1000,$N51)="","",INDEX('Cronograma R. Normativo'!$G$5:$G$1000,$N51))))</f>
        <v/>
      </c>
      <c r="G51" s="68">
        <f>IF($N51="","",IF($P51&gt;0,IF(2&lt;=SemanaActual,INDEX('Cronograma R. Normativo'!$Z$5:$Z$1000,$N51),""),IF(INDEX('Cronograma R. Normativo'!$H$5:$H$1000,$N51)="","",INDEX('Cronograma R. Normativo'!$H$5:$H$1000,$N51))))</f>
        <v/>
      </c>
      <c r="H51" s="68">
        <f>IF($N51="","",IF($P51&gt;0,IF(3&lt;=SemanaActual,INDEX('Cronograma R. Normativo'!$AA$5:$AA$1000,$N51),""),IF(INDEX('Cronograma R. Normativo'!$I$5:$I$1000,$N51)="","",INDEX('Cronograma R. Normativo'!$I$5:$I$1000,$N51))))</f>
        <v/>
      </c>
      <c r="I51" s="68">
        <f>IF($N51="","",IF($P51&gt;0,IF(4&lt;=SemanaActual,INDEX('Cronograma R. Normativo'!$AB$5:$AB$1000,$N51),""),IF(INDEX('Cronograma R. Normativo'!$J$5:$J$1000,$N51)="","",INDEX('Cronograma R. Normativo'!$J$5:$J$1000,$N51))))</f>
        <v/>
      </c>
      <c r="J51" s="68">
        <f>IF($N51="","",INDEX('Cronograma R. Normativo'!$K$5:$K$1000,$N51))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Normativo'!$M$5:$M$1000,$N51)&amp;"")</f>
        <v/>
      </c>
      <c r="M51" s="71">
        <f>IF($N51="","",INDEX('Cronograma R. Normativo'!$N$5:$N$1000,$N51)&amp;"")</f>
        <v/>
      </c>
      <c r="N51">
        <f>IFERROR(MATCH(ROW()-4,rOrden_RN,0),"")</f>
        <v/>
      </c>
      <c r="O51">
        <f>IF($N51="","",INDEX('Cronograma R. Normativo'!$S$5:$S$1000,$N51))</f>
        <v/>
      </c>
      <c r="P51">
        <f>IF($N51="","",N(INDEX('Cronograma R. Normativo'!$T$5:$T$1000,$N51)))</f>
        <v/>
      </c>
    </row>
    <row r="52">
      <c r="A52" s="62">
        <f>IF($N52="","",INDEX('Cronograma R. Normativo'!$A$5:$A$1000,$N52))</f>
        <v/>
      </c>
      <c r="B52" s="71">
        <f>IF($N52="","",IF($O52="Sub","      ↳  "&amp;INDEX('Cronograma R. Normativo'!$C$5:$C$1000,$N52),INDEX('Cronograma R. Normativo'!$C$5:$C$1000,$N52)&amp;""))</f>
        <v/>
      </c>
      <c r="C52" s="77">
        <f>IF($N52="","",IF(INDEX('Cronograma R. Normativo'!$D$5:$D$1000,$N52)="","",INDEX('Cronograma R. Normativo'!$D$5:$D$1000,$N52)))</f>
        <v/>
      </c>
      <c r="D52" s="77">
        <f>IF($N52="","",IF(INDEX('Cronograma R. Normativo'!$E$5:$E$1000,$N52)="","",INDEX('Cronograma R. Normativo'!$E$5:$E$1000,$N52)))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Normativo'!$Y$5:$Y$1000,$N52),""),IF(INDEX('Cronograma R. Normativo'!$G$5:$G$1000,$N52)="","",INDEX('Cronograma R. Normativo'!$G$5:$G$1000,$N52))))</f>
        <v/>
      </c>
      <c r="G52" s="68">
        <f>IF($N52="","",IF($P52&gt;0,IF(2&lt;=SemanaActual,INDEX('Cronograma R. Normativo'!$Z$5:$Z$1000,$N52),""),IF(INDEX('Cronograma R. Normativo'!$H$5:$H$1000,$N52)="","",INDEX('Cronograma R. Normativo'!$H$5:$H$1000,$N52))))</f>
        <v/>
      </c>
      <c r="H52" s="68">
        <f>IF($N52="","",IF($P52&gt;0,IF(3&lt;=SemanaActual,INDEX('Cronograma R. Normativo'!$AA$5:$AA$1000,$N52),""),IF(INDEX('Cronograma R. Normativo'!$I$5:$I$1000,$N52)="","",INDEX('Cronograma R. Normativo'!$I$5:$I$1000,$N52))))</f>
        <v/>
      </c>
      <c r="I52" s="68">
        <f>IF($N52="","",IF($P52&gt;0,IF(4&lt;=SemanaActual,INDEX('Cronograma R. Normativo'!$AB$5:$AB$1000,$N52),""),IF(INDEX('Cronograma R. Normativo'!$J$5:$J$1000,$N52)="","",INDEX('Cronograma R. Normativo'!$J$5:$J$1000,$N52))))</f>
        <v/>
      </c>
      <c r="J52" s="68">
        <f>IF($N52="","",INDEX('Cronograma R. Normativo'!$K$5:$K$1000,$N52))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Normativo'!$M$5:$M$1000,$N52)&amp;"")</f>
        <v/>
      </c>
      <c r="M52" s="71">
        <f>IF($N52="","",INDEX('Cronograma R. Normativo'!$N$5:$N$1000,$N52)&amp;"")</f>
        <v/>
      </c>
      <c r="N52">
        <f>IFERROR(MATCH(ROW()-4,rOrden_RN,0),"")</f>
        <v/>
      </c>
      <c r="O52">
        <f>IF($N52="","",INDEX('Cronograma R. Normativo'!$S$5:$S$1000,$N52))</f>
        <v/>
      </c>
      <c r="P52">
        <f>IF($N52="","",N(INDEX('Cronograma R. Normativo'!$T$5:$T$1000,$N52)))</f>
        <v/>
      </c>
    </row>
    <row r="53">
      <c r="A53" s="62">
        <f>IF($N53="","",INDEX('Cronograma R. Normativo'!$A$5:$A$1000,$N53))</f>
        <v/>
      </c>
      <c r="B53" s="71">
        <f>IF($N53="","",IF($O53="Sub","      ↳  "&amp;INDEX('Cronograma R. Normativo'!$C$5:$C$1000,$N53),INDEX('Cronograma R. Normativo'!$C$5:$C$1000,$N53)&amp;""))</f>
        <v/>
      </c>
      <c r="C53" s="77">
        <f>IF($N53="","",IF(INDEX('Cronograma R. Normativo'!$D$5:$D$1000,$N53)="","",INDEX('Cronograma R. Normativo'!$D$5:$D$1000,$N53)))</f>
        <v/>
      </c>
      <c r="D53" s="77">
        <f>IF($N53="","",IF(INDEX('Cronograma R. Normativo'!$E$5:$E$1000,$N53)="","",INDEX('Cronograma R. Normativo'!$E$5:$E$1000,$N53)))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Normativo'!$Y$5:$Y$1000,$N53),""),IF(INDEX('Cronograma R. Normativo'!$G$5:$G$1000,$N53)="","",INDEX('Cronograma R. Normativo'!$G$5:$G$1000,$N53))))</f>
        <v/>
      </c>
      <c r="G53" s="68">
        <f>IF($N53="","",IF($P53&gt;0,IF(2&lt;=SemanaActual,INDEX('Cronograma R. Normativo'!$Z$5:$Z$1000,$N53),""),IF(INDEX('Cronograma R. Normativo'!$H$5:$H$1000,$N53)="","",INDEX('Cronograma R. Normativo'!$H$5:$H$1000,$N53))))</f>
        <v/>
      </c>
      <c r="H53" s="68">
        <f>IF($N53="","",IF($P53&gt;0,IF(3&lt;=SemanaActual,INDEX('Cronograma R. Normativo'!$AA$5:$AA$1000,$N53),""),IF(INDEX('Cronograma R. Normativo'!$I$5:$I$1000,$N53)="","",INDEX('Cronograma R. Normativo'!$I$5:$I$1000,$N53))))</f>
        <v/>
      </c>
      <c r="I53" s="68">
        <f>IF($N53="","",IF($P53&gt;0,IF(4&lt;=SemanaActual,INDEX('Cronograma R. Normativo'!$AB$5:$AB$1000,$N53),""),IF(INDEX('Cronograma R. Normativo'!$J$5:$J$1000,$N53)="","",INDEX('Cronograma R. Normativo'!$J$5:$J$1000,$N53))))</f>
        <v/>
      </c>
      <c r="J53" s="68">
        <f>IF($N53="","",INDEX('Cronograma R. Normativo'!$K$5:$K$1000,$N53))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Normativo'!$M$5:$M$1000,$N53)&amp;"")</f>
        <v/>
      </c>
      <c r="M53" s="71">
        <f>IF($N53="","",INDEX('Cronograma R. Normativo'!$N$5:$N$1000,$N53)&amp;"")</f>
        <v/>
      </c>
      <c r="N53">
        <f>IFERROR(MATCH(ROW()-4,rOrden_RN,0),"")</f>
        <v/>
      </c>
      <c r="O53">
        <f>IF($N53="","",INDEX('Cronograma R. Normativo'!$S$5:$S$1000,$N53))</f>
        <v/>
      </c>
      <c r="P53">
        <f>IF($N53="","",N(INDEX('Cronograma R. Normativo'!$T$5:$T$1000,$N53)))</f>
        <v/>
      </c>
    </row>
    <row r="54">
      <c r="A54" s="62">
        <f>IF($N54="","",INDEX('Cronograma R. Normativo'!$A$5:$A$1000,$N54))</f>
        <v/>
      </c>
      <c r="B54" s="71">
        <f>IF($N54="","",IF($O54="Sub","      ↳  "&amp;INDEX('Cronograma R. Normativo'!$C$5:$C$1000,$N54),INDEX('Cronograma R. Normativo'!$C$5:$C$1000,$N54)&amp;""))</f>
        <v/>
      </c>
      <c r="C54" s="77">
        <f>IF($N54="","",IF(INDEX('Cronograma R. Normativo'!$D$5:$D$1000,$N54)="","",INDEX('Cronograma R. Normativo'!$D$5:$D$1000,$N54)))</f>
        <v/>
      </c>
      <c r="D54" s="77">
        <f>IF($N54="","",IF(INDEX('Cronograma R. Normativo'!$E$5:$E$1000,$N54)="","",INDEX('Cronograma R. Normativo'!$E$5:$E$1000,$N54)))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Normativo'!$Y$5:$Y$1000,$N54),""),IF(INDEX('Cronograma R. Normativo'!$G$5:$G$1000,$N54)="","",INDEX('Cronograma R. Normativo'!$G$5:$G$1000,$N54))))</f>
        <v/>
      </c>
      <c r="G54" s="68">
        <f>IF($N54="","",IF($P54&gt;0,IF(2&lt;=SemanaActual,INDEX('Cronograma R. Normativo'!$Z$5:$Z$1000,$N54),""),IF(INDEX('Cronograma R. Normativo'!$H$5:$H$1000,$N54)="","",INDEX('Cronograma R. Normativo'!$H$5:$H$1000,$N54))))</f>
        <v/>
      </c>
      <c r="H54" s="68">
        <f>IF($N54="","",IF($P54&gt;0,IF(3&lt;=SemanaActual,INDEX('Cronograma R. Normativo'!$AA$5:$AA$1000,$N54),""),IF(INDEX('Cronograma R. Normativo'!$I$5:$I$1000,$N54)="","",INDEX('Cronograma R. Normativo'!$I$5:$I$1000,$N54))))</f>
        <v/>
      </c>
      <c r="I54" s="68">
        <f>IF($N54="","",IF($P54&gt;0,IF(4&lt;=SemanaActual,INDEX('Cronograma R. Normativo'!$AB$5:$AB$1000,$N54),""),IF(INDEX('Cronograma R. Normativo'!$J$5:$J$1000,$N54)="","",INDEX('Cronograma R. Normativo'!$J$5:$J$1000,$N54))))</f>
        <v/>
      </c>
      <c r="J54" s="68">
        <f>IF($N54="","",INDEX('Cronograma R. Normativo'!$K$5:$K$1000,$N54))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Normativo'!$M$5:$M$1000,$N54)&amp;"")</f>
        <v/>
      </c>
      <c r="M54" s="71">
        <f>IF($N54="","",INDEX('Cronograma R. Normativo'!$N$5:$N$1000,$N54)&amp;"")</f>
        <v/>
      </c>
      <c r="N54">
        <f>IFERROR(MATCH(ROW()-4,rOrden_RN,0),"")</f>
        <v/>
      </c>
      <c r="O54">
        <f>IF($N54="","",INDEX('Cronograma R. Normativo'!$S$5:$S$1000,$N54))</f>
        <v/>
      </c>
      <c r="P54">
        <f>IF($N54="","",N(INDEX('Cronograma R. Normativo'!$T$5:$T$1000,$N54)))</f>
        <v/>
      </c>
    </row>
    <row r="55">
      <c r="A55" s="62">
        <f>IF($N55="","",INDEX('Cronograma R. Normativo'!$A$5:$A$1000,$N55))</f>
        <v/>
      </c>
      <c r="B55" s="71">
        <f>IF($N55="","",IF($O55="Sub","      ↳  "&amp;INDEX('Cronograma R. Normativo'!$C$5:$C$1000,$N55),INDEX('Cronograma R. Normativo'!$C$5:$C$1000,$N55)&amp;""))</f>
        <v/>
      </c>
      <c r="C55" s="77">
        <f>IF($N55="","",IF(INDEX('Cronograma R. Normativo'!$D$5:$D$1000,$N55)="","",INDEX('Cronograma R. Normativo'!$D$5:$D$1000,$N55)))</f>
        <v/>
      </c>
      <c r="D55" s="77">
        <f>IF($N55="","",IF(INDEX('Cronograma R. Normativo'!$E$5:$E$1000,$N55)="","",INDEX('Cronograma R. Normativo'!$E$5:$E$1000,$N55)))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Normativo'!$Y$5:$Y$1000,$N55),""),IF(INDEX('Cronograma R. Normativo'!$G$5:$G$1000,$N55)="","",INDEX('Cronograma R. Normativo'!$G$5:$G$1000,$N55))))</f>
        <v/>
      </c>
      <c r="G55" s="68">
        <f>IF($N55="","",IF($P55&gt;0,IF(2&lt;=SemanaActual,INDEX('Cronograma R. Normativo'!$Z$5:$Z$1000,$N55),""),IF(INDEX('Cronograma R. Normativo'!$H$5:$H$1000,$N55)="","",INDEX('Cronograma R. Normativo'!$H$5:$H$1000,$N55))))</f>
        <v/>
      </c>
      <c r="H55" s="68">
        <f>IF($N55="","",IF($P55&gt;0,IF(3&lt;=SemanaActual,INDEX('Cronograma R. Normativo'!$AA$5:$AA$1000,$N55),""),IF(INDEX('Cronograma R. Normativo'!$I$5:$I$1000,$N55)="","",INDEX('Cronograma R. Normativo'!$I$5:$I$1000,$N55))))</f>
        <v/>
      </c>
      <c r="I55" s="68">
        <f>IF($N55="","",IF($P55&gt;0,IF(4&lt;=SemanaActual,INDEX('Cronograma R. Normativo'!$AB$5:$AB$1000,$N55),""),IF(INDEX('Cronograma R. Normativo'!$J$5:$J$1000,$N55)="","",INDEX('Cronograma R. Normativo'!$J$5:$J$1000,$N55))))</f>
        <v/>
      </c>
      <c r="J55" s="68">
        <f>IF($N55="","",INDEX('Cronograma R. Normativo'!$K$5:$K$1000,$N55))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Normativo'!$M$5:$M$1000,$N55)&amp;"")</f>
        <v/>
      </c>
      <c r="M55" s="71">
        <f>IF($N55="","",INDEX('Cronograma R. Normativo'!$N$5:$N$1000,$N55)&amp;"")</f>
        <v/>
      </c>
      <c r="N55">
        <f>IFERROR(MATCH(ROW()-4,rOrden_RN,0),"")</f>
        <v/>
      </c>
      <c r="O55">
        <f>IF($N55="","",INDEX('Cronograma R. Normativo'!$S$5:$S$1000,$N55))</f>
        <v/>
      </c>
      <c r="P55">
        <f>IF($N55="","",N(INDEX('Cronograma R. Normativo'!$T$5:$T$1000,$N55)))</f>
        <v/>
      </c>
    </row>
    <row r="56">
      <c r="A56" s="62">
        <f>IF($N56="","",INDEX('Cronograma R. Normativo'!$A$5:$A$1000,$N56))</f>
        <v/>
      </c>
      <c r="B56" s="71">
        <f>IF($N56="","",IF($O56="Sub","      ↳  "&amp;INDEX('Cronograma R. Normativo'!$C$5:$C$1000,$N56),INDEX('Cronograma R. Normativo'!$C$5:$C$1000,$N56)&amp;""))</f>
        <v/>
      </c>
      <c r="C56" s="77">
        <f>IF($N56="","",IF(INDEX('Cronograma R. Normativo'!$D$5:$D$1000,$N56)="","",INDEX('Cronograma R. Normativo'!$D$5:$D$1000,$N56)))</f>
        <v/>
      </c>
      <c r="D56" s="77">
        <f>IF($N56="","",IF(INDEX('Cronograma R. Normativo'!$E$5:$E$1000,$N56)="","",INDEX('Cronograma R. Normativo'!$E$5:$E$1000,$N56)))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Normativo'!$Y$5:$Y$1000,$N56),""),IF(INDEX('Cronograma R. Normativo'!$G$5:$G$1000,$N56)="","",INDEX('Cronograma R. Normativo'!$G$5:$G$1000,$N56))))</f>
        <v/>
      </c>
      <c r="G56" s="68">
        <f>IF($N56="","",IF($P56&gt;0,IF(2&lt;=SemanaActual,INDEX('Cronograma R. Normativo'!$Z$5:$Z$1000,$N56),""),IF(INDEX('Cronograma R. Normativo'!$H$5:$H$1000,$N56)="","",INDEX('Cronograma R. Normativo'!$H$5:$H$1000,$N56))))</f>
        <v/>
      </c>
      <c r="H56" s="68">
        <f>IF($N56="","",IF($P56&gt;0,IF(3&lt;=SemanaActual,INDEX('Cronograma R. Normativo'!$AA$5:$AA$1000,$N56),""),IF(INDEX('Cronograma R. Normativo'!$I$5:$I$1000,$N56)="","",INDEX('Cronograma R. Normativo'!$I$5:$I$1000,$N56))))</f>
        <v/>
      </c>
      <c r="I56" s="68">
        <f>IF($N56="","",IF($P56&gt;0,IF(4&lt;=SemanaActual,INDEX('Cronograma R. Normativo'!$AB$5:$AB$1000,$N56),""),IF(INDEX('Cronograma R. Normativo'!$J$5:$J$1000,$N56)="","",INDEX('Cronograma R. Normativo'!$J$5:$J$1000,$N56))))</f>
        <v/>
      </c>
      <c r="J56" s="68">
        <f>IF($N56="","",INDEX('Cronograma R. Normativo'!$K$5:$K$1000,$N56))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Normativo'!$M$5:$M$1000,$N56)&amp;"")</f>
        <v/>
      </c>
      <c r="M56" s="71">
        <f>IF($N56="","",INDEX('Cronograma R. Normativo'!$N$5:$N$1000,$N56)&amp;"")</f>
        <v/>
      </c>
      <c r="N56">
        <f>IFERROR(MATCH(ROW()-4,rOrden_RN,0),"")</f>
        <v/>
      </c>
      <c r="O56">
        <f>IF($N56="","",INDEX('Cronograma R. Normativo'!$S$5:$S$1000,$N56))</f>
        <v/>
      </c>
      <c r="P56">
        <f>IF($N56="","",N(INDEX('Cronograma R. Normativo'!$T$5:$T$1000,$N56)))</f>
        <v/>
      </c>
    </row>
    <row r="57">
      <c r="A57" s="62">
        <f>IF($N57="","",INDEX('Cronograma R. Normativo'!$A$5:$A$1000,$N57))</f>
        <v/>
      </c>
      <c r="B57" s="71">
        <f>IF($N57="","",IF($O57="Sub","      ↳  "&amp;INDEX('Cronograma R. Normativo'!$C$5:$C$1000,$N57),INDEX('Cronograma R. Normativo'!$C$5:$C$1000,$N57)&amp;""))</f>
        <v/>
      </c>
      <c r="C57" s="77">
        <f>IF($N57="","",IF(INDEX('Cronograma R. Normativo'!$D$5:$D$1000,$N57)="","",INDEX('Cronograma R. Normativo'!$D$5:$D$1000,$N57)))</f>
        <v/>
      </c>
      <c r="D57" s="77">
        <f>IF($N57="","",IF(INDEX('Cronograma R. Normativo'!$E$5:$E$1000,$N57)="","",INDEX('Cronograma R. Normativo'!$E$5:$E$1000,$N57)))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Normativo'!$Y$5:$Y$1000,$N57),""),IF(INDEX('Cronograma R. Normativo'!$G$5:$G$1000,$N57)="","",INDEX('Cronograma R. Normativo'!$G$5:$G$1000,$N57))))</f>
        <v/>
      </c>
      <c r="G57" s="68">
        <f>IF($N57="","",IF($P57&gt;0,IF(2&lt;=SemanaActual,INDEX('Cronograma R. Normativo'!$Z$5:$Z$1000,$N57),""),IF(INDEX('Cronograma R. Normativo'!$H$5:$H$1000,$N57)="","",INDEX('Cronograma R. Normativo'!$H$5:$H$1000,$N57))))</f>
        <v/>
      </c>
      <c r="H57" s="68">
        <f>IF($N57="","",IF($P57&gt;0,IF(3&lt;=SemanaActual,INDEX('Cronograma R. Normativo'!$AA$5:$AA$1000,$N57),""),IF(INDEX('Cronograma R. Normativo'!$I$5:$I$1000,$N57)="","",INDEX('Cronograma R. Normativo'!$I$5:$I$1000,$N57))))</f>
        <v/>
      </c>
      <c r="I57" s="68">
        <f>IF($N57="","",IF($P57&gt;0,IF(4&lt;=SemanaActual,INDEX('Cronograma R. Normativo'!$AB$5:$AB$1000,$N57),""),IF(INDEX('Cronograma R. Normativo'!$J$5:$J$1000,$N57)="","",INDEX('Cronograma R. Normativo'!$J$5:$J$1000,$N57))))</f>
        <v/>
      </c>
      <c r="J57" s="68">
        <f>IF($N57="","",INDEX('Cronograma R. Normativo'!$K$5:$K$1000,$N57))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Normativo'!$M$5:$M$1000,$N57)&amp;"")</f>
        <v/>
      </c>
      <c r="M57" s="71">
        <f>IF($N57="","",INDEX('Cronograma R. Normativo'!$N$5:$N$1000,$N57)&amp;"")</f>
        <v/>
      </c>
      <c r="N57">
        <f>IFERROR(MATCH(ROW()-4,rOrden_RN,0),"")</f>
        <v/>
      </c>
      <c r="O57">
        <f>IF($N57="","",INDEX('Cronograma R. Normativo'!$S$5:$S$1000,$N57))</f>
        <v/>
      </c>
      <c r="P57">
        <f>IF($N57="","",N(INDEX('Cronograma R. Normativo'!$T$5:$T$1000,$N57)))</f>
        <v/>
      </c>
    </row>
    <row r="58">
      <c r="A58" s="62">
        <f>IF($N58="","",INDEX('Cronograma R. Normativo'!$A$5:$A$1000,$N58))</f>
        <v/>
      </c>
      <c r="B58" s="71">
        <f>IF($N58="","",IF($O58="Sub","      ↳  "&amp;INDEX('Cronograma R. Normativo'!$C$5:$C$1000,$N58),INDEX('Cronograma R. Normativo'!$C$5:$C$1000,$N58)&amp;""))</f>
        <v/>
      </c>
      <c r="C58" s="77">
        <f>IF($N58="","",IF(INDEX('Cronograma R. Normativo'!$D$5:$D$1000,$N58)="","",INDEX('Cronograma R. Normativo'!$D$5:$D$1000,$N58)))</f>
        <v/>
      </c>
      <c r="D58" s="77">
        <f>IF($N58="","",IF(INDEX('Cronograma R. Normativo'!$E$5:$E$1000,$N58)="","",INDEX('Cronograma R. Normativo'!$E$5:$E$1000,$N58)))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Normativo'!$Y$5:$Y$1000,$N58),""),IF(INDEX('Cronograma R. Normativo'!$G$5:$G$1000,$N58)="","",INDEX('Cronograma R. Normativo'!$G$5:$G$1000,$N58))))</f>
        <v/>
      </c>
      <c r="G58" s="68">
        <f>IF($N58="","",IF($P58&gt;0,IF(2&lt;=SemanaActual,INDEX('Cronograma R. Normativo'!$Z$5:$Z$1000,$N58),""),IF(INDEX('Cronograma R. Normativo'!$H$5:$H$1000,$N58)="","",INDEX('Cronograma R. Normativo'!$H$5:$H$1000,$N58))))</f>
        <v/>
      </c>
      <c r="H58" s="68">
        <f>IF($N58="","",IF($P58&gt;0,IF(3&lt;=SemanaActual,INDEX('Cronograma R. Normativo'!$AA$5:$AA$1000,$N58),""),IF(INDEX('Cronograma R. Normativo'!$I$5:$I$1000,$N58)="","",INDEX('Cronograma R. Normativo'!$I$5:$I$1000,$N58))))</f>
        <v/>
      </c>
      <c r="I58" s="68">
        <f>IF($N58="","",IF($P58&gt;0,IF(4&lt;=SemanaActual,INDEX('Cronograma R. Normativo'!$AB$5:$AB$1000,$N58),""),IF(INDEX('Cronograma R. Normativo'!$J$5:$J$1000,$N58)="","",INDEX('Cronograma R. Normativo'!$J$5:$J$1000,$N58))))</f>
        <v/>
      </c>
      <c r="J58" s="68">
        <f>IF($N58="","",INDEX('Cronograma R. Normativo'!$K$5:$K$1000,$N58))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Normativo'!$M$5:$M$1000,$N58)&amp;"")</f>
        <v/>
      </c>
      <c r="M58" s="71">
        <f>IF($N58="","",INDEX('Cronograma R. Normativo'!$N$5:$N$1000,$N58)&amp;"")</f>
        <v/>
      </c>
      <c r="N58">
        <f>IFERROR(MATCH(ROW()-4,rOrden_RN,0),"")</f>
        <v/>
      </c>
      <c r="O58">
        <f>IF($N58="","",INDEX('Cronograma R. Normativo'!$S$5:$S$1000,$N58))</f>
        <v/>
      </c>
      <c r="P58">
        <f>IF($N58="","",N(INDEX('Cronograma R. Normativo'!$T$5:$T$1000,$N58)))</f>
        <v/>
      </c>
    </row>
    <row r="59">
      <c r="A59" s="62">
        <f>IF($N59="","",INDEX('Cronograma R. Normativo'!$A$5:$A$1000,$N59))</f>
        <v/>
      </c>
      <c r="B59" s="71">
        <f>IF($N59="","",IF($O59="Sub","      ↳  "&amp;INDEX('Cronograma R. Normativo'!$C$5:$C$1000,$N59),INDEX('Cronograma R. Normativo'!$C$5:$C$1000,$N59)&amp;""))</f>
        <v/>
      </c>
      <c r="C59" s="77">
        <f>IF($N59="","",IF(INDEX('Cronograma R. Normativo'!$D$5:$D$1000,$N59)="","",INDEX('Cronograma R. Normativo'!$D$5:$D$1000,$N59)))</f>
        <v/>
      </c>
      <c r="D59" s="77">
        <f>IF($N59="","",IF(INDEX('Cronograma R. Normativo'!$E$5:$E$1000,$N59)="","",INDEX('Cronograma R. Normativo'!$E$5:$E$1000,$N59)))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Normativo'!$Y$5:$Y$1000,$N59),""),IF(INDEX('Cronograma R. Normativo'!$G$5:$G$1000,$N59)="","",INDEX('Cronograma R. Normativo'!$G$5:$G$1000,$N59))))</f>
        <v/>
      </c>
      <c r="G59" s="68">
        <f>IF($N59="","",IF($P59&gt;0,IF(2&lt;=SemanaActual,INDEX('Cronograma R. Normativo'!$Z$5:$Z$1000,$N59),""),IF(INDEX('Cronograma R. Normativo'!$H$5:$H$1000,$N59)="","",INDEX('Cronograma R. Normativo'!$H$5:$H$1000,$N59))))</f>
        <v/>
      </c>
      <c r="H59" s="68">
        <f>IF($N59="","",IF($P59&gt;0,IF(3&lt;=SemanaActual,INDEX('Cronograma R. Normativo'!$AA$5:$AA$1000,$N59),""),IF(INDEX('Cronograma R. Normativo'!$I$5:$I$1000,$N59)="","",INDEX('Cronograma R. Normativo'!$I$5:$I$1000,$N59))))</f>
        <v/>
      </c>
      <c r="I59" s="68">
        <f>IF($N59="","",IF($P59&gt;0,IF(4&lt;=SemanaActual,INDEX('Cronograma R. Normativo'!$AB$5:$AB$1000,$N59),""),IF(INDEX('Cronograma R. Normativo'!$J$5:$J$1000,$N59)="","",INDEX('Cronograma R. Normativo'!$J$5:$J$1000,$N59))))</f>
        <v/>
      </c>
      <c r="J59" s="68">
        <f>IF($N59="","",INDEX('Cronograma R. Normativo'!$K$5:$K$1000,$N59))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Normativo'!$M$5:$M$1000,$N59)&amp;"")</f>
        <v/>
      </c>
      <c r="M59" s="71">
        <f>IF($N59="","",INDEX('Cronograma R. Normativo'!$N$5:$N$1000,$N59)&amp;"")</f>
        <v/>
      </c>
      <c r="N59">
        <f>IFERROR(MATCH(ROW()-4,rOrden_RN,0),"")</f>
        <v/>
      </c>
      <c r="O59">
        <f>IF($N59="","",INDEX('Cronograma R. Normativo'!$S$5:$S$1000,$N59))</f>
        <v/>
      </c>
      <c r="P59">
        <f>IF($N59="","",N(INDEX('Cronograma R. Normativo'!$T$5:$T$1000,$N59)))</f>
        <v/>
      </c>
    </row>
    <row r="60">
      <c r="A60" s="62">
        <f>IF($N60="","",INDEX('Cronograma R. Normativo'!$A$5:$A$1000,$N60))</f>
        <v/>
      </c>
      <c r="B60" s="71">
        <f>IF($N60="","",IF($O60="Sub","      ↳  "&amp;INDEX('Cronograma R. Normativo'!$C$5:$C$1000,$N60),INDEX('Cronograma R. Normativo'!$C$5:$C$1000,$N60)&amp;""))</f>
        <v/>
      </c>
      <c r="C60" s="77">
        <f>IF($N60="","",IF(INDEX('Cronograma R. Normativo'!$D$5:$D$1000,$N60)="","",INDEX('Cronograma R. Normativo'!$D$5:$D$1000,$N60)))</f>
        <v/>
      </c>
      <c r="D60" s="77">
        <f>IF($N60="","",IF(INDEX('Cronograma R. Normativo'!$E$5:$E$1000,$N60)="","",INDEX('Cronograma R. Normativo'!$E$5:$E$1000,$N60)))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Normativo'!$Y$5:$Y$1000,$N60),""),IF(INDEX('Cronograma R. Normativo'!$G$5:$G$1000,$N60)="","",INDEX('Cronograma R. Normativo'!$G$5:$G$1000,$N60))))</f>
        <v/>
      </c>
      <c r="G60" s="68">
        <f>IF($N60="","",IF($P60&gt;0,IF(2&lt;=SemanaActual,INDEX('Cronograma R. Normativo'!$Z$5:$Z$1000,$N60),""),IF(INDEX('Cronograma R. Normativo'!$H$5:$H$1000,$N60)="","",INDEX('Cronograma R. Normativo'!$H$5:$H$1000,$N60))))</f>
        <v/>
      </c>
      <c r="H60" s="68">
        <f>IF($N60="","",IF($P60&gt;0,IF(3&lt;=SemanaActual,INDEX('Cronograma R. Normativo'!$AA$5:$AA$1000,$N60),""),IF(INDEX('Cronograma R. Normativo'!$I$5:$I$1000,$N60)="","",INDEX('Cronograma R. Normativo'!$I$5:$I$1000,$N60))))</f>
        <v/>
      </c>
      <c r="I60" s="68">
        <f>IF($N60="","",IF($P60&gt;0,IF(4&lt;=SemanaActual,INDEX('Cronograma R. Normativo'!$AB$5:$AB$1000,$N60),""),IF(INDEX('Cronograma R. Normativo'!$J$5:$J$1000,$N60)="","",INDEX('Cronograma R. Normativo'!$J$5:$J$1000,$N60))))</f>
        <v/>
      </c>
      <c r="J60" s="68">
        <f>IF($N60="","",INDEX('Cronograma R. Normativo'!$K$5:$K$1000,$N60))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Normativo'!$M$5:$M$1000,$N60)&amp;"")</f>
        <v/>
      </c>
      <c r="M60" s="71">
        <f>IF($N60="","",INDEX('Cronograma R. Normativo'!$N$5:$N$1000,$N60)&amp;"")</f>
        <v/>
      </c>
      <c r="N60">
        <f>IFERROR(MATCH(ROW()-4,rOrden_RN,0),"")</f>
        <v/>
      </c>
      <c r="O60">
        <f>IF($N60="","",INDEX('Cronograma R. Normativo'!$S$5:$S$1000,$N60))</f>
        <v/>
      </c>
      <c r="P60">
        <f>IF($N60="","",N(INDEX('Cronograma R. Normativo'!$T$5:$T$1000,$N60)))</f>
        <v/>
      </c>
    </row>
    <row r="61">
      <c r="A61" s="62">
        <f>IF($N61="","",INDEX('Cronograma R. Normativo'!$A$5:$A$1000,$N61))</f>
        <v/>
      </c>
      <c r="B61" s="71">
        <f>IF($N61="","",IF($O61="Sub","      ↳  "&amp;INDEX('Cronograma R. Normativo'!$C$5:$C$1000,$N61),INDEX('Cronograma R. Normativo'!$C$5:$C$1000,$N61)&amp;""))</f>
        <v/>
      </c>
      <c r="C61" s="77">
        <f>IF($N61="","",IF(INDEX('Cronograma R. Normativo'!$D$5:$D$1000,$N61)="","",INDEX('Cronograma R. Normativo'!$D$5:$D$1000,$N61)))</f>
        <v/>
      </c>
      <c r="D61" s="77">
        <f>IF($N61="","",IF(INDEX('Cronograma R. Normativo'!$E$5:$E$1000,$N61)="","",INDEX('Cronograma R. Normativo'!$E$5:$E$1000,$N61)))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Normativo'!$Y$5:$Y$1000,$N61),""),IF(INDEX('Cronograma R. Normativo'!$G$5:$G$1000,$N61)="","",INDEX('Cronograma R. Normativo'!$G$5:$G$1000,$N61))))</f>
        <v/>
      </c>
      <c r="G61" s="68">
        <f>IF($N61="","",IF($P61&gt;0,IF(2&lt;=SemanaActual,INDEX('Cronograma R. Normativo'!$Z$5:$Z$1000,$N61),""),IF(INDEX('Cronograma R. Normativo'!$H$5:$H$1000,$N61)="","",INDEX('Cronograma R. Normativo'!$H$5:$H$1000,$N61))))</f>
        <v/>
      </c>
      <c r="H61" s="68">
        <f>IF($N61="","",IF($P61&gt;0,IF(3&lt;=SemanaActual,INDEX('Cronograma R. Normativo'!$AA$5:$AA$1000,$N61),""),IF(INDEX('Cronograma R. Normativo'!$I$5:$I$1000,$N61)="","",INDEX('Cronograma R. Normativo'!$I$5:$I$1000,$N61))))</f>
        <v/>
      </c>
      <c r="I61" s="68">
        <f>IF($N61="","",IF($P61&gt;0,IF(4&lt;=SemanaActual,INDEX('Cronograma R. Normativo'!$AB$5:$AB$1000,$N61),""),IF(INDEX('Cronograma R. Normativo'!$J$5:$J$1000,$N61)="","",INDEX('Cronograma R. Normativo'!$J$5:$J$1000,$N61))))</f>
        <v/>
      </c>
      <c r="J61" s="68">
        <f>IF($N61="","",INDEX('Cronograma R. Normativo'!$K$5:$K$1000,$N61))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Normativo'!$M$5:$M$1000,$N61)&amp;"")</f>
        <v/>
      </c>
      <c r="M61" s="71">
        <f>IF($N61="","",INDEX('Cronograma R. Normativo'!$N$5:$N$1000,$N61)&amp;"")</f>
        <v/>
      </c>
      <c r="N61">
        <f>IFERROR(MATCH(ROW()-4,rOrden_RN,0),"")</f>
        <v/>
      </c>
      <c r="O61">
        <f>IF($N61="","",INDEX('Cronograma R. Normativo'!$S$5:$S$1000,$N61))</f>
        <v/>
      </c>
      <c r="P61">
        <f>IF($N61="","",N(INDEX('Cronograma R. Normativo'!$T$5:$T$1000,$N61)))</f>
        <v/>
      </c>
    </row>
    <row r="62">
      <c r="A62" s="62">
        <f>IF($N62="","",INDEX('Cronograma R. Normativo'!$A$5:$A$1000,$N62))</f>
        <v/>
      </c>
      <c r="B62" s="71">
        <f>IF($N62="","",IF($O62="Sub","      ↳  "&amp;INDEX('Cronograma R. Normativo'!$C$5:$C$1000,$N62),INDEX('Cronograma R. Normativo'!$C$5:$C$1000,$N62)&amp;""))</f>
        <v/>
      </c>
      <c r="C62" s="77">
        <f>IF($N62="","",IF(INDEX('Cronograma R. Normativo'!$D$5:$D$1000,$N62)="","",INDEX('Cronograma R. Normativo'!$D$5:$D$1000,$N62)))</f>
        <v/>
      </c>
      <c r="D62" s="77">
        <f>IF($N62="","",IF(INDEX('Cronograma R. Normativo'!$E$5:$E$1000,$N62)="","",INDEX('Cronograma R. Normativo'!$E$5:$E$1000,$N62)))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Normativo'!$Y$5:$Y$1000,$N62),""),IF(INDEX('Cronograma R. Normativo'!$G$5:$G$1000,$N62)="","",INDEX('Cronograma R. Normativo'!$G$5:$G$1000,$N62))))</f>
        <v/>
      </c>
      <c r="G62" s="68">
        <f>IF($N62="","",IF($P62&gt;0,IF(2&lt;=SemanaActual,INDEX('Cronograma R. Normativo'!$Z$5:$Z$1000,$N62),""),IF(INDEX('Cronograma R. Normativo'!$H$5:$H$1000,$N62)="","",INDEX('Cronograma R. Normativo'!$H$5:$H$1000,$N62))))</f>
        <v/>
      </c>
      <c r="H62" s="68">
        <f>IF($N62="","",IF($P62&gt;0,IF(3&lt;=SemanaActual,INDEX('Cronograma R. Normativo'!$AA$5:$AA$1000,$N62),""),IF(INDEX('Cronograma R. Normativo'!$I$5:$I$1000,$N62)="","",INDEX('Cronograma R. Normativo'!$I$5:$I$1000,$N62))))</f>
        <v/>
      </c>
      <c r="I62" s="68">
        <f>IF($N62="","",IF($P62&gt;0,IF(4&lt;=SemanaActual,INDEX('Cronograma R. Normativo'!$AB$5:$AB$1000,$N62),""),IF(INDEX('Cronograma R. Normativo'!$J$5:$J$1000,$N62)="","",INDEX('Cronograma R. Normativo'!$J$5:$J$1000,$N62))))</f>
        <v/>
      </c>
      <c r="J62" s="68">
        <f>IF($N62="","",INDEX('Cronograma R. Normativo'!$K$5:$K$1000,$N62))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Normativo'!$M$5:$M$1000,$N62)&amp;"")</f>
        <v/>
      </c>
      <c r="M62" s="71">
        <f>IF($N62="","",INDEX('Cronograma R. Normativo'!$N$5:$N$1000,$N62)&amp;"")</f>
        <v/>
      </c>
      <c r="N62">
        <f>IFERROR(MATCH(ROW()-4,rOrden_RN,0),"")</f>
        <v/>
      </c>
      <c r="O62">
        <f>IF($N62="","",INDEX('Cronograma R. Normativo'!$S$5:$S$1000,$N62))</f>
        <v/>
      </c>
      <c r="P62">
        <f>IF($N62="","",N(INDEX('Cronograma R. Normativo'!$T$5:$T$1000,$N62)))</f>
        <v/>
      </c>
    </row>
    <row r="63">
      <c r="A63" s="62">
        <f>IF($N63="","",INDEX('Cronograma R. Normativo'!$A$5:$A$1000,$N63))</f>
        <v/>
      </c>
      <c r="B63" s="71">
        <f>IF($N63="","",IF($O63="Sub","      ↳  "&amp;INDEX('Cronograma R. Normativo'!$C$5:$C$1000,$N63),INDEX('Cronograma R. Normativo'!$C$5:$C$1000,$N63)&amp;""))</f>
        <v/>
      </c>
      <c r="C63" s="77">
        <f>IF($N63="","",IF(INDEX('Cronograma R. Normativo'!$D$5:$D$1000,$N63)="","",INDEX('Cronograma R. Normativo'!$D$5:$D$1000,$N63)))</f>
        <v/>
      </c>
      <c r="D63" s="77">
        <f>IF($N63="","",IF(INDEX('Cronograma R. Normativo'!$E$5:$E$1000,$N63)="","",INDEX('Cronograma R. Normativo'!$E$5:$E$1000,$N63)))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Normativo'!$Y$5:$Y$1000,$N63),""),IF(INDEX('Cronograma R. Normativo'!$G$5:$G$1000,$N63)="","",INDEX('Cronograma R. Normativo'!$G$5:$G$1000,$N63))))</f>
        <v/>
      </c>
      <c r="G63" s="68">
        <f>IF($N63="","",IF($P63&gt;0,IF(2&lt;=SemanaActual,INDEX('Cronograma R. Normativo'!$Z$5:$Z$1000,$N63),""),IF(INDEX('Cronograma R. Normativo'!$H$5:$H$1000,$N63)="","",INDEX('Cronograma R. Normativo'!$H$5:$H$1000,$N63))))</f>
        <v/>
      </c>
      <c r="H63" s="68">
        <f>IF($N63="","",IF($P63&gt;0,IF(3&lt;=SemanaActual,INDEX('Cronograma R. Normativo'!$AA$5:$AA$1000,$N63),""),IF(INDEX('Cronograma R. Normativo'!$I$5:$I$1000,$N63)="","",INDEX('Cronograma R. Normativo'!$I$5:$I$1000,$N63))))</f>
        <v/>
      </c>
      <c r="I63" s="68">
        <f>IF($N63="","",IF($P63&gt;0,IF(4&lt;=SemanaActual,INDEX('Cronograma R. Normativo'!$AB$5:$AB$1000,$N63),""),IF(INDEX('Cronograma R. Normativo'!$J$5:$J$1000,$N63)="","",INDEX('Cronograma R. Normativo'!$J$5:$J$1000,$N63))))</f>
        <v/>
      </c>
      <c r="J63" s="68">
        <f>IF($N63="","",INDEX('Cronograma R. Normativo'!$K$5:$K$1000,$N63))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Normativo'!$M$5:$M$1000,$N63)&amp;"")</f>
        <v/>
      </c>
      <c r="M63" s="71">
        <f>IF($N63="","",INDEX('Cronograma R. Normativo'!$N$5:$N$1000,$N63)&amp;"")</f>
        <v/>
      </c>
      <c r="N63">
        <f>IFERROR(MATCH(ROW()-4,rOrden_RN,0),"")</f>
        <v/>
      </c>
      <c r="O63">
        <f>IF($N63="","",INDEX('Cronograma R. Normativo'!$S$5:$S$1000,$N63))</f>
        <v/>
      </c>
      <c r="P63">
        <f>IF($N63="","",N(INDEX('Cronograma R. Normativo'!$T$5:$T$1000,$N63)))</f>
        <v/>
      </c>
    </row>
    <row r="64">
      <c r="A64" s="62">
        <f>IF($N64="","",INDEX('Cronograma R. Normativo'!$A$5:$A$1000,$N64))</f>
        <v/>
      </c>
      <c r="B64" s="71">
        <f>IF($N64="","",IF($O64="Sub","      ↳  "&amp;INDEX('Cronograma R. Normativo'!$C$5:$C$1000,$N64),INDEX('Cronograma R. Normativo'!$C$5:$C$1000,$N64)&amp;""))</f>
        <v/>
      </c>
      <c r="C64" s="77">
        <f>IF($N64="","",IF(INDEX('Cronograma R. Normativo'!$D$5:$D$1000,$N64)="","",INDEX('Cronograma R. Normativo'!$D$5:$D$1000,$N64)))</f>
        <v/>
      </c>
      <c r="D64" s="77">
        <f>IF($N64="","",IF(INDEX('Cronograma R. Normativo'!$E$5:$E$1000,$N64)="","",INDEX('Cronograma R. Normativo'!$E$5:$E$1000,$N64)))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Normativo'!$Y$5:$Y$1000,$N64),""),IF(INDEX('Cronograma R. Normativo'!$G$5:$G$1000,$N64)="","",INDEX('Cronograma R. Normativo'!$G$5:$G$1000,$N64))))</f>
        <v/>
      </c>
      <c r="G64" s="68">
        <f>IF($N64="","",IF($P64&gt;0,IF(2&lt;=SemanaActual,INDEX('Cronograma R. Normativo'!$Z$5:$Z$1000,$N64),""),IF(INDEX('Cronograma R. Normativo'!$H$5:$H$1000,$N64)="","",INDEX('Cronograma R. Normativo'!$H$5:$H$1000,$N64))))</f>
        <v/>
      </c>
      <c r="H64" s="68">
        <f>IF($N64="","",IF($P64&gt;0,IF(3&lt;=SemanaActual,INDEX('Cronograma R. Normativo'!$AA$5:$AA$1000,$N64),""),IF(INDEX('Cronograma R. Normativo'!$I$5:$I$1000,$N64)="","",INDEX('Cronograma R. Normativo'!$I$5:$I$1000,$N64))))</f>
        <v/>
      </c>
      <c r="I64" s="68">
        <f>IF($N64="","",IF($P64&gt;0,IF(4&lt;=SemanaActual,INDEX('Cronograma R. Normativo'!$AB$5:$AB$1000,$N64),""),IF(INDEX('Cronograma R. Normativo'!$J$5:$J$1000,$N64)="","",INDEX('Cronograma R. Normativo'!$J$5:$J$1000,$N64))))</f>
        <v/>
      </c>
      <c r="J64" s="68">
        <f>IF($N64="","",INDEX('Cronograma R. Normativo'!$K$5:$K$1000,$N64))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Normativo'!$M$5:$M$1000,$N64)&amp;"")</f>
        <v/>
      </c>
      <c r="M64" s="71">
        <f>IF($N64="","",INDEX('Cronograma R. Normativo'!$N$5:$N$1000,$N64)&amp;"")</f>
        <v/>
      </c>
      <c r="N64">
        <f>IFERROR(MATCH(ROW()-4,rOrden_RN,0),"")</f>
        <v/>
      </c>
      <c r="O64">
        <f>IF($N64="","",INDEX('Cronograma R. Normativo'!$S$5:$S$1000,$N64))</f>
        <v/>
      </c>
      <c r="P64">
        <f>IF($N64="","",N(INDEX('Cronograma R. Normativo'!$T$5:$T$1000,$N64)))</f>
        <v/>
      </c>
    </row>
    <row r="65">
      <c r="A65" s="62">
        <f>IF($N65="","",INDEX('Cronograma R. Normativo'!$A$5:$A$1000,$N65))</f>
        <v/>
      </c>
      <c r="B65" s="71">
        <f>IF($N65="","",IF($O65="Sub","      ↳  "&amp;INDEX('Cronograma R. Normativo'!$C$5:$C$1000,$N65),INDEX('Cronograma R. Normativo'!$C$5:$C$1000,$N65)&amp;""))</f>
        <v/>
      </c>
      <c r="C65" s="77">
        <f>IF($N65="","",IF(INDEX('Cronograma R. Normativo'!$D$5:$D$1000,$N65)="","",INDEX('Cronograma R. Normativo'!$D$5:$D$1000,$N65)))</f>
        <v/>
      </c>
      <c r="D65" s="77">
        <f>IF($N65="","",IF(INDEX('Cronograma R. Normativo'!$E$5:$E$1000,$N65)="","",INDEX('Cronograma R. Normativo'!$E$5:$E$1000,$N65)))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Normativo'!$Y$5:$Y$1000,$N65),""),IF(INDEX('Cronograma R. Normativo'!$G$5:$G$1000,$N65)="","",INDEX('Cronograma R. Normativo'!$G$5:$G$1000,$N65))))</f>
        <v/>
      </c>
      <c r="G65" s="68">
        <f>IF($N65="","",IF($P65&gt;0,IF(2&lt;=SemanaActual,INDEX('Cronograma R. Normativo'!$Z$5:$Z$1000,$N65),""),IF(INDEX('Cronograma R. Normativo'!$H$5:$H$1000,$N65)="","",INDEX('Cronograma R. Normativo'!$H$5:$H$1000,$N65))))</f>
        <v/>
      </c>
      <c r="H65" s="68">
        <f>IF($N65="","",IF($P65&gt;0,IF(3&lt;=SemanaActual,INDEX('Cronograma R. Normativo'!$AA$5:$AA$1000,$N65),""),IF(INDEX('Cronograma R. Normativo'!$I$5:$I$1000,$N65)="","",INDEX('Cronograma R. Normativo'!$I$5:$I$1000,$N65))))</f>
        <v/>
      </c>
      <c r="I65" s="68">
        <f>IF($N65="","",IF($P65&gt;0,IF(4&lt;=SemanaActual,INDEX('Cronograma R. Normativo'!$AB$5:$AB$1000,$N65),""),IF(INDEX('Cronograma R. Normativo'!$J$5:$J$1000,$N65)="","",INDEX('Cronograma R. Normativo'!$J$5:$J$1000,$N65))))</f>
        <v/>
      </c>
      <c r="J65" s="68">
        <f>IF($N65="","",INDEX('Cronograma R. Normativo'!$K$5:$K$1000,$N65))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Normativo'!$M$5:$M$1000,$N65)&amp;"")</f>
        <v/>
      </c>
      <c r="M65" s="71">
        <f>IF($N65="","",INDEX('Cronograma R. Normativo'!$N$5:$N$1000,$N65)&amp;"")</f>
        <v/>
      </c>
      <c r="N65">
        <f>IFERROR(MATCH(ROW()-4,rOrden_RN,0),"")</f>
        <v/>
      </c>
      <c r="O65">
        <f>IF($N65="","",INDEX('Cronograma R. Normativo'!$S$5:$S$1000,$N65))</f>
        <v/>
      </c>
      <c r="P65">
        <f>IF($N65="","",N(INDEX('Cronograma R. Normativo'!$T$5:$T$1000,$N65)))</f>
        <v/>
      </c>
    </row>
    <row r="66">
      <c r="A66" s="62">
        <f>IF($N66="","",INDEX('Cronograma R. Normativo'!$A$5:$A$1000,$N66))</f>
        <v/>
      </c>
      <c r="B66" s="71">
        <f>IF($N66="","",IF($O66="Sub","      ↳  "&amp;INDEX('Cronograma R. Normativo'!$C$5:$C$1000,$N66),INDEX('Cronograma R. Normativo'!$C$5:$C$1000,$N66)&amp;""))</f>
        <v/>
      </c>
      <c r="C66" s="77">
        <f>IF($N66="","",IF(INDEX('Cronograma R. Normativo'!$D$5:$D$1000,$N66)="","",INDEX('Cronograma R. Normativo'!$D$5:$D$1000,$N66)))</f>
        <v/>
      </c>
      <c r="D66" s="77">
        <f>IF($N66="","",IF(INDEX('Cronograma R. Normativo'!$E$5:$E$1000,$N66)="","",INDEX('Cronograma R. Normativo'!$E$5:$E$1000,$N66)))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Normativo'!$Y$5:$Y$1000,$N66),""),IF(INDEX('Cronograma R. Normativo'!$G$5:$G$1000,$N66)="","",INDEX('Cronograma R. Normativo'!$G$5:$G$1000,$N66))))</f>
        <v/>
      </c>
      <c r="G66" s="68">
        <f>IF($N66="","",IF($P66&gt;0,IF(2&lt;=SemanaActual,INDEX('Cronograma R. Normativo'!$Z$5:$Z$1000,$N66),""),IF(INDEX('Cronograma R. Normativo'!$H$5:$H$1000,$N66)="","",INDEX('Cronograma R. Normativo'!$H$5:$H$1000,$N66))))</f>
        <v/>
      </c>
      <c r="H66" s="68">
        <f>IF($N66="","",IF($P66&gt;0,IF(3&lt;=SemanaActual,INDEX('Cronograma R. Normativo'!$AA$5:$AA$1000,$N66),""),IF(INDEX('Cronograma R. Normativo'!$I$5:$I$1000,$N66)="","",INDEX('Cronograma R. Normativo'!$I$5:$I$1000,$N66))))</f>
        <v/>
      </c>
      <c r="I66" s="68">
        <f>IF($N66="","",IF($P66&gt;0,IF(4&lt;=SemanaActual,INDEX('Cronograma R. Normativo'!$AB$5:$AB$1000,$N66),""),IF(INDEX('Cronograma R. Normativo'!$J$5:$J$1000,$N66)="","",INDEX('Cronograma R. Normativo'!$J$5:$J$1000,$N66))))</f>
        <v/>
      </c>
      <c r="J66" s="68">
        <f>IF($N66="","",INDEX('Cronograma R. Normativo'!$K$5:$K$1000,$N66))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Normativo'!$M$5:$M$1000,$N66)&amp;"")</f>
        <v/>
      </c>
      <c r="M66" s="71">
        <f>IF($N66="","",INDEX('Cronograma R. Normativo'!$N$5:$N$1000,$N66)&amp;"")</f>
        <v/>
      </c>
      <c r="N66">
        <f>IFERROR(MATCH(ROW()-4,rOrden_RN,0),"")</f>
        <v/>
      </c>
      <c r="O66">
        <f>IF($N66="","",INDEX('Cronograma R. Normativo'!$S$5:$S$1000,$N66))</f>
        <v/>
      </c>
      <c r="P66">
        <f>IF($N66="","",N(INDEX('Cronograma R. Normativo'!$T$5:$T$1000,$N66)))</f>
        <v/>
      </c>
    </row>
    <row r="67">
      <c r="A67" s="62">
        <f>IF($N67="","",INDEX('Cronograma R. Normativo'!$A$5:$A$1000,$N67))</f>
        <v/>
      </c>
      <c r="B67" s="71">
        <f>IF($N67="","",IF($O67="Sub","      ↳  "&amp;INDEX('Cronograma R. Normativo'!$C$5:$C$1000,$N67),INDEX('Cronograma R. Normativo'!$C$5:$C$1000,$N67)&amp;""))</f>
        <v/>
      </c>
      <c r="C67" s="77">
        <f>IF($N67="","",IF(INDEX('Cronograma R. Normativo'!$D$5:$D$1000,$N67)="","",INDEX('Cronograma R. Normativo'!$D$5:$D$1000,$N67)))</f>
        <v/>
      </c>
      <c r="D67" s="77">
        <f>IF($N67="","",IF(INDEX('Cronograma R. Normativo'!$E$5:$E$1000,$N67)="","",INDEX('Cronograma R. Normativo'!$E$5:$E$1000,$N67)))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Normativo'!$Y$5:$Y$1000,$N67),""),IF(INDEX('Cronograma R. Normativo'!$G$5:$G$1000,$N67)="","",INDEX('Cronograma R. Normativo'!$G$5:$G$1000,$N67))))</f>
        <v/>
      </c>
      <c r="G67" s="68">
        <f>IF($N67="","",IF($P67&gt;0,IF(2&lt;=SemanaActual,INDEX('Cronograma R. Normativo'!$Z$5:$Z$1000,$N67),""),IF(INDEX('Cronograma R. Normativo'!$H$5:$H$1000,$N67)="","",INDEX('Cronograma R. Normativo'!$H$5:$H$1000,$N67))))</f>
        <v/>
      </c>
      <c r="H67" s="68">
        <f>IF($N67="","",IF($P67&gt;0,IF(3&lt;=SemanaActual,INDEX('Cronograma R. Normativo'!$AA$5:$AA$1000,$N67),""),IF(INDEX('Cronograma R. Normativo'!$I$5:$I$1000,$N67)="","",INDEX('Cronograma R. Normativo'!$I$5:$I$1000,$N67))))</f>
        <v/>
      </c>
      <c r="I67" s="68">
        <f>IF($N67="","",IF($P67&gt;0,IF(4&lt;=SemanaActual,INDEX('Cronograma R. Normativo'!$AB$5:$AB$1000,$N67),""),IF(INDEX('Cronograma R. Normativo'!$J$5:$J$1000,$N67)="","",INDEX('Cronograma R. Normativo'!$J$5:$J$1000,$N67))))</f>
        <v/>
      </c>
      <c r="J67" s="68">
        <f>IF($N67="","",INDEX('Cronograma R. Normativo'!$K$5:$K$1000,$N67))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Normativo'!$M$5:$M$1000,$N67)&amp;"")</f>
        <v/>
      </c>
      <c r="M67" s="71">
        <f>IF($N67="","",INDEX('Cronograma R. Normativo'!$N$5:$N$1000,$N67)&amp;"")</f>
        <v/>
      </c>
      <c r="N67">
        <f>IFERROR(MATCH(ROW()-4,rOrden_RN,0),"")</f>
        <v/>
      </c>
      <c r="O67">
        <f>IF($N67="","",INDEX('Cronograma R. Normativo'!$S$5:$S$1000,$N67))</f>
        <v/>
      </c>
      <c r="P67">
        <f>IF($N67="","",N(INDEX('Cronograma R. Normativo'!$T$5:$T$1000,$N67)))</f>
        <v/>
      </c>
    </row>
    <row r="68">
      <c r="A68" s="62">
        <f>IF($N68="","",INDEX('Cronograma R. Normativo'!$A$5:$A$1000,$N68))</f>
        <v/>
      </c>
      <c r="B68" s="71">
        <f>IF($N68="","",IF($O68="Sub","      ↳  "&amp;INDEX('Cronograma R. Normativo'!$C$5:$C$1000,$N68),INDEX('Cronograma R. Normativo'!$C$5:$C$1000,$N68)&amp;""))</f>
        <v/>
      </c>
      <c r="C68" s="77">
        <f>IF($N68="","",IF(INDEX('Cronograma R. Normativo'!$D$5:$D$1000,$N68)="","",INDEX('Cronograma R. Normativo'!$D$5:$D$1000,$N68)))</f>
        <v/>
      </c>
      <c r="D68" s="77">
        <f>IF($N68="","",IF(INDEX('Cronograma R. Normativo'!$E$5:$E$1000,$N68)="","",INDEX('Cronograma R. Normativo'!$E$5:$E$1000,$N68)))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Normativo'!$Y$5:$Y$1000,$N68),""),IF(INDEX('Cronograma R. Normativo'!$G$5:$G$1000,$N68)="","",INDEX('Cronograma R. Normativo'!$G$5:$G$1000,$N68))))</f>
        <v/>
      </c>
      <c r="G68" s="68">
        <f>IF($N68="","",IF($P68&gt;0,IF(2&lt;=SemanaActual,INDEX('Cronograma R. Normativo'!$Z$5:$Z$1000,$N68),""),IF(INDEX('Cronograma R. Normativo'!$H$5:$H$1000,$N68)="","",INDEX('Cronograma R. Normativo'!$H$5:$H$1000,$N68))))</f>
        <v/>
      </c>
      <c r="H68" s="68">
        <f>IF($N68="","",IF($P68&gt;0,IF(3&lt;=SemanaActual,INDEX('Cronograma R. Normativo'!$AA$5:$AA$1000,$N68),""),IF(INDEX('Cronograma R. Normativo'!$I$5:$I$1000,$N68)="","",INDEX('Cronograma R. Normativo'!$I$5:$I$1000,$N68))))</f>
        <v/>
      </c>
      <c r="I68" s="68">
        <f>IF($N68="","",IF($P68&gt;0,IF(4&lt;=SemanaActual,INDEX('Cronograma R. Normativo'!$AB$5:$AB$1000,$N68),""),IF(INDEX('Cronograma R. Normativo'!$J$5:$J$1000,$N68)="","",INDEX('Cronograma R. Normativo'!$J$5:$J$1000,$N68))))</f>
        <v/>
      </c>
      <c r="J68" s="68">
        <f>IF($N68="","",INDEX('Cronograma R. Normativo'!$K$5:$K$1000,$N68))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Normativo'!$M$5:$M$1000,$N68)&amp;"")</f>
        <v/>
      </c>
      <c r="M68" s="71">
        <f>IF($N68="","",INDEX('Cronograma R. Normativo'!$N$5:$N$1000,$N68)&amp;"")</f>
        <v/>
      </c>
      <c r="N68">
        <f>IFERROR(MATCH(ROW()-4,rOrden_RN,0),"")</f>
        <v/>
      </c>
      <c r="O68">
        <f>IF($N68="","",INDEX('Cronograma R. Normativo'!$S$5:$S$1000,$N68))</f>
        <v/>
      </c>
      <c r="P68">
        <f>IF($N68="","",N(INDEX('Cronograma R. Normativo'!$T$5:$T$1000,$N68)))</f>
        <v/>
      </c>
    </row>
    <row r="69">
      <c r="A69" s="62">
        <f>IF($N69="","",INDEX('Cronograma R. Normativo'!$A$5:$A$1000,$N69))</f>
        <v/>
      </c>
      <c r="B69" s="71">
        <f>IF($N69="","",IF($O69="Sub","      ↳  "&amp;INDEX('Cronograma R. Normativo'!$C$5:$C$1000,$N69),INDEX('Cronograma R. Normativo'!$C$5:$C$1000,$N69)&amp;""))</f>
        <v/>
      </c>
      <c r="C69" s="77">
        <f>IF($N69="","",IF(INDEX('Cronograma R. Normativo'!$D$5:$D$1000,$N69)="","",INDEX('Cronograma R. Normativo'!$D$5:$D$1000,$N69)))</f>
        <v/>
      </c>
      <c r="D69" s="77">
        <f>IF($N69="","",IF(INDEX('Cronograma R. Normativo'!$E$5:$E$1000,$N69)="","",INDEX('Cronograma R. Normativo'!$E$5:$E$1000,$N69)))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Normativo'!$Y$5:$Y$1000,$N69),""),IF(INDEX('Cronograma R. Normativo'!$G$5:$G$1000,$N69)="","",INDEX('Cronograma R. Normativo'!$G$5:$G$1000,$N69))))</f>
        <v/>
      </c>
      <c r="G69" s="68">
        <f>IF($N69="","",IF($P69&gt;0,IF(2&lt;=SemanaActual,INDEX('Cronograma R. Normativo'!$Z$5:$Z$1000,$N69),""),IF(INDEX('Cronograma R. Normativo'!$H$5:$H$1000,$N69)="","",INDEX('Cronograma R. Normativo'!$H$5:$H$1000,$N69))))</f>
        <v/>
      </c>
      <c r="H69" s="68">
        <f>IF($N69="","",IF($P69&gt;0,IF(3&lt;=SemanaActual,INDEX('Cronograma R. Normativo'!$AA$5:$AA$1000,$N69),""),IF(INDEX('Cronograma R. Normativo'!$I$5:$I$1000,$N69)="","",INDEX('Cronograma R. Normativo'!$I$5:$I$1000,$N69))))</f>
        <v/>
      </c>
      <c r="I69" s="68">
        <f>IF($N69="","",IF($P69&gt;0,IF(4&lt;=SemanaActual,INDEX('Cronograma R. Normativo'!$AB$5:$AB$1000,$N69),""),IF(INDEX('Cronograma R. Normativo'!$J$5:$J$1000,$N69)="","",INDEX('Cronograma R. Normativo'!$J$5:$J$1000,$N69))))</f>
        <v/>
      </c>
      <c r="J69" s="68">
        <f>IF($N69="","",INDEX('Cronograma R. Normativo'!$K$5:$K$1000,$N69))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Normativo'!$M$5:$M$1000,$N69)&amp;"")</f>
        <v/>
      </c>
      <c r="M69" s="71">
        <f>IF($N69="","",INDEX('Cronograma R. Normativo'!$N$5:$N$1000,$N69)&amp;"")</f>
        <v/>
      </c>
      <c r="N69">
        <f>IFERROR(MATCH(ROW()-4,rOrden_RN,0),"")</f>
        <v/>
      </c>
      <c r="O69">
        <f>IF($N69="","",INDEX('Cronograma R. Normativo'!$S$5:$S$1000,$N69))</f>
        <v/>
      </c>
      <c r="P69">
        <f>IF($N69="","",N(INDEX('Cronograma R. Normativo'!$T$5:$T$1000,$N69)))</f>
        <v/>
      </c>
    </row>
    <row r="70">
      <c r="A70" s="62">
        <f>IF($N70="","",INDEX('Cronograma R. Normativo'!$A$5:$A$1000,$N70))</f>
        <v/>
      </c>
      <c r="B70" s="71">
        <f>IF($N70="","",IF($O70="Sub","      ↳  "&amp;INDEX('Cronograma R. Normativo'!$C$5:$C$1000,$N70),INDEX('Cronograma R. Normativo'!$C$5:$C$1000,$N70)&amp;""))</f>
        <v/>
      </c>
      <c r="C70" s="77">
        <f>IF($N70="","",IF(INDEX('Cronograma R. Normativo'!$D$5:$D$1000,$N70)="","",INDEX('Cronograma R. Normativo'!$D$5:$D$1000,$N70)))</f>
        <v/>
      </c>
      <c r="D70" s="77">
        <f>IF($N70="","",IF(INDEX('Cronograma R. Normativo'!$E$5:$E$1000,$N70)="","",INDEX('Cronograma R. Normativo'!$E$5:$E$1000,$N70)))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Normativo'!$Y$5:$Y$1000,$N70),""),IF(INDEX('Cronograma R. Normativo'!$G$5:$G$1000,$N70)="","",INDEX('Cronograma R. Normativo'!$G$5:$G$1000,$N70))))</f>
        <v/>
      </c>
      <c r="G70" s="68">
        <f>IF($N70="","",IF($P70&gt;0,IF(2&lt;=SemanaActual,INDEX('Cronograma R. Normativo'!$Z$5:$Z$1000,$N70),""),IF(INDEX('Cronograma R. Normativo'!$H$5:$H$1000,$N70)="","",INDEX('Cronograma R. Normativo'!$H$5:$H$1000,$N70))))</f>
        <v/>
      </c>
      <c r="H70" s="68">
        <f>IF($N70="","",IF($P70&gt;0,IF(3&lt;=SemanaActual,INDEX('Cronograma R. Normativo'!$AA$5:$AA$1000,$N70),""),IF(INDEX('Cronograma R. Normativo'!$I$5:$I$1000,$N70)="","",INDEX('Cronograma R. Normativo'!$I$5:$I$1000,$N70))))</f>
        <v/>
      </c>
      <c r="I70" s="68">
        <f>IF($N70="","",IF($P70&gt;0,IF(4&lt;=SemanaActual,INDEX('Cronograma R. Normativo'!$AB$5:$AB$1000,$N70),""),IF(INDEX('Cronograma R. Normativo'!$J$5:$J$1000,$N70)="","",INDEX('Cronograma R. Normativo'!$J$5:$J$1000,$N70))))</f>
        <v/>
      </c>
      <c r="J70" s="68">
        <f>IF($N70="","",INDEX('Cronograma R. Normativo'!$K$5:$K$1000,$N70))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Normativo'!$M$5:$M$1000,$N70)&amp;"")</f>
        <v/>
      </c>
      <c r="M70" s="71">
        <f>IF($N70="","",INDEX('Cronograma R. Normativo'!$N$5:$N$1000,$N70)&amp;"")</f>
        <v/>
      </c>
      <c r="N70">
        <f>IFERROR(MATCH(ROW()-4,rOrden_RN,0),"")</f>
        <v/>
      </c>
      <c r="O70">
        <f>IF($N70="","",INDEX('Cronograma R. Normativo'!$S$5:$S$1000,$N70))</f>
        <v/>
      </c>
      <c r="P70">
        <f>IF($N70="","",N(INDEX('Cronograma R. Normativo'!$T$5:$T$1000,$N70)))</f>
        <v/>
      </c>
    </row>
    <row r="71">
      <c r="A71" s="62">
        <f>IF($N71="","",INDEX('Cronograma R. Normativo'!$A$5:$A$1000,$N71))</f>
        <v/>
      </c>
      <c r="B71" s="71">
        <f>IF($N71="","",IF($O71="Sub","      ↳  "&amp;INDEX('Cronograma R. Normativo'!$C$5:$C$1000,$N71),INDEX('Cronograma R. Normativo'!$C$5:$C$1000,$N71)&amp;""))</f>
        <v/>
      </c>
      <c r="C71" s="77">
        <f>IF($N71="","",IF(INDEX('Cronograma R. Normativo'!$D$5:$D$1000,$N71)="","",INDEX('Cronograma R. Normativo'!$D$5:$D$1000,$N71)))</f>
        <v/>
      </c>
      <c r="D71" s="77">
        <f>IF($N71="","",IF(INDEX('Cronograma R. Normativo'!$E$5:$E$1000,$N71)="","",INDEX('Cronograma R. Normativo'!$E$5:$E$1000,$N71)))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Normativo'!$Y$5:$Y$1000,$N71),""),IF(INDEX('Cronograma R. Normativo'!$G$5:$G$1000,$N71)="","",INDEX('Cronograma R. Normativo'!$G$5:$G$1000,$N71))))</f>
        <v/>
      </c>
      <c r="G71" s="68">
        <f>IF($N71="","",IF($P71&gt;0,IF(2&lt;=SemanaActual,INDEX('Cronograma R. Normativo'!$Z$5:$Z$1000,$N71),""),IF(INDEX('Cronograma R. Normativo'!$H$5:$H$1000,$N71)="","",INDEX('Cronograma R. Normativo'!$H$5:$H$1000,$N71))))</f>
        <v/>
      </c>
      <c r="H71" s="68">
        <f>IF($N71="","",IF($P71&gt;0,IF(3&lt;=SemanaActual,INDEX('Cronograma R. Normativo'!$AA$5:$AA$1000,$N71),""),IF(INDEX('Cronograma R. Normativo'!$I$5:$I$1000,$N71)="","",INDEX('Cronograma R. Normativo'!$I$5:$I$1000,$N71))))</f>
        <v/>
      </c>
      <c r="I71" s="68">
        <f>IF($N71="","",IF($P71&gt;0,IF(4&lt;=SemanaActual,INDEX('Cronograma R. Normativo'!$AB$5:$AB$1000,$N71),""),IF(INDEX('Cronograma R. Normativo'!$J$5:$J$1000,$N71)="","",INDEX('Cronograma R. Normativo'!$J$5:$J$1000,$N71))))</f>
        <v/>
      </c>
      <c r="J71" s="68">
        <f>IF($N71="","",INDEX('Cronograma R. Normativo'!$K$5:$K$1000,$N71))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Normativo'!$M$5:$M$1000,$N71)&amp;"")</f>
        <v/>
      </c>
      <c r="M71" s="71">
        <f>IF($N71="","",INDEX('Cronograma R. Normativo'!$N$5:$N$1000,$N71)&amp;"")</f>
        <v/>
      </c>
      <c r="N71">
        <f>IFERROR(MATCH(ROW()-4,rOrden_RN,0),"")</f>
        <v/>
      </c>
      <c r="O71">
        <f>IF($N71="","",INDEX('Cronograma R. Normativo'!$S$5:$S$1000,$N71))</f>
        <v/>
      </c>
      <c r="P71">
        <f>IF($N71="","",N(INDEX('Cronograma R. Normativo'!$T$5:$T$1000,$N71)))</f>
        <v/>
      </c>
    </row>
    <row r="72">
      <c r="A72" s="62">
        <f>IF($N72="","",INDEX('Cronograma R. Normativo'!$A$5:$A$1000,$N72))</f>
        <v/>
      </c>
      <c r="B72" s="71">
        <f>IF($N72="","",IF($O72="Sub","      ↳  "&amp;INDEX('Cronograma R. Normativo'!$C$5:$C$1000,$N72),INDEX('Cronograma R. Normativo'!$C$5:$C$1000,$N72)&amp;""))</f>
        <v/>
      </c>
      <c r="C72" s="77">
        <f>IF($N72="","",IF(INDEX('Cronograma R. Normativo'!$D$5:$D$1000,$N72)="","",INDEX('Cronograma R. Normativo'!$D$5:$D$1000,$N72)))</f>
        <v/>
      </c>
      <c r="D72" s="77">
        <f>IF($N72="","",IF(INDEX('Cronograma R. Normativo'!$E$5:$E$1000,$N72)="","",INDEX('Cronograma R. Normativo'!$E$5:$E$1000,$N72)))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Normativo'!$Y$5:$Y$1000,$N72),""),IF(INDEX('Cronograma R. Normativo'!$G$5:$G$1000,$N72)="","",INDEX('Cronograma R. Normativo'!$G$5:$G$1000,$N72))))</f>
        <v/>
      </c>
      <c r="G72" s="68">
        <f>IF($N72="","",IF($P72&gt;0,IF(2&lt;=SemanaActual,INDEX('Cronograma R. Normativo'!$Z$5:$Z$1000,$N72),""),IF(INDEX('Cronograma R. Normativo'!$H$5:$H$1000,$N72)="","",INDEX('Cronograma R. Normativo'!$H$5:$H$1000,$N72))))</f>
        <v/>
      </c>
      <c r="H72" s="68">
        <f>IF($N72="","",IF($P72&gt;0,IF(3&lt;=SemanaActual,INDEX('Cronograma R. Normativo'!$AA$5:$AA$1000,$N72),""),IF(INDEX('Cronograma R. Normativo'!$I$5:$I$1000,$N72)="","",INDEX('Cronograma R. Normativo'!$I$5:$I$1000,$N72))))</f>
        <v/>
      </c>
      <c r="I72" s="68">
        <f>IF($N72="","",IF($P72&gt;0,IF(4&lt;=SemanaActual,INDEX('Cronograma R. Normativo'!$AB$5:$AB$1000,$N72),""),IF(INDEX('Cronograma R. Normativo'!$J$5:$J$1000,$N72)="","",INDEX('Cronograma R. Normativo'!$J$5:$J$1000,$N72))))</f>
        <v/>
      </c>
      <c r="J72" s="68">
        <f>IF($N72="","",INDEX('Cronograma R. Normativo'!$K$5:$K$1000,$N72))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Normativo'!$M$5:$M$1000,$N72)&amp;"")</f>
        <v/>
      </c>
      <c r="M72" s="71">
        <f>IF($N72="","",INDEX('Cronograma R. Normativo'!$N$5:$N$1000,$N72)&amp;"")</f>
        <v/>
      </c>
      <c r="N72">
        <f>IFERROR(MATCH(ROW()-4,rOrden_RN,0),"")</f>
        <v/>
      </c>
      <c r="O72">
        <f>IF($N72="","",INDEX('Cronograma R. Normativo'!$S$5:$S$1000,$N72))</f>
        <v/>
      </c>
      <c r="P72">
        <f>IF($N72="","",N(INDEX('Cronograma R. Normativo'!$T$5:$T$1000,$N72)))</f>
        <v/>
      </c>
    </row>
    <row r="73">
      <c r="A73" s="62">
        <f>IF($N73="","",INDEX('Cronograma R. Normativo'!$A$5:$A$1000,$N73))</f>
        <v/>
      </c>
      <c r="B73" s="71">
        <f>IF($N73="","",IF($O73="Sub","      ↳  "&amp;INDEX('Cronograma R. Normativo'!$C$5:$C$1000,$N73),INDEX('Cronograma R. Normativo'!$C$5:$C$1000,$N73)&amp;""))</f>
        <v/>
      </c>
      <c r="C73" s="77">
        <f>IF($N73="","",IF(INDEX('Cronograma R. Normativo'!$D$5:$D$1000,$N73)="","",INDEX('Cronograma R. Normativo'!$D$5:$D$1000,$N73)))</f>
        <v/>
      </c>
      <c r="D73" s="77">
        <f>IF($N73="","",IF(INDEX('Cronograma R. Normativo'!$E$5:$E$1000,$N73)="","",INDEX('Cronograma R. Normativo'!$E$5:$E$1000,$N73)))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Normativo'!$Y$5:$Y$1000,$N73),""),IF(INDEX('Cronograma R. Normativo'!$G$5:$G$1000,$N73)="","",INDEX('Cronograma R. Normativo'!$G$5:$G$1000,$N73))))</f>
        <v/>
      </c>
      <c r="G73" s="68">
        <f>IF($N73="","",IF($P73&gt;0,IF(2&lt;=SemanaActual,INDEX('Cronograma R. Normativo'!$Z$5:$Z$1000,$N73),""),IF(INDEX('Cronograma R. Normativo'!$H$5:$H$1000,$N73)="","",INDEX('Cronograma R. Normativo'!$H$5:$H$1000,$N73))))</f>
        <v/>
      </c>
      <c r="H73" s="68">
        <f>IF($N73="","",IF($P73&gt;0,IF(3&lt;=SemanaActual,INDEX('Cronograma R. Normativo'!$AA$5:$AA$1000,$N73),""),IF(INDEX('Cronograma R. Normativo'!$I$5:$I$1000,$N73)="","",INDEX('Cronograma R. Normativo'!$I$5:$I$1000,$N73))))</f>
        <v/>
      </c>
      <c r="I73" s="68">
        <f>IF($N73="","",IF($P73&gt;0,IF(4&lt;=SemanaActual,INDEX('Cronograma R. Normativo'!$AB$5:$AB$1000,$N73),""),IF(INDEX('Cronograma R. Normativo'!$J$5:$J$1000,$N73)="","",INDEX('Cronograma R. Normativo'!$J$5:$J$1000,$N73))))</f>
        <v/>
      </c>
      <c r="J73" s="68">
        <f>IF($N73="","",INDEX('Cronograma R. Normativo'!$K$5:$K$1000,$N73))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Normativo'!$M$5:$M$1000,$N73)&amp;"")</f>
        <v/>
      </c>
      <c r="M73" s="71">
        <f>IF($N73="","",INDEX('Cronograma R. Normativo'!$N$5:$N$1000,$N73)&amp;"")</f>
        <v/>
      </c>
      <c r="N73">
        <f>IFERROR(MATCH(ROW()-4,rOrden_RN,0),"")</f>
        <v/>
      </c>
      <c r="O73">
        <f>IF($N73="","",INDEX('Cronograma R. Normativo'!$S$5:$S$1000,$N73))</f>
        <v/>
      </c>
      <c r="P73">
        <f>IF($N73="","",N(INDEX('Cronograma R. Normativo'!$T$5:$T$1000,$N73)))</f>
        <v/>
      </c>
    </row>
    <row r="74">
      <c r="A74" s="62">
        <f>IF($N74="","",INDEX('Cronograma R. Normativo'!$A$5:$A$1000,$N74))</f>
        <v/>
      </c>
      <c r="B74" s="71">
        <f>IF($N74="","",IF($O74="Sub","      ↳  "&amp;INDEX('Cronograma R. Normativo'!$C$5:$C$1000,$N74),INDEX('Cronograma R. Normativo'!$C$5:$C$1000,$N74)&amp;""))</f>
        <v/>
      </c>
      <c r="C74" s="77">
        <f>IF($N74="","",IF(INDEX('Cronograma R. Normativo'!$D$5:$D$1000,$N74)="","",INDEX('Cronograma R. Normativo'!$D$5:$D$1000,$N74)))</f>
        <v/>
      </c>
      <c r="D74" s="77">
        <f>IF($N74="","",IF(INDEX('Cronograma R. Normativo'!$E$5:$E$1000,$N74)="","",INDEX('Cronograma R. Normativo'!$E$5:$E$1000,$N74)))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Normativo'!$Y$5:$Y$1000,$N74),""),IF(INDEX('Cronograma R. Normativo'!$G$5:$G$1000,$N74)="","",INDEX('Cronograma R. Normativo'!$G$5:$G$1000,$N74))))</f>
        <v/>
      </c>
      <c r="G74" s="68">
        <f>IF($N74="","",IF($P74&gt;0,IF(2&lt;=SemanaActual,INDEX('Cronograma R. Normativo'!$Z$5:$Z$1000,$N74),""),IF(INDEX('Cronograma R. Normativo'!$H$5:$H$1000,$N74)="","",INDEX('Cronograma R. Normativo'!$H$5:$H$1000,$N74))))</f>
        <v/>
      </c>
      <c r="H74" s="68">
        <f>IF($N74="","",IF($P74&gt;0,IF(3&lt;=SemanaActual,INDEX('Cronograma R. Normativo'!$AA$5:$AA$1000,$N74),""),IF(INDEX('Cronograma R. Normativo'!$I$5:$I$1000,$N74)="","",INDEX('Cronograma R. Normativo'!$I$5:$I$1000,$N74))))</f>
        <v/>
      </c>
      <c r="I74" s="68">
        <f>IF($N74="","",IF($P74&gt;0,IF(4&lt;=SemanaActual,INDEX('Cronograma R. Normativo'!$AB$5:$AB$1000,$N74),""),IF(INDEX('Cronograma R. Normativo'!$J$5:$J$1000,$N74)="","",INDEX('Cronograma R. Normativo'!$J$5:$J$1000,$N74))))</f>
        <v/>
      </c>
      <c r="J74" s="68">
        <f>IF($N74="","",INDEX('Cronograma R. Normativo'!$K$5:$K$1000,$N74))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Normativo'!$M$5:$M$1000,$N74)&amp;"")</f>
        <v/>
      </c>
      <c r="M74" s="71">
        <f>IF($N74="","",INDEX('Cronograma R. Normativo'!$N$5:$N$1000,$N74)&amp;"")</f>
        <v/>
      </c>
      <c r="N74">
        <f>IFERROR(MATCH(ROW()-4,rOrden_RN,0),"")</f>
        <v/>
      </c>
      <c r="O74">
        <f>IF($N74="","",INDEX('Cronograma R. Normativo'!$S$5:$S$1000,$N74))</f>
        <v/>
      </c>
      <c r="P74">
        <f>IF($N74="","",N(INDEX('Cronograma R. Normativo'!$T$5:$T$1000,$N74)))</f>
        <v/>
      </c>
    </row>
    <row r="75">
      <c r="A75" s="62">
        <f>IF($N75="","",INDEX('Cronograma R. Normativo'!$A$5:$A$1000,$N75))</f>
        <v/>
      </c>
      <c r="B75" s="71">
        <f>IF($N75="","",IF($O75="Sub","      ↳  "&amp;INDEX('Cronograma R. Normativo'!$C$5:$C$1000,$N75),INDEX('Cronograma R. Normativo'!$C$5:$C$1000,$N75)&amp;""))</f>
        <v/>
      </c>
      <c r="C75" s="77">
        <f>IF($N75="","",IF(INDEX('Cronograma R. Normativo'!$D$5:$D$1000,$N75)="","",INDEX('Cronograma R. Normativo'!$D$5:$D$1000,$N75)))</f>
        <v/>
      </c>
      <c r="D75" s="77">
        <f>IF($N75="","",IF(INDEX('Cronograma R. Normativo'!$E$5:$E$1000,$N75)="","",INDEX('Cronograma R. Normativo'!$E$5:$E$1000,$N75)))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Normativo'!$Y$5:$Y$1000,$N75),""),IF(INDEX('Cronograma R. Normativo'!$G$5:$G$1000,$N75)="","",INDEX('Cronograma R. Normativo'!$G$5:$G$1000,$N75))))</f>
        <v/>
      </c>
      <c r="G75" s="68">
        <f>IF($N75="","",IF($P75&gt;0,IF(2&lt;=SemanaActual,INDEX('Cronograma R. Normativo'!$Z$5:$Z$1000,$N75),""),IF(INDEX('Cronograma R. Normativo'!$H$5:$H$1000,$N75)="","",INDEX('Cronograma R. Normativo'!$H$5:$H$1000,$N75))))</f>
        <v/>
      </c>
      <c r="H75" s="68">
        <f>IF($N75="","",IF($P75&gt;0,IF(3&lt;=SemanaActual,INDEX('Cronograma R. Normativo'!$AA$5:$AA$1000,$N75),""),IF(INDEX('Cronograma R. Normativo'!$I$5:$I$1000,$N75)="","",INDEX('Cronograma R. Normativo'!$I$5:$I$1000,$N75))))</f>
        <v/>
      </c>
      <c r="I75" s="68">
        <f>IF($N75="","",IF($P75&gt;0,IF(4&lt;=SemanaActual,INDEX('Cronograma R. Normativo'!$AB$5:$AB$1000,$N75),""),IF(INDEX('Cronograma R. Normativo'!$J$5:$J$1000,$N75)="","",INDEX('Cronograma R. Normativo'!$J$5:$J$1000,$N75))))</f>
        <v/>
      </c>
      <c r="J75" s="68">
        <f>IF($N75="","",INDEX('Cronograma R. Normativo'!$K$5:$K$1000,$N75))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Normativo'!$M$5:$M$1000,$N75)&amp;"")</f>
        <v/>
      </c>
      <c r="M75" s="71">
        <f>IF($N75="","",INDEX('Cronograma R. Normativo'!$N$5:$N$1000,$N75)&amp;"")</f>
        <v/>
      </c>
      <c r="N75">
        <f>IFERROR(MATCH(ROW()-4,rOrden_RN,0),"")</f>
        <v/>
      </c>
      <c r="O75">
        <f>IF($N75="","",INDEX('Cronograma R. Normativo'!$S$5:$S$1000,$N75))</f>
        <v/>
      </c>
      <c r="P75">
        <f>IF($N75="","",N(INDEX('Cronograma R. Normativo'!$T$5:$T$1000,$N75)))</f>
        <v/>
      </c>
    </row>
    <row r="76">
      <c r="A76" s="62">
        <f>IF($N76="","",INDEX('Cronograma R. Normativo'!$A$5:$A$1000,$N76))</f>
        <v/>
      </c>
      <c r="B76" s="71">
        <f>IF($N76="","",IF($O76="Sub","      ↳  "&amp;INDEX('Cronograma R. Normativo'!$C$5:$C$1000,$N76),INDEX('Cronograma R. Normativo'!$C$5:$C$1000,$N76)&amp;""))</f>
        <v/>
      </c>
      <c r="C76" s="77">
        <f>IF($N76="","",IF(INDEX('Cronograma R. Normativo'!$D$5:$D$1000,$N76)="","",INDEX('Cronograma R. Normativo'!$D$5:$D$1000,$N76)))</f>
        <v/>
      </c>
      <c r="D76" s="77">
        <f>IF($N76="","",IF(INDEX('Cronograma R. Normativo'!$E$5:$E$1000,$N76)="","",INDEX('Cronograma R. Normativo'!$E$5:$E$1000,$N76)))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Normativo'!$Y$5:$Y$1000,$N76),""),IF(INDEX('Cronograma R. Normativo'!$G$5:$G$1000,$N76)="","",INDEX('Cronograma R. Normativo'!$G$5:$G$1000,$N76))))</f>
        <v/>
      </c>
      <c r="G76" s="68">
        <f>IF($N76="","",IF($P76&gt;0,IF(2&lt;=SemanaActual,INDEX('Cronograma R. Normativo'!$Z$5:$Z$1000,$N76),""),IF(INDEX('Cronograma R. Normativo'!$H$5:$H$1000,$N76)="","",INDEX('Cronograma R. Normativo'!$H$5:$H$1000,$N76))))</f>
        <v/>
      </c>
      <c r="H76" s="68">
        <f>IF($N76="","",IF($P76&gt;0,IF(3&lt;=SemanaActual,INDEX('Cronograma R. Normativo'!$AA$5:$AA$1000,$N76),""),IF(INDEX('Cronograma R. Normativo'!$I$5:$I$1000,$N76)="","",INDEX('Cronograma R. Normativo'!$I$5:$I$1000,$N76))))</f>
        <v/>
      </c>
      <c r="I76" s="68">
        <f>IF($N76="","",IF($P76&gt;0,IF(4&lt;=SemanaActual,INDEX('Cronograma R. Normativo'!$AB$5:$AB$1000,$N76),""),IF(INDEX('Cronograma R. Normativo'!$J$5:$J$1000,$N76)="","",INDEX('Cronograma R. Normativo'!$J$5:$J$1000,$N76))))</f>
        <v/>
      </c>
      <c r="J76" s="68">
        <f>IF($N76="","",INDEX('Cronograma R. Normativo'!$K$5:$K$1000,$N76))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Normativo'!$M$5:$M$1000,$N76)&amp;"")</f>
        <v/>
      </c>
      <c r="M76" s="71">
        <f>IF($N76="","",INDEX('Cronograma R. Normativo'!$N$5:$N$1000,$N76)&amp;"")</f>
        <v/>
      </c>
      <c r="N76">
        <f>IFERROR(MATCH(ROW()-4,rOrden_RN,0),"")</f>
        <v/>
      </c>
      <c r="O76">
        <f>IF($N76="","",INDEX('Cronograma R. Normativo'!$S$5:$S$1000,$N76))</f>
        <v/>
      </c>
      <c r="P76">
        <f>IF($N76="","",N(INDEX('Cronograma R. Normativo'!$T$5:$T$1000,$N76)))</f>
        <v/>
      </c>
    </row>
    <row r="77">
      <c r="A77" s="62">
        <f>IF($N77="","",INDEX('Cronograma R. Normativo'!$A$5:$A$1000,$N77))</f>
        <v/>
      </c>
      <c r="B77" s="71">
        <f>IF($N77="","",IF($O77="Sub","      ↳  "&amp;INDEX('Cronograma R. Normativo'!$C$5:$C$1000,$N77),INDEX('Cronograma R. Normativo'!$C$5:$C$1000,$N77)&amp;""))</f>
        <v/>
      </c>
      <c r="C77" s="77">
        <f>IF($N77="","",IF(INDEX('Cronograma R. Normativo'!$D$5:$D$1000,$N77)="","",INDEX('Cronograma R. Normativo'!$D$5:$D$1000,$N77)))</f>
        <v/>
      </c>
      <c r="D77" s="77">
        <f>IF($N77="","",IF(INDEX('Cronograma R. Normativo'!$E$5:$E$1000,$N77)="","",INDEX('Cronograma R. Normativo'!$E$5:$E$1000,$N77)))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Normativo'!$Y$5:$Y$1000,$N77),""),IF(INDEX('Cronograma R. Normativo'!$G$5:$G$1000,$N77)="","",INDEX('Cronograma R. Normativo'!$G$5:$G$1000,$N77))))</f>
        <v/>
      </c>
      <c r="G77" s="68">
        <f>IF($N77="","",IF($P77&gt;0,IF(2&lt;=SemanaActual,INDEX('Cronograma R. Normativo'!$Z$5:$Z$1000,$N77),""),IF(INDEX('Cronograma R. Normativo'!$H$5:$H$1000,$N77)="","",INDEX('Cronograma R. Normativo'!$H$5:$H$1000,$N77))))</f>
        <v/>
      </c>
      <c r="H77" s="68">
        <f>IF($N77="","",IF($P77&gt;0,IF(3&lt;=SemanaActual,INDEX('Cronograma R. Normativo'!$AA$5:$AA$1000,$N77),""),IF(INDEX('Cronograma R. Normativo'!$I$5:$I$1000,$N77)="","",INDEX('Cronograma R. Normativo'!$I$5:$I$1000,$N77))))</f>
        <v/>
      </c>
      <c r="I77" s="68">
        <f>IF($N77="","",IF($P77&gt;0,IF(4&lt;=SemanaActual,INDEX('Cronograma R. Normativo'!$AB$5:$AB$1000,$N77),""),IF(INDEX('Cronograma R. Normativo'!$J$5:$J$1000,$N77)="","",INDEX('Cronograma R. Normativo'!$J$5:$J$1000,$N77))))</f>
        <v/>
      </c>
      <c r="J77" s="68">
        <f>IF($N77="","",INDEX('Cronograma R. Normativo'!$K$5:$K$1000,$N77))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Normativo'!$M$5:$M$1000,$N77)&amp;"")</f>
        <v/>
      </c>
      <c r="M77" s="71">
        <f>IF($N77="","",INDEX('Cronograma R. Normativo'!$N$5:$N$1000,$N77)&amp;"")</f>
        <v/>
      </c>
      <c r="N77">
        <f>IFERROR(MATCH(ROW()-4,rOrden_RN,0),"")</f>
        <v/>
      </c>
      <c r="O77">
        <f>IF($N77="","",INDEX('Cronograma R. Normativo'!$S$5:$S$1000,$N77))</f>
        <v/>
      </c>
      <c r="P77">
        <f>IF($N77="","",N(INDEX('Cronograma R. Normativo'!$T$5:$T$1000,$N77)))</f>
        <v/>
      </c>
    </row>
    <row r="78">
      <c r="A78" s="62">
        <f>IF($N78="","",INDEX('Cronograma R. Normativo'!$A$5:$A$1000,$N78))</f>
        <v/>
      </c>
      <c r="B78" s="71">
        <f>IF($N78="","",IF($O78="Sub","      ↳  "&amp;INDEX('Cronograma R. Normativo'!$C$5:$C$1000,$N78),INDEX('Cronograma R. Normativo'!$C$5:$C$1000,$N78)&amp;""))</f>
        <v/>
      </c>
      <c r="C78" s="77">
        <f>IF($N78="","",IF(INDEX('Cronograma R. Normativo'!$D$5:$D$1000,$N78)="","",INDEX('Cronograma R. Normativo'!$D$5:$D$1000,$N78)))</f>
        <v/>
      </c>
      <c r="D78" s="77">
        <f>IF($N78="","",IF(INDEX('Cronograma R. Normativo'!$E$5:$E$1000,$N78)="","",INDEX('Cronograma R. Normativo'!$E$5:$E$1000,$N78)))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Normativo'!$Y$5:$Y$1000,$N78),""),IF(INDEX('Cronograma R. Normativo'!$G$5:$G$1000,$N78)="","",INDEX('Cronograma R. Normativo'!$G$5:$G$1000,$N78))))</f>
        <v/>
      </c>
      <c r="G78" s="68">
        <f>IF($N78="","",IF($P78&gt;0,IF(2&lt;=SemanaActual,INDEX('Cronograma R. Normativo'!$Z$5:$Z$1000,$N78),""),IF(INDEX('Cronograma R. Normativo'!$H$5:$H$1000,$N78)="","",INDEX('Cronograma R. Normativo'!$H$5:$H$1000,$N78))))</f>
        <v/>
      </c>
      <c r="H78" s="68">
        <f>IF($N78="","",IF($P78&gt;0,IF(3&lt;=SemanaActual,INDEX('Cronograma R. Normativo'!$AA$5:$AA$1000,$N78),""),IF(INDEX('Cronograma R. Normativo'!$I$5:$I$1000,$N78)="","",INDEX('Cronograma R. Normativo'!$I$5:$I$1000,$N78))))</f>
        <v/>
      </c>
      <c r="I78" s="68">
        <f>IF($N78="","",IF($P78&gt;0,IF(4&lt;=SemanaActual,INDEX('Cronograma R. Normativo'!$AB$5:$AB$1000,$N78),""),IF(INDEX('Cronograma R. Normativo'!$J$5:$J$1000,$N78)="","",INDEX('Cronograma R. Normativo'!$J$5:$J$1000,$N78))))</f>
        <v/>
      </c>
      <c r="J78" s="68">
        <f>IF($N78="","",INDEX('Cronograma R. Normativo'!$K$5:$K$1000,$N78))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Normativo'!$M$5:$M$1000,$N78)&amp;"")</f>
        <v/>
      </c>
      <c r="M78" s="71">
        <f>IF($N78="","",INDEX('Cronograma R. Normativo'!$N$5:$N$1000,$N78)&amp;"")</f>
        <v/>
      </c>
      <c r="N78">
        <f>IFERROR(MATCH(ROW()-4,rOrden_RN,0),"")</f>
        <v/>
      </c>
      <c r="O78">
        <f>IF($N78="","",INDEX('Cronograma R. Normativo'!$S$5:$S$1000,$N78))</f>
        <v/>
      </c>
      <c r="P78">
        <f>IF($N78="","",N(INDEX('Cronograma R. Normativo'!$T$5:$T$1000,$N78)))</f>
        <v/>
      </c>
    </row>
    <row r="79">
      <c r="A79" s="62">
        <f>IF($N79="","",INDEX('Cronograma R. Normativo'!$A$5:$A$1000,$N79))</f>
        <v/>
      </c>
      <c r="B79" s="71">
        <f>IF($N79="","",IF($O79="Sub","      ↳  "&amp;INDEX('Cronograma R. Normativo'!$C$5:$C$1000,$N79),INDEX('Cronograma R. Normativo'!$C$5:$C$1000,$N79)&amp;""))</f>
        <v/>
      </c>
      <c r="C79" s="77">
        <f>IF($N79="","",IF(INDEX('Cronograma R. Normativo'!$D$5:$D$1000,$N79)="","",INDEX('Cronograma R. Normativo'!$D$5:$D$1000,$N79)))</f>
        <v/>
      </c>
      <c r="D79" s="77">
        <f>IF($N79="","",IF(INDEX('Cronograma R. Normativo'!$E$5:$E$1000,$N79)="","",INDEX('Cronograma R. Normativo'!$E$5:$E$1000,$N79)))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Normativo'!$Y$5:$Y$1000,$N79),""),IF(INDEX('Cronograma R. Normativo'!$G$5:$G$1000,$N79)="","",INDEX('Cronograma R. Normativo'!$G$5:$G$1000,$N79))))</f>
        <v/>
      </c>
      <c r="G79" s="68">
        <f>IF($N79="","",IF($P79&gt;0,IF(2&lt;=SemanaActual,INDEX('Cronograma R. Normativo'!$Z$5:$Z$1000,$N79),""),IF(INDEX('Cronograma R. Normativo'!$H$5:$H$1000,$N79)="","",INDEX('Cronograma R. Normativo'!$H$5:$H$1000,$N79))))</f>
        <v/>
      </c>
      <c r="H79" s="68">
        <f>IF($N79="","",IF($P79&gt;0,IF(3&lt;=SemanaActual,INDEX('Cronograma R. Normativo'!$AA$5:$AA$1000,$N79),""),IF(INDEX('Cronograma R. Normativo'!$I$5:$I$1000,$N79)="","",INDEX('Cronograma R. Normativo'!$I$5:$I$1000,$N79))))</f>
        <v/>
      </c>
      <c r="I79" s="68">
        <f>IF($N79="","",IF($P79&gt;0,IF(4&lt;=SemanaActual,INDEX('Cronograma R. Normativo'!$AB$5:$AB$1000,$N79),""),IF(INDEX('Cronograma R. Normativo'!$J$5:$J$1000,$N79)="","",INDEX('Cronograma R. Normativo'!$J$5:$J$1000,$N79))))</f>
        <v/>
      </c>
      <c r="J79" s="68">
        <f>IF($N79="","",INDEX('Cronograma R. Normativo'!$K$5:$K$1000,$N79))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Normativo'!$M$5:$M$1000,$N79)&amp;"")</f>
        <v/>
      </c>
      <c r="M79" s="71">
        <f>IF($N79="","",INDEX('Cronograma R. Normativo'!$N$5:$N$1000,$N79)&amp;"")</f>
        <v/>
      </c>
      <c r="N79">
        <f>IFERROR(MATCH(ROW()-4,rOrden_RN,0),"")</f>
        <v/>
      </c>
      <c r="O79">
        <f>IF($N79="","",INDEX('Cronograma R. Normativo'!$S$5:$S$1000,$N79))</f>
        <v/>
      </c>
      <c r="P79">
        <f>IF($N79="","",N(INDEX('Cronograma R. Normativo'!$T$5:$T$1000,$N79)))</f>
        <v/>
      </c>
    </row>
    <row r="80">
      <c r="A80" s="62">
        <f>IF($N80="","",INDEX('Cronograma R. Normativo'!$A$5:$A$1000,$N80))</f>
        <v/>
      </c>
      <c r="B80" s="71">
        <f>IF($N80="","",IF($O80="Sub","      ↳  "&amp;INDEX('Cronograma R. Normativo'!$C$5:$C$1000,$N80),INDEX('Cronograma R. Normativo'!$C$5:$C$1000,$N80)&amp;""))</f>
        <v/>
      </c>
      <c r="C80" s="77">
        <f>IF($N80="","",IF(INDEX('Cronograma R. Normativo'!$D$5:$D$1000,$N80)="","",INDEX('Cronograma R. Normativo'!$D$5:$D$1000,$N80)))</f>
        <v/>
      </c>
      <c r="D80" s="77">
        <f>IF($N80="","",IF(INDEX('Cronograma R. Normativo'!$E$5:$E$1000,$N80)="","",INDEX('Cronograma R. Normativo'!$E$5:$E$1000,$N80)))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Normativo'!$Y$5:$Y$1000,$N80),""),IF(INDEX('Cronograma R. Normativo'!$G$5:$G$1000,$N80)="","",INDEX('Cronograma R. Normativo'!$G$5:$G$1000,$N80))))</f>
        <v/>
      </c>
      <c r="G80" s="68">
        <f>IF($N80="","",IF($P80&gt;0,IF(2&lt;=SemanaActual,INDEX('Cronograma R. Normativo'!$Z$5:$Z$1000,$N80),""),IF(INDEX('Cronograma R. Normativo'!$H$5:$H$1000,$N80)="","",INDEX('Cronograma R. Normativo'!$H$5:$H$1000,$N80))))</f>
        <v/>
      </c>
      <c r="H80" s="68">
        <f>IF($N80="","",IF($P80&gt;0,IF(3&lt;=SemanaActual,INDEX('Cronograma R. Normativo'!$AA$5:$AA$1000,$N80),""),IF(INDEX('Cronograma R. Normativo'!$I$5:$I$1000,$N80)="","",INDEX('Cronograma R. Normativo'!$I$5:$I$1000,$N80))))</f>
        <v/>
      </c>
      <c r="I80" s="68">
        <f>IF($N80="","",IF($P80&gt;0,IF(4&lt;=SemanaActual,INDEX('Cronograma R. Normativo'!$AB$5:$AB$1000,$N80),""),IF(INDEX('Cronograma R. Normativo'!$J$5:$J$1000,$N80)="","",INDEX('Cronograma R. Normativo'!$J$5:$J$1000,$N80))))</f>
        <v/>
      </c>
      <c r="J80" s="68">
        <f>IF($N80="","",INDEX('Cronograma R. Normativo'!$K$5:$K$1000,$N80))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Normativo'!$M$5:$M$1000,$N80)&amp;"")</f>
        <v/>
      </c>
      <c r="M80" s="71">
        <f>IF($N80="","",INDEX('Cronograma R. Normativo'!$N$5:$N$1000,$N80)&amp;"")</f>
        <v/>
      </c>
      <c r="N80">
        <f>IFERROR(MATCH(ROW()-4,rOrden_RN,0),"")</f>
        <v/>
      </c>
      <c r="O80">
        <f>IF($N80="","",INDEX('Cronograma R. Normativo'!$S$5:$S$1000,$N80))</f>
        <v/>
      </c>
      <c r="P80">
        <f>IF($N80="","",N(INDEX('Cronograma R. Normativo'!$T$5:$T$1000,$N80)))</f>
        <v/>
      </c>
    </row>
    <row r="81">
      <c r="A81" s="62">
        <f>IF($N81="","",INDEX('Cronograma R. Normativo'!$A$5:$A$1000,$N81))</f>
        <v/>
      </c>
      <c r="B81" s="71">
        <f>IF($N81="","",IF($O81="Sub","      ↳  "&amp;INDEX('Cronograma R. Normativo'!$C$5:$C$1000,$N81),INDEX('Cronograma R. Normativo'!$C$5:$C$1000,$N81)&amp;""))</f>
        <v/>
      </c>
      <c r="C81" s="77">
        <f>IF($N81="","",IF(INDEX('Cronograma R. Normativo'!$D$5:$D$1000,$N81)="","",INDEX('Cronograma R. Normativo'!$D$5:$D$1000,$N81)))</f>
        <v/>
      </c>
      <c r="D81" s="77">
        <f>IF($N81="","",IF(INDEX('Cronograma R. Normativo'!$E$5:$E$1000,$N81)="","",INDEX('Cronograma R. Normativo'!$E$5:$E$1000,$N81)))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Normativo'!$Y$5:$Y$1000,$N81),""),IF(INDEX('Cronograma R. Normativo'!$G$5:$G$1000,$N81)="","",INDEX('Cronograma R. Normativo'!$G$5:$G$1000,$N81))))</f>
        <v/>
      </c>
      <c r="G81" s="68">
        <f>IF($N81="","",IF($P81&gt;0,IF(2&lt;=SemanaActual,INDEX('Cronograma R. Normativo'!$Z$5:$Z$1000,$N81),""),IF(INDEX('Cronograma R. Normativo'!$H$5:$H$1000,$N81)="","",INDEX('Cronograma R. Normativo'!$H$5:$H$1000,$N81))))</f>
        <v/>
      </c>
      <c r="H81" s="68">
        <f>IF($N81="","",IF($P81&gt;0,IF(3&lt;=SemanaActual,INDEX('Cronograma R. Normativo'!$AA$5:$AA$1000,$N81),""),IF(INDEX('Cronograma R. Normativo'!$I$5:$I$1000,$N81)="","",INDEX('Cronograma R. Normativo'!$I$5:$I$1000,$N81))))</f>
        <v/>
      </c>
      <c r="I81" s="68">
        <f>IF($N81="","",IF($P81&gt;0,IF(4&lt;=SemanaActual,INDEX('Cronograma R. Normativo'!$AB$5:$AB$1000,$N81),""),IF(INDEX('Cronograma R. Normativo'!$J$5:$J$1000,$N81)="","",INDEX('Cronograma R. Normativo'!$J$5:$J$1000,$N81))))</f>
        <v/>
      </c>
      <c r="J81" s="68">
        <f>IF($N81="","",INDEX('Cronograma R. Normativo'!$K$5:$K$1000,$N81))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Normativo'!$M$5:$M$1000,$N81)&amp;"")</f>
        <v/>
      </c>
      <c r="M81" s="71">
        <f>IF($N81="","",INDEX('Cronograma R. Normativo'!$N$5:$N$1000,$N81)&amp;"")</f>
        <v/>
      </c>
      <c r="N81">
        <f>IFERROR(MATCH(ROW()-4,rOrden_RN,0),"")</f>
        <v/>
      </c>
      <c r="O81">
        <f>IF($N81="","",INDEX('Cronograma R. Normativo'!$S$5:$S$1000,$N81))</f>
        <v/>
      </c>
      <c r="P81">
        <f>IF($N81="","",N(INDEX('Cronograma R. Normativo'!$T$5:$T$1000,$N81)))</f>
        <v/>
      </c>
    </row>
    <row r="82">
      <c r="A82" s="62">
        <f>IF($N82="","",INDEX('Cronograma R. Normativo'!$A$5:$A$1000,$N82))</f>
        <v/>
      </c>
      <c r="B82" s="71">
        <f>IF($N82="","",IF($O82="Sub","      ↳  "&amp;INDEX('Cronograma R. Normativo'!$C$5:$C$1000,$N82),INDEX('Cronograma R. Normativo'!$C$5:$C$1000,$N82)&amp;""))</f>
        <v/>
      </c>
      <c r="C82" s="77">
        <f>IF($N82="","",IF(INDEX('Cronograma R. Normativo'!$D$5:$D$1000,$N82)="","",INDEX('Cronograma R. Normativo'!$D$5:$D$1000,$N82)))</f>
        <v/>
      </c>
      <c r="D82" s="77">
        <f>IF($N82="","",IF(INDEX('Cronograma R. Normativo'!$E$5:$E$1000,$N82)="","",INDEX('Cronograma R. Normativo'!$E$5:$E$1000,$N82)))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Normativo'!$Y$5:$Y$1000,$N82),""),IF(INDEX('Cronograma R. Normativo'!$G$5:$G$1000,$N82)="","",INDEX('Cronograma R. Normativo'!$G$5:$G$1000,$N82))))</f>
        <v/>
      </c>
      <c r="G82" s="68">
        <f>IF($N82="","",IF($P82&gt;0,IF(2&lt;=SemanaActual,INDEX('Cronograma R. Normativo'!$Z$5:$Z$1000,$N82),""),IF(INDEX('Cronograma R. Normativo'!$H$5:$H$1000,$N82)="","",INDEX('Cronograma R. Normativo'!$H$5:$H$1000,$N82))))</f>
        <v/>
      </c>
      <c r="H82" s="68">
        <f>IF($N82="","",IF($P82&gt;0,IF(3&lt;=SemanaActual,INDEX('Cronograma R. Normativo'!$AA$5:$AA$1000,$N82),""),IF(INDEX('Cronograma R. Normativo'!$I$5:$I$1000,$N82)="","",INDEX('Cronograma R. Normativo'!$I$5:$I$1000,$N82))))</f>
        <v/>
      </c>
      <c r="I82" s="68">
        <f>IF($N82="","",IF($P82&gt;0,IF(4&lt;=SemanaActual,INDEX('Cronograma R. Normativo'!$AB$5:$AB$1000,$N82),""),IF(INDEX('Cronograma R. Normativo'!$J$5:$J$1000,$N82)="","",INDEX('Cronograma R. Normativo'!$J$5:$J$1000,$N82))))</f>
        <v/>
      </c>
      <c r="J82" s="68">
        <f>IF($N82="","",INDEX('Cronograma R. Normativo'!$K$5:$K$1000,$N82))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Normativo'!$M$5:$M$1000,$N82)&amp;"")</f>
        <v/>
      </c>
      <c r="M82" s="71">
        <f>IF($N82="","",INDEX('Cronograma R. Normativo'!$N$5:$N$1000,$N82)&amp;"")</f>
        <v/>
      </c>
      <c r="N82">
        <f>IFERROR(MATCH(ROW()-4,rOrden_RN,0),"")</f>
        <v/>
      </c>
      <c r="O82">
        <f>IF($N82="","",INDEX('Cronograma R. Normativo'!$S$5:$S$1000,$N82))</f>
        <v/>
      </c>
      <c r="P82">
        <f>IF($N82="","",N(INDEX('Cronograma R. Normativo'!$T$5:$T$1000,$N82)))</f>
        <v/>
      </c>
    </row>
    <row r="83">
      <c r="A83" s="62">
        <f>IF($N83="","",INDEX('Cronograma R. Normativo'!$A$5:$A$1000,$N83))</f>
        <v/>
      </c>
      <c r="B83" s="71">
        <f>IF($N83="","",IF($O83="Sub","      ↳  "&amp;INDEX('Cronograma R. Normativo'!$C$5:$C$1000,$N83),INDEX('Cronograma R. Normativo'!$C$5:$C$1000,$N83)&amp;""))</f>
        <v/>
      </c>
      <c r="C83" s="77">
        <f>IF($N83="","",IF(INDEX('Cronograma R. Normativo'!$D$5:$D$1000,$N83)="","",INDEX('Cronograma R. Normativo'!$D$5:$D$1000,$N83)))</f>
        <v/>
      </c>
      <c r="D83" s="77">
        <f>IF($N83="","",IF(INDEX('Cronograma R. Normativo'!$E$5:$E$1000,$N83)="","",INDEX('Cronograma R. Normativo'!$E$5:$E$1000,$N83)))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Normativo'!$Y$5:$Y$1000,$N83),""),IF(INDEX('Cronograma R. Normativo'!$G$5:$G$1000,$N83)="","",INDEX('Cronograma R. Normativo'!$G$5:$G$1000,$N83))))</f>
        <v/>
      </c>
      <c r="G83" s="68">
        <f>IF($N83="","",IF($P83&gt;0,IF(2&lt;=SemanaActual,INDEX('Cronograma R. Normativo'!$Z$5:$Z$1000,$N83),""),IF(INDEX('Cronograma R. Normativo'!$H$5:$H$1000,$N83)="","",INDEX('Cronograma R. Normativo'!$H$5:$H$1000,$N83))))</f>
        <v/>
      </c>
      <c r="H83" s="68">
        <f>IF($N83="","",IF($P83&gt;0,IF(3&lt;=SemanaActual,INDEX('Cronograma R. Normativo'!$AA$5:$AA$1000,$N83),""),IF(INDEX('Cronograma R. Normativo'!$I$5:$I$1000,$N83)="","",INDEX('Cronograma R. Normativo'!$I$5:$I$1000,$N83))))</f>
        <v/>
      </c>
      <c r="I83" s="68">
        <f>IF($N83="","",IF($P83&gt;0,IF(4&lt;=SemanaActual,INDEX('Cronograma R. Normativo'!$AB$5:$AB$1000,$N83),""),IF(INDEX('Cronograma R. Normativo'!$J$5:$J$1000,$N83)="","",INDEX('Cronograma R. Normativo'!$J$5:$J$1000,$N83))))</f>
        <v/>
      </c>
      <c r="J83" s="68">
        <f>IF($N83="","",INDEX('Cronograma R. Normativo'!$K$5:$K$1000,$N83))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Normativo'!$M$5:$M$1000,$N83)&amp;"")</f>
        <v/>
      </c>
      <c r="M83" s="71">
        <f>IF($N83="","",INDEX('Cronograma R. Normativo'!$N$5:$N$1000,$N83)&amp;"")</f>
        <v/>
      </c>
      <c r="N83">
        <f>IFERROR(MATCH(ROW()-4,rOrden_RN,0),"")</f>
        <v/>
      </c>
      <c r="O83">
        <f>IF($N83="","",INDEX('Cronograma R. Normativo'!$S$5:$S$1000,$N83))</f>
        <v/>
      </c>
      <c r="P83">
        <f>IF($N83="","",N(INDEX('Cronograma R. Normativo'!$T$5:$T$1000,$N83)))</f>
        <v/>
      </c>
    </row>
    <row r="84">
      <c r="A84" s="62">
        <f>IF($N84="","",INDEX('Cronograma R. Normativo'!$A$5:$A$1000,$N84))</f>
        <v/>
      </c>
      <c r="B84" s="71">
        <f>IF($N84="","",IF($O84="Sub","      ↳  "&amp;INDEX('Cronograma R. Normativo'!$C$5:$C$1000,$N84),INDEX('Cronograma R. Normativo'!$C$5:$C$1000,$N84)&amp;""))</f>
        <v/>
      </c>
      <c r="C84" s="77">
        <f>IF($N84="","",IF(INDEX('Cronograma R. Normativo'!$D$5:$D$1000,$N84)="","",INDEX('Cronograma R. Normativo'!$D$5:$D$1000,$N84)))</f>
        <v/>
      </c>
      <c r="D84" s="77">
        <f>IF($N84="","",IF(INDEX('Cronograma R. Normativo'!$E$5:$E$1000,$N84)="","",INDEX('Cronograma R. Normativo'!$E$5:$E$1000,$N84)))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Normativo'!$Y$5:$Y$1000,$N84),""),IF(INDEX('Cronograma R. Normativo'!$G$5:$G$1000,$N84)="","",INDEX('Cronograma R. Normativo'!$G$5:$G$1000,$N84))))</f>
        <v/>
      </c>
      <c r="G84" s="68">
        <f>IF($N84="","",IF($P84&gt;0,IF(2&lt;=SemanaActual,INDEX('Cronograma R. Normativo'!$Z$5:$Z$1000,$N84),""),IF(INDEX('Cronograma R. Normativo'!$H$5:$H$1000,$N84)="","",INDEX('Cronograma R. Normativo'!$H$5:$H$1000,$N84))))</f>
        <v/>
      </c>
      <c r="H84" s="68">
        <f>IF($N84="","",IF($P84&gt;0,IF(3&lt;=SemanaActual,INDEX('Cronograma R. Normativo'!$AA$5:$AA$1000,$N84),""),IF(INDEX('Cronograma R. Normativo'!$I$5:$I$1000,$N84)="","",INDEX('Cronograma R. Normativo'!$I$5:$I$1000,$N84))))</f>
        <v/>
      </c>
      <c r="I84" s="68">
        <f>IF($N84="","",IF($P84&gt;0,IF(4&lt;=SemanaActual,INDEX('Cronograma R. Normativo'!$AB$5:$AB$1000,$N84),""),IF(INDEX('Cronograma R. Normativo'!$J$5:$J$1000,$N84)="","",INDEX('Cronograma R. Normativo'!$J$5:$J$1000,$N84))))</f>
        <v/>
      </c>
      <c r="J84" s="68">
        <f>IF($N84="","",INDEX('Cronograma R. Normativo'!$K$5:$K$1000,$N84))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Normativo'!$M$5:$M$1000,$N84)&amp;"")</f>
        <v/>
      </c>
      <c r="M84" s="71">
        <f>IF($N84="","",INDEX('Cronograma R. Normativo'!$N$5:$N$1000,$N84)&amp;"")</f>
        <v/>
      </c>
      <c r="N84">
        <f>IFERROR(MATCH(ROW()-4,rOrden_RN,0),"")</f>
        <v/>
      </c>
      <c r="O84">
        <f>IF($N84="","",INDEX('Cronograma R. Normativo'!$S$5:$S$1000,$N84))</f>
        <v/>
      </c>
      <c r="P84">
        <f>IF($N84="","",N(INDEX('Cronograma R. Normativo'!$T$5:$T$1000,$N84)))</f>
        <v/>
      </c>
    </row>
    <row r="85">
      <c r="A85" s="62">
        <f>IF($N85="","",INDEX('Cronograma R. Normativo'!$A$5:$A$1000,$N85))</f>
        <v/>
      </c>
      <c r="B85" s="71">
        <f>IF($N85="","",IF($O85="Sub","      ↳  "&amp;INDEX('Cronograma R. Normativo'!$C$5:$C$1000,$N85),INDEX('Cronograma R. Normativo'!$C$5:$C$1000,$N85)&amp;""))</f>
        <v/>
      </c>
      <c r="C85" s="77">
        <f>IF($N85="","",IF(INDEX('Cronograma R. Normativo'!$D$5:$D$1000,$N85)="","",INDEX('Cronograma R. Normativo'!$D$5:$D$1000,$N85)))</f>
        <v/>
      </c>
      <c r="D85" s="77">
        <f>IF($N85="","",IF(INDEX('Cronograma R. Normativo'!$E$5:$E$1000,$N85)="","",INDEX('Cronograma R. Normativo'!$E$5:$E$1000,$N85)))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Normativo'!$Y$5:$Y$1000,$N85),""),IF(INDEX('Cronograma R. Normativo'!$G$5:$G$1000,$N85)="","",INDEX('Cronograma R. Normativo'!$G$5:$G$1000,$N85))))</f>
        <v/>
      </c>
      <c r="G85" s="68">
        <f>IF($N85="","",IF($P85&gt;0,IF(2&lt;=SemanaActual,INDEX('Cronograma R. Normativo'!$Z$5:$Z$1000,$N85),""),IF(INDEX('Cronograma R. Normativo'!$H$5:$H$1000,$N85)="","",INDEX('Cronograma R. Normativo'!$H$5:$H$1000,$N85))))</f>
        <v/>
      </c>
      <c r="H85" s="68">
        <f>IF($N85="","",IF($P85&gt;0,IF(3&lt;=SemanaActual,INDEX('Cronograma R. Normativo'!$AA$5:$AA$1000,$N85),""),IF(INDEX('Cronograma R. Normativo'!$I$5:$I$1000,$N85)="","",INDEX('Cronograma R. Normativo'!$I$5:$I$1000,$N85))))</f>
        <v/>
      </c>
      <c r="I85" s="68">
        <f>IF($N85="","",IF($P85&gt;0,IF(4&lt;=SemanaActual,INDEX('Cronograma R. Normativo'!$AB$5:$AB$1000,$N85),""),IF(INDEX('Cronograma R. Normativo'!$J$5:$J$1000,$N85)="","",INDEX('Cronograma R. Normativo'!$J$5:$J$1000,$N85))))</f>
        <v/>
      </c>
      <c r="J85" s="68">
        <f>IF($N85="","",INDEX('Cronograma R. Normativo'!$K$5:$K$1000,$N85))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Normativo'!$M$5:$M$1000,$N85)&amp;"")</f>
        <v/>
      </c>
      <c r="M85" s="71">
        <f>IF($N85="","",INDEX('Cronograma R. Normativo'!$N$5:$N$1000,$N85)&amp;"")</f>
        <v/>
      </c>
      <c r="N85">
        <f>IFERROR(MATCH(ROW()-4,rOrden_RN,0),"")</f>
        <v/>
      </c>
      <c r="O85">
        <f>IF($N85="","",INDEX('Cronograma R. Normativo'!$S$5:$S$1000,$N85))</f>
        <v/>
      </c>
      <c r="P85">
        <f>IF($N85="","",N(INDEX('Cronograma R. Normativo'!$T$5:$T$1000,$N85)))</f>
        <v/>
      </c>
    </row>
    <row r="86">
      <c r="A86" s="62">
        <f>IF($N86="","",INDEX('Cronograma R. Normativo'!$A$5:$A$1000,$N86))</f>
        <v/>
      </c>
      <c r="B86" s="71">
        <f>IF($N86="","",IF($O86="Sub","      ↳  "&amp;INDEX('Cronograma R. Normativo'!$C$5:$C$1000,$N86),INDEX('Cronograma R. Normativo'!$C$5:$C$1000,$N86)&amp;""))</f>
        <v/>
      </c>
      <c r="C86" s="77">
        <f>IF($N86="","",IF(INDEX('Cronograma R. Normativo'!$D$5:$D$1000,$N86)="","",INDEX('Cronograma R. Normativo'!$D$5:$D$1000,$N86)))</f>
        <v/>
      </c>
      <c r="D86" s="77">
        <f>IF($N86="","",IF(INDEX('Cronograma R. Normativo'!$E$5:$E$1000,$N86)="","",INDEX('Cronograma R. Normativo'!$E$5:$E$1000,$N86)))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Normativo'!$Y$5:$Y$1000,$N86),""),IF(INDEX('Cronograma R. Normativo'!$G$5:$G$1000,$N86)="","",INDEX('Cronograma R. Normativo'!$G$5:$G$1000,$N86))))</f>
        <v/>
      </c>
      <c r="G86" s="68">
        <f>IF($N86="","",IF($P86&gt;0,IF(2&lt;=SemanaActual,INDEX('Cronograma R. Normativo'!$Z$5:$Z$1000,$N86),""),IF(INDEX('Cronograma R. Normativo'!$H$5:$H$1000,$N86)="","",INDEX('Cronograma R. Normativo'!$H$5:$H$1000,$N86))))</f>
        <v/>
      </c>
      <c r="H86" s="68">
        <f>IF($N86="","",IF($P86&gt;0,IF(3&lt;=SemanaActual,INDEX('Cronograma R. Normativo'!$AA$5:$AA$1000,$N86),""),IF(INDEX('Cronograma R. Normativo'!$I$5:$I$1000,$N86)="","",INDEX('Cronograma R. Normativo'!$I$5:$I$1000,$N86))))</f>
        <v/>
      </c>
      <c r="I86" s="68">
        <f>IF($N86="","",IF($P86&gt;0,IF(4&lt;=SemanaActual,INDEX('Cronograma R. Normativo'!$AB$5:$AB$1000,$N86),""),IF(INDEX('Cronograma R. Normativo'!$J$5:$J$1000,$N86)="","",INDEX('Cronograma R. Normativo'!$J$5:$J$1000,$N86))))</f>
        <v/>
      </c>
      <c r="J86" s="68">
        <f>IF($N86="","",INDEX('Cronograma R. Normativo'!$K$5:$K$1000,$N86))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Normativo'!$M$5:$M$1000,$N86)&amp;"")</f>
        <v/>
      </c>
      <c r="M86" s="71">
        <f>IF($N86="","",INDEX('Cronograma R. Normativo'!$N$5:$N$1000,$N86)&amp;"")</f>
        <v/>
      </c>
      <c r="N86">
        <f>IFERROR(MATCH(ROW()-4,rOrden_RN,0),"")</f>
        <v/>
      </c>
      <c r="O86">
        <f>IF($N86="","",INDEX('Cronograma R. Normativo'!$S$5:$S$1000,$N86))</f>
        <v/>
      </c>
      <c r="P86">
        <f>IF($N86="","",N(INDEX('Cronograma R. Normativo'!$T$5:$T$1000,$N86)))</f>
        <v/>
      </c>
    </row>
    <row r="87">
      <c r="A87" s="62">
        <f>IF($N87="","",INDEX('Cronograma R. Normativo'!$A$5:$A$1000,$N87))</f>
        <v/>
      </c>
      <c r="B87" s="71">
        <f>IF($N87="","",IF($O87="Sub","      ↳  "&amp;INDEX('Cronograma R. Normativo'!$C$5:$C$1000,$N87),INDEX('Cronograma R. Normativo'!$C$5:$C$1000,$N87)&amp;""))</f>
        <v/>
      </c>
      <c r="C87" s="77">
        <f>IF($N87="","",IF(INDEX('Cronograma R. Normativo'!$D$5:$D$1000,$N87)="","",INDEX('Cronograma R. Normativo'!$D$5:$D$1000,$N87)))</f>
        <v/>
      </c>
      <c r="D87" s="77">
        <f>IF($N87="","",IF(INDEX('Cronograma R. Normativo'!$E$5:$E$1000,$N87)="","",INDEX('Cronograma R. Normativo'!$E$5:$E$1000,$N87)))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Normativo'!$Y$5:$Y$1000,$N87),""),IF(INDEX('Cronograma R. Normativo'!$G$5:$G$1000,$N87)="","",INDEX('Cronograma R. Normativo'!$G$5:$G$1000,$N87))))</f>
        <v/>
      </c>
      <c r="G87" s="68">
        <f>IF($N87="","",IF($P87&gt;0,IF(2&lt;=SemanaActual,INDEX('Cronograma R. Normativo'!$Z$5:$Z$1000,$N87),""),IF(INDEX('Cronograma R. Normativo'!$H$5:$H$1000,$N87)="","",INDEX('Cronograma R. Normativo'!$H$5:$H$1000,$N87))))</f>
        <v/>
      </c>
      <c r="H87" s="68">
        <f>IF($N87="","",IF($P87&gt;0,IF(3&lt;=SemanaActual,INDEX('Cronograma R. Normativo'!$AA$5:$AA$1000,$N87),""),IF(INDEX('Cronograma R. Normativo'!$I$5:$I$1000,$N87)="","",INDEX('Cronograma R. Normativo'!$I$5:$I$1000,$N87))))</f>
        <v/>
      </c>
      <c r="I87" s="68">
        <f>IF($N87="","",IF($P87&gt;0,IF(4&lt;=SemanaActual,INDEX('Cronograma R. Normativo'!$AB$5:$AB$1000,$N87),""),IF(INDEX('Cronograma R. Normativo'!$J$5:$J$1000,$N87)="","",INDEX('Cronograma R. Normativo'!$J$5:$J$1000,$N87))))</f>
        <v/>
      </c>
      <c r="J87" s="68">
        <f>IF($N87="","",INDEX('Cronograma R. Normativo'!$K$5:$K$1000,$N87))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Normativo'!$M$5:$M$1000,$N87)&amp;"")</f>
        <v/>
      </c>
      <c r="M87" s="71">
        <f>IF($N87="","",INDEX('Cronograma R. Normativo'!$N$5:$N$1000,$N87)&amp;"")</f>
        <v/>
      </c>
      <c r="N87">
        <f>IFERROR(MATCH(ROW()-4,rOrden_RN,0),"")</f>
        <v/>
      </c>
      <c r="O87">
        <f>IF($N87="","",INDEX('Cronograma R. Normativo'!$S$5:$S$1000,$N87))</f>
        <v/>
      </c>
      <c r="P87">
        <f>IF($N87="","",N(INDEX('Cronograma R. Normativo'!$T$5:$T$1000,$N87)))</f>
        <v/>
      </c>
    </row>
    <row r="88">
      <c r="A88" s="62">
        <f>IF($N88="","",INDEX('Cronograma R. Normativo'!$A$5:$A$1000,$N88))</f>
        <v/>
      </c>
      <c r="B88" s="71">
        <f>IF($N88="","",IF($O88="Sub","      ↳  "&amp;INDEX('Cronograma R. Normativo'!$C$5:$C$1000,$N88),INDEX('Cronograma R. Normativo'!$C$5:$C$1000,$N88)&amp;""))</f>
        <v/>
      </c>
      <c r="C88" s="77">
        <f>IF($N88="","",IF(INDEX('Cronograma R. Normativo'!$D$5:$D$1000,$N88)="","",INDEX('Cronograma R. Normativo'!$D$5:$D$1000,$N88)))</f>
        <v/>
      </c>
      <c r="D88" s="77">
        <f>IF($N88="","",IF(INDEX('Cronograma R. Normativo'!$E$5:$E$1000,$N88)="","",INDEX('Cronograma R. Normativo'!$E$5:$E$1000,$N88)))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Normativo'!$Y$5:$Y$1000,$N88),""),IF(INDEX('Cronograma R. Normativo'!$G$5:$G$1000,$N88)="","",INDEX('Cronograma R. Normativo'!$G$5:$G$1000,$N88))))</f>
        <v/>
      </c>
      <c r="G88" s="68">
        <f>IF($N88="","",IF($P88&gt;0,IF(2&lt;=SemanaActual,INDEX('Cronograma R. Normativo'!$Z$5:$Z$1000,$N88),""),IF(INDEX('Cronograma R. Normativo'!$H$5:$H$1000,$N88)="","",INDEX('Cronograma R. Normativo'!$H$5:$H$1000,$N88))))</f>
        <v/>
      </c>
      <c r="H88" s="68">
        <f>IF($N88="","",IF($P88&gt;0,IF(3&lt;=SemanaActual,INDEX('Cronograma R. Normativo'!$AA$5:$AA$1000,$N88),""),IF(INDEX('Cronograma R. Normativo'!$I$5:$I$1000,$N88)="","",INDEX('Cronograma R. Normativo'!$I$5:$I$1000,$N88))))</f>
        <v/>
      </c>
      <c r="I88" s="68">
        <f>IF($N88="","",IF($P88&gt;0,IF(4&lt;=SemanaActual,INDEX('Cronograma R. Normativo'!$AB$5:$AB$1000,$N88),""),IF(INDEX('Cronograma R. Normativo'!$J$5:$J$1000,$N88)="","",INDEX('Cronograma R. Normativo'!$J$5:$J$1000,$N88))))</f>
        <v/>
      </c>
      <c r="J88" s="68">
        <f>IF($N88="","",INDEX('Cronograma R. Normativo'!$K$5:$K$1000,$N88))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Normativo'!$M$5:$M$1000,$N88)&amp;"")</f>
        <v/>
      </c>
      <c r="M88" s="71">
        <f>IF($N88="","",INDEX('Cronograma R. Normativo'!$N$5:$N$1000,$N88)&amp;"")</f>
        <v/>
      </c>
      <c r="N88">
        <f>IFERROR(MATCH(ROW()-4,rOrden_RN,0),"")</f>
        <v/>
      </c>
      <c r="O88">
        <f>IF($N88="","",INDEX('Cronograma R. Normativo'!$S$5:$S$1000,$N88))</f>
        <v/>
      </c>
      <c r="P88">
        <f>IF($N88="","",N(INDEX('Cronograma R. Normativo'!$T$5:$T$1000,$N88)))</f>
        <v/>
      </c>
    </row>
    <row r="89">
      <c r="A89" s="62">
        <f>IF($N89="","",INDEX('Cronograma R. Normativo'!$A$5:$A$1000,$N89))</f>
        <v/>
      </c>
      <c r="B89" s="71">
        <f>IF($N89="","",IF($O89="Sub","      ↳  "&amp;INDEX('Cronograma R. Normativo'!$C$5:$C$1000,$N89),INDEX('Cronograma R. Normativo'!$C$5:$C$1000,$N89)&amp;""))</f>
        <v/>
      </c>
      <c r="C89" s="77">
        <f>IF($N89="","",IF(INDEX('Cronograma R. Normativo'!$D$5:$D$1000,$N89)="","",INDEX('Cronograma R. Normativo'!$D$5:$D$1000,$N89)))</f>
        <v/>
      </c>
      <c r="D89" s="77">
        <f>IF($N89="","",IF(INDEX('Cronograma R. Normativo'!$E$5:$E$1000,$N89)="","",INDEX('Cronograma R. Normativo'!$E$5:$E$1000,$N89)))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Normativo'!$Y$5:$Y$1000,$N89),""),IF(INDEX('Cronograma R. Normativo'!$G$5:$G$1000,$N89)="","",INDEX('Cronograma R. Normativo'!$G$5:$G$1000,$N89))))</f>
        <v/>
      </c>
      <c r="G89" s="68">
        <f>IF($N89="","",IF($P89&gt;0,IF(2&lt;=SemanaActual,INDEX('Cronograma R. Normativo'!$Z$5:$Z$1000,$N89),""),IF(INDEX('Cronograma R. Normativo'!$H$5:$H$1000,$N89)="","",INDEX('Cronograma R. Normativo'!$H$5:$H$1000,$N89))))</f>
        <v/>
      </c>
      <c r="H89" s="68">
        <f>IF($N89="","",IF($P89&gt;0,IF(3&lt;=SemanaActual,INDEX('Cronograma R. Normativo'!$AA$5:$AA$1000,$N89),""),IF(INDEX('Cronograma R. Normativo'!$I$5:$I$1000,$N89)="","",INDEX('Cronograma R. Normativo'!$I$5:$I$1000,$N89))))</f>
        <v/>
      </c>
      <c r="I89" s="68">
        <f>IF($N89="","",IF($P89&gt;0,IF(4&lt;=SemanaActual,INDEX('Cronograma R. Normativo'!$AB$5:$AB$1000,$N89),""),IF(INDEX('Cronograma R. Normativo'!$J$5:$J$1000,$N89)="","",INDEX('Cronograma R. Normativo'!$J$5:$J$1000,$N89))))</f>
        <v/>
      </c>
      <c r="J89" s="68">
        <f>IF($N89="","",INDEX('Cronograma R. Normativo'!$K$5:$K$1000,$N89))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Normativo'!$M$5:$M$1000,$N89)&amp;"")</f>
        <v/>
      </c>
      <c r="M89" s="71">
        <f>IF($N89="","",INDEX('Cronograma R. Normativo'!$N$5:$N$1000,$N89)&amp;"")</f>
        <v/>
      </c>
      <c r="N89">
        <f>IFERROR(MATCH(ROW()-4,rOrden_RN,0),"")</f>
        <v/>
      </c>
      <c r="O89">
        <f>IF($N89="","",INDEX('Cronograma R. Normativo'!$S$5:$S$1000,$N89))</f>
        <v/>
      </c>
      <c r="P89">
        <f>IF($N89="","",N(INDEX('Cronograma R. Normativo'!$T$5:$T$1000,$N89)))</f>
        <v/>
      </c>
    </row>
    <row r="90">
      <c r="A90" s="62">
        <f>IF($N90="","",INDEX('Cronograma R. Normativo'!$A$5:$A$1000,$N90))</f>
        <v/>
      </c>
      <c r="B90" s="71">
        <f>IF($N90="","",IF($O90="Sub","      ↳  "&amp;INDEX('Cronograma R. Normativo'!$C$5:$C$1000,$N90),INDEX('Cronograma R. Normativo'!$C$5:$C$1000,$N90)&amp;""))</f>
        <v/>
      </c>
      <c r="C90" s="77">
        <f>IF($N90="","",IF(INDEX('Cronograma R. Normativo'!$D$5:$D$1000,$N90)="","",INDEX('Cronograma R. Normativo'!$D$5:$D$1000,$N90)))</f>
        <v/>
      </c>
      <c r="D90" s="77">
        <f>IF($N90="","",IF(INDEX('Cronograma R. Normativo'!$E$5:$E$1000,$N90)="","",INDEX('Cronograma R. Normativo'!$E$5:$E$1000,$N90)))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Normativo'!$Y$5:$Y$1000,$N90),""),IF(INDEX('Cronograma R. Normativo'!$G$5:$G$1000,$N90)="","",INDEX('Cronograma R. Normativo'!$G$5:$G$1000,$N90))))</f>
        <v/>
      </c>
      <c r="G90" s="68">
        <f>IF($N90="","",IF($P90&gt;0,IF(2&lt;=SemanaActual,INDEX('Cronograma R. Normativo'!$Z$5:$Z$1000,$N90),""),IF(INDEX('Cronograma R. Normativo'!$H$5:$H$1000,$N90)="","",INDEX('Cronograma R. Normativo'!$H$5:$H$1000,$N90))))</f>
        <v/>
      </c>
      <c r="H90" s="68">
        <f>IF($N90="","",IF($P90&gt;0,IF(3&lt;=SemanaActual,INDEX('Cronograma R. Normativo'!$AA$5:$AA$1000,$N90),""),IF(INDEX('Cronograma R. Normativo'!$I$5:$I$1000,$N90)="","",INDEX('Cronograma R. Normativo'!$I$5:$I$1000,$N90))))</f>
        <v/>
      </c>
      <c r="I90" s="68">
        <f>IF($N90="","",IF($P90&gt;0,IF(4&lt;=SemanaActual,INDEX('Cronograma R. Normativo'!$AB$5:$AB$1000,$N90),""),IF(INDEX('Cronograma R. Normativo'!$J$5:$J$1000,$N90)="","",INDEX('Cronograma R. Normativo'!$J$5:$J$1000,$N90))))</f>
        <v/>
      </c>
      <c r="J90" s="68">
        <f>IF($N90="","",INDEX('Cronograma R. Normativo'!$K$5:$K$1000,$N90))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Normativo'!$M$5:$M$1000,$N90)&amp;"")</f>
        <v/>
      </c>
      <c r="M90" s="71">
        <f>IF($N90="","",INDEX('Cronograma R. Normativo'!$N$5:$N$1000,$N90)&amp;"")</f>
        <v/>
      </c>
      <c r="N90">
        <f>IFERROR(MATCH(ROW()-4,rOrden_RN,0),"")</f>
        <v/>
      </c>
      <c r="O90">
        <f>IF($N90="","",INDEX('Cronograma R. Normativo'!$S$5:$S$1000,$N90))</f>
        <v/>
      </c>
      <c r="P90">
        <f>IF($N90="","",N(INDEX('Cronograma R. Normativo'!$T$5:$T$1000,$N90)))</f>
        <v/>
      </c>
    </row>
    <row r="91">
      <c r="A91" s="62">
        <f>IF($N91="","",INDEX('Cronograma R. Normativo'!$A$5:$A$1000,$N91))</f>
        <v/>
      </c>
      <c r="B91" s="71">
        <f>IF($N91="","",IF($O91="Sub","      ↳  "&amp;INDEX('Cronograma R. Normativo'!$C$5:$C$1000,$N91),INDEX('Cronograma R. Normativo'!$C$5:$C$1000,$N91)&amp;""))</f>
        <v/>
      </c>
      <c r="C91" s="77">
        <f>IF($N91="","",IF(INDEX('Cronograma R. Normativo'!$D$5:$D$1000,$N91)="","",INDEX('Cronograma R. Normativo'!$D$5:$D$1000,$N91)))</f>
        <v/>
      </c>
      <c r="D91" s="77">
        <f>IF($N91="","",IF(INDEX('Cronograma R. Normativo'!$E$5:$E$1000,$N91)="","",INDEX('Cronograma R. Normativo'!$E$5:$E$1000,$N91)))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Normativo'!$Y$5:$Y$1000,$N91),""),IF(INDEX('Cronograma R. Normativo'!$G$5:$G$1000,$N91)="","",INDEX('Cronograma R. Normativo'!$G$5:$G$1000,$N91))))</f>
        <v/>
      </c>
      <c r="G91" s="68">
        <f>IF($N91="","",IF($P91&gt;0,IF(2&lt;=SemanaActual,INDEX('Cronograma R. Normativo'!$Z$5:$Z$1000,$N91),""),IF(INDEX('Cronograma R. Normativo'!$H$5:$H$1000,$N91)="","",INDEX('Cronograma R. Normativo'!$H$5:$H$1000,$N91))))</f>
        <v/>
      </c>
      <c r="H91" s="68">
        <f>IF($N91="","",IF($P91&gt;0,IF(3&lt;=SemanaActual,INDEX('Cronograma R. Normativo'!$AA$5:$AA$1000,$N91),""),IF(INDEX('Cronograma R. Normativo'!$I$5:$I$1000,$N91)="","",INDEX('Cronograma R. Normativo'!$I$5:$I$1000,$N91))))</f>
        <v/>
      </c>
      <c r="I91" s="68">
        <f>IF($N91="","",IF($P91&gt;0,IF(4&lt;=SemanaActual,INDEX('Cronograma R. Normativo'!$AB$5:$AB$1000,$N91),""),IF(INDEX('Cronograma R. Normativo'!$J$5:$J$1000,$N91)="","",INDEX('Cronograma R. Normativo'!$J$5:$J$1000,$N91))))</f>
        <v/>
      </c>
      <c r="J91" s="68">
        <f>IF($N91="","",INDEX('Cronograma R. Normativo'!$K$5:$K$1000,$N91))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Normativo'!$M$5:$M$1000,$N91)&amp;"")</f>
        <v/>
      </c>
      <c r="M91" s="71">
        <f>IF($N91="","",INDEX('Cronograma R. Normativo'!$N$5:$N$1000,$N91)&amp;"")</f>
        <v/>
      </c>
      <c r="N91">
        <f>IFERROR(MATCH(ROW()-4,rOrden_RN,0),"")</f>
        <v/>
      </c>
      <c r="O91">
        <f>IF($N91="","",INDEX('Cronograma R. Normativo'!$S$5:$S$1000,$N91))</f>
        <v/>
      </c>
      <c r="P91">
        <f>IF($N91="","",N(INDEX('Cronograma R. Normativo'!$T$5:$T$1000,$N91)))</f>
        <v/>
      </c>
    </row>
    <row r="92">
      <c r="A92" s="62">
        <f>IF($N92="","",INDEX('Cronograma R. Normativo'!$A$5:$A$1000,$N92))</f>
        <v/>
      </c>
      <c r="B92" s="71">
        <f>IF($N92="","",IF($O92="Sub","      ↳  "&amp;INDEX('Cronograma R. Normativo'!$C$5:$C$1000,$N92),INDEX('Cronograma R. Normativo'!$C$5:$C$1000,$N92)&amp;""))</f>
        <v/>
      </c>
      <c r="C92" s="77">
        <f>IF($N92="","",IF(INDEX('Cronograma R. Normativo'!$D$5:$D$1000,$N92)="","",INDEX('Cronograma R. Normativo'!$D$5:$D$1000,$N92)))</f>
        <v/>
      </c>
      <c r="D92" s="77">
        <f>IF($N92="","",IF(INDEX('Cronograma R. Normativo'!$E$5:$E$1000,$N92)="","",INDEX('Cronograma R. Normativo'!$E$5:$E$1000,$N92)))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Normativo'!$Y$5:$Y$1000,$N92),""),IF(INDEX('Cronograma R. Normativo'!$G$5:$G$1000,$N92)="","",INDEX('Cronograma R. Normativo'!$G$5:$G$1000,$N92))))</f>
        <v/>
      </c>
      <c r="G92" s="68">
        <f>IF($N92="","",IF($P92&gt;0,IF(2&lt;=SemanaActual,INDEX('Cronograma R. Normativo'!$Z$5:$Z$1000,$N92),""),IF(INDEX('Cronograma R. Normativo'!$H$5:$H$1000,$N92)="","",INDEX('Cronograma R. Normativo'!$H$5:$H$1000,$N92))))</f>
        <v/>
      </c>
      <c r="H92" s="68">
        <f>IF($N92="","",IF($P92&gt;0,IF(3&lt;=SemanaActual,INDEX('Cronograma R. Normativo'!$AA$5:$AA$1000,$N92),""),IF(INDEX('Cronograma R. Normativo'!$I$5:$I$1000,$N92)="","",INDEX('Cronograma R. Normativo'!$I$5:$I$1000,$N92))))</f>
        <v/>
      </c>
      <c r="I92" s="68">
        <f>IF($N92="","",IF($P92&gt;0,IF(4&lt;=SemanaActual,INDEX('Cronograma R. Normativo'!$AB$5:$AB$1000,$N92),""),IF(INDEX('Cronograma R. Normativo'!$J$5:$J$1000,$N92)="","",INDEX('Cronograma R. Normativo'!$J$5:$J$1000,$N92))))</f>
        <v/>
      </c>
      <c r="J92" s="68">
        <f>IF($N92="","",INDEX('Cronograma R. Normativo'!$K$5:$K$1000,$N92))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Normativo'!$M$5:$M$1000,$N92)&amp;"")</f>
        <v/>
      </c>
      <c r="M92" s="71">
        <f>IF($N92="","",INDEX('Cronograma R. Normativo'!$N$5:$N$1000,$N92)&amp;"")</f>
        <v/>
      </c>
      <c r="N92">
        <f>IFERROR(MATCH(ROW()-4,rOrden_RN,0),"")</f>
        <v/>
      </c>
      <c r="O92">
        <f>IF($N92="","",INDEX('Cronograma R. Normativo'!$S$5:$S$1000,$N92))</f>
        <v/>
      </c>
      <c r="P92">
        <f>IF($N92="","",N(INDEX('Cronograma R. Normativo'!$T$5:$T$1000,$N92)))</f>
        <v/>
      </c>
    </row>
    <row r="93">
      <c r="A93" s="62">
        <f>IF($N93="","",INDEX('Cronograma R. Normativo'!$A$5:$A$1000,$N93))</f>
        <v/>
      </c>
      <c r="B93" s="71">
        <f>IF($N93="","",IF($O93="Sub","      ↳  "&amp;INDEX('Cronograma R. Normativo'!$C$5:$C$1000,$N93),INDEX('Cronograma R. Normativo'!$C$5:$C$1000,$N93)&amp;""))</f>
        <v/>
      </c>
      <c r="C93" s="77">
        <f>IF($N93="","",IF(INDEX('Cronograma R. Normativo'!$D$5:$D$1000,$N93)="","",INDEX('Cronograma R. Normativo'!$D$5:$D$1000,$N93)))</f>
        <v/>
      </c>
      <c r="D93" s="77">
        <f>IF($N93="","",IF(INDEX('Cronograma R. Normativo'!$E$5:$E$1000,$N93)="","",INDEX('Cronograma R. Normativo'!$E$5:$E$1000,$N93)))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Normativo'!$Y$5:$Y$1000,$N93),""),IF(INDEX('Cronograma R. Normativo'!$G$5:$G$1000,$N93)="","",INDEX('Cronograma R. Normativo'!$G$5:$G$1000,$N93))))</f>
        <v/>
      </c>
      <c r="G93" s="68">
        <f>IF($N93="","",IF($P93&gt;0,IF(2&lt;=SemanaActual,INDEX('Cronograma R. Normativo'!$Z$5:$Z$1000,$N93),""),IF(INDEX('Cronograma R. Normativo'!$H$5:$H$1000,$N93)="","",INDEX('Cronograma R. Normativo'!$H$5:$H$1000,$N93))))</f>
        <v/>
      </c>
      <c r="H93" s="68">
        <f>IF($N93="","",IF($P93&gt;0,IF(3&lt;=SemanaActual,INDEX('Cronograma R. Normativo'!$AA$5:$AA$1000,$N93),""),IF(INDEX('Cronograma R. Normativo'!$I$5:$I$1000,$N93)="","",INDEX('Cronograma R. Normativo'!$I$5:$I$1000,$N93))))</f>
        <v/>
      </c>
      <c r="I93" s="68">
        <f>IF($N93="","",IF($P93&gt;0,IF(4&lt;=SemanaActual,INDEX('Cronograma R. Normativo'!$AB$5:$AB$1000,$N93),""),IF(INDEX('Cronograma R. Normativo'!$J$5:$J$1000,$N93)="","",INDEX('Cronograma R. Normativo'!$J$5:$J$1000,$N93))))</f>
        <v/>
      </c>
      <c r="J93" s="68">
        <f>IF($N93="","",INDEX('Cronograma R. Normativo'!$K$5:$K$1000,$N93))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Normativo'!$M$5:$M$1000,$N93)&amp;"")</f>
        <v/>
      </c>
      <c r="M93" s="71">
        <f>IF($N93="","",INDEX('Cronograma R. Normativo'!$N$5:$N$1000,$N93)&amp;"")</f>
        <v/>
      </c>
      <c r="N93">
        <f>IFERROR(MATCH(ROW()-4,rOrden_RN,0),"")</f>
        <v/>
      </c>
      <c r="O93">
        <f>IF($N93="","",INDEX('Cronograma R. Normativo'!$S$5:$S$1000,$N93))</f>
        <v/>
      </c>
      <c r="P93">
        <f>IF($N93="","",N(INDEX('Cronograma R. Normativo'!$T$5:$T$1000,$N93)))</f>
        <v/>
      </c>
    </row>
    <row r="94">
      <c r="A94" s="62">
        <f>IF($N94="","",INDEX('Cronograma R. Normativo'!$A$5:$A$1000,$N94))</f>
        <v/>
      </c>
      <c r="B94" s="71">
        <f>IF($N94="","",IF($O94="Sub","      ↳  "&amp;INDEX('Cronograma R. Normativo'!$C$5:$C$1000,$N94),INDEX('Cronograma R. Normativo'!$C$5:$C$1000,$N94)&amp;""))</f>
        <v/>
      </c>
      <c r="C94" s="77">
        <f>IF($N94="","",IF(INDEX('Cronograma R. Normativo'!$D$5:$D$1000,$N94)="","",INDEX('Cronograma R. Normativo'!$D$5:$D$1000,$N94)))</f>
        <v/>
      </c>
      <c r="D94" s="77">
        <f>IF($N94="","",IF(INDEX('Cronograma R. Normativo'!$E$5:$E$1000,$N94)="","",INDEX('Cronograma R. Normativo'!$E$5:$E$1000,$N94)))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Normativo'!$Y$5:$Y$1000,$N94),""),IF(INDEX('Cronograma R. Normativo'!$G$5:$G$1000,$N94)="","",INDEX('Cronograma R. Normativo'!$G$5:$G$1000,$N94))))</f>
        <v/>
      </c>
      <c r="G94" s="68">
        <f>IF($N94="","",IF($P94&gt;0,IF(2&lt;=SemanaActual,INDEX('Cronograma R. Normativo'!$Z$5:$Z$1000,$N94),""),IF(INDEX('Cronograma R. Normativo'!$H$5:$H$1000,$N94)="","",INDEX('Cronograma R. Normativo'!$H$5:$H$1000,$N94))))</f>
        <v/>
      </c>
      <c r="H94" s="68">
        <f>IF($N94="","",IF($P94&gt;0,IF(3&lt;=SemanaActual,INDEX('Cronograma R. Normativo'!$AA$5:$AA$1000,$N94),""),IF(INDEX('Cronograma R. Normativo'!$I$5:$I$1000,$N94)="","",INDEX('Cronograma R. Normativo'!$I$5:$I$1000,$N94))))</f>
        <v/>
      </c>
      <c r="I94" s="68">
        <f>IF($N94="","",IF($P94&gt;0,IF(4&lt;=SemanaActual,INDEX('Cronograma R. Normativo'!$AB$5:$AB$1000,$N94),""),IF(INDEX('Cronograma R. Normativo'!$J$5:$J$1000,$N94)="","",INDEX('Cronograma R. Normativo'!$J$5:$J$1000,$N94))))</f>
        <v/>
      </c>
      <c r="J94" s="68">
        <f>IF($N94="","",INDEX('Cronograma R. Normativo'!$K$5:$K$1000,$N94))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Normativo'!$M$5:$M$1000,$N94)&amp;"")</f>
        <v/>
      </c>
      <c r="M94" s="71">
        <f>IF($N94="","",INDEX('Cronograma R. Normativo'!$N$5:$N$1000,$N94)&amp;"")</f>
        <v/>
      </c>
      <c r="N94">
        <f>IFERROR(MATCH(ROW()-4,rOrden_RN,0),"")</f>
        <v/>
      </c>
      <c r="O94">
        <f>IF($N94="","",INDEX('Cronograma R. Normativo'!$S$5:$S$1000,$N94))</f>
        <v/>
      </c>
      <c r="P94">
        <f>IF($N94="","",N(INDEX('Cronograma R. Normativo'!$T$5:$T$1000,$N94)))</f>
        <v/>
      </c>
    </row>
    <row r="95">
      <c r="A95" s="62">
        <f>IF($N95="","",INDEX('Cronograma R. Normativo'!$A$5:$A$1000,$N95))</f>
        <v/>
      </c>
      <c r="B95" s="71">
        <f>IF($N95="","",IF($O95="Sub","      ↳  "&amp;INDEX('Cronograma R. Normativo'!$C$5:$C$1000,$N95),INDEX('Cronograma R. Normativo'!$C$5:$C$1000,$N95)&amp;""))</f>
        <v/>
      </c>
      <c r="C95" s="77">
        <f>IF($N95="","",IF(INDEX('Cronograma R. Normativo'!$D$5:$D$1000,$N95)="","",INDEX('Cronograma R. Normativo'!$D$5:$D$1000,$N95)))</f>
        <v/>
      </c>
      <c r="D95" s="77">
        <f>IF($N95="","",IF(INDEX('Cronograma R. Normativo'!$E$5:$E$1000,$N95)="","",INDEX('Cronograma R. Normativo'!$E$5:$E$1000,$N95)))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Normativo'!$Y$5:$Y$1000,$N95),""),IF(INDEX('Cronograma R. Normativo'!$G$5:$G$1000,$N95)="","",INDEX('Cronograma R. Normativo'!$G$5:$G$1000,$N95))))</f>
        <v/>
      </c>
      <c r="G95" s="68">
        <f>IF($N95="","",IF($P95&gt;0,IF(2&lt;=SemanaActual,INDEX('Cronograma R. Normativo'!$Z$5:$Z$1000,$N95),""),IF(INDEX('Cronograma R. Normativo'!$H$5:$H$1000,$N95)="","",INDEX('Cronograma R. Normativo'!$H$5:$H$1000,$N95))))</f>
        <v/>
      </c>
      <c r="H95" s="68">
        <f>IF($N95="","",IF($P95&gt;0,IF(3&lt;=SemanaActual,INDEX('Cronograma R. Normativo'!$AA$5:$AA$1000,$N95),""),IF(INDEX('Cronograma R. Normativo'!$I$5:$I$1000,$N95)="","",INDEX('Cronograma R. Normativo'!$I$5:$I$1000,$N95))))</f>
        <v/>
      </c>
      <c r="I95" s="68">
        <f>IF($N95="","",IF($P95&gt;0,IF(4&lt;=SemanaActual,INDEX('Cronograma R. Normativo'!$AB$5:$AB$1000,$N95),""),IF(INDEX('Cronograma R. Normativo'!$J$5:$J$1000,$N95)="","",INDEX('Cronograma R. Normativo'!$J$5:$J$1000,$N95))))</f>
        <v/>
      </c>
      <c r="J95" s="68">
        <f>IF($N95="","",INDEX('Cronograma R. Normativo'!$K$5:$K$1000,$N95))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Normativo'!$M$5:$M$1000,$N95)&amp;"")</f>
        <v/>
      </c>
      <c r="M95" s="71">
        <f>IF($N95="","",INDEX('Cronograma R. Normativo'!$N$5:$N$1000,$N95)&amp;"")</f>
        <v/>
      </c>
      <c r="N95">
        <f>IFERROR(MATCH(ROW()-4,rOrden_RN,0),"")</f>
        <v/>
      </c>
      <c r="O95">
        <f>IF($N95="","",INDEX('Cronograma R. Normativo'!$S$5:$S$1000,$N95))</f>
        <v/>
      </c>
      <c r="P95">
        <f>IF($N95="","",N(INDEX('Cronograma R. Normativo'!$T$5:$T$1000,$N95)))</f>
        <v/>
      </c>
    </row>
    <row r="96">
      <c r="A96" s="62">
        <f>IF($N96="","",INDEX('Cronograma R. Normativo'!$A$5:$A$1000,$N96))</f>
        <v/>
      </c>
      <c r="B96" s="71">
        <f>IF($N96="","",IF($O96="Sub","      ↳  "&amp;INDEX('Cronograma R. Normativo'!$C$5:$C$1000,$N96),INDEX('Cronograma R. Normativo'!$C$5:$C$1000,$N96)&amp;""))</f>
        <v/>
      </c>
      <c r="C96" s="77">
        <f>IF($N96="","",IF(INDEX('Cronograma R. Normativo'!$D$5:$D$1000,$N96)="","",INDEX('Cronograma R. Normativo'!$D$5:$D$1000,$N96)))</f>
        <v/>
      </c>
      <c r="D96" s="77">
        <f>IF($N96="","",IF(INDEX('Cronograma R. Normativo'!$E$5:$E$1000,$N96)="","",INDEX('Cronograma R. Normativo'!$E$5:$E$1000,$N96)))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Normativo'!$Y$5:$Y$1000,$N96),""),IF(INDEX('Cronograma R. Normativo'!$G$5:$G$1000,$N96)="","",INDEX('Cronograma R. Normativo'!$G$5:$G$1000,$N96))))</f>
        <v/>
      </c>
      <c r="G96" s="68">
        <f>IF($N96="","",IF($P96&gt;0,IF(2&lt;=SemanaActual,INDEX('Cronograma R. Normativo'!$Z$5:$Z$1000,$N96),""),IF(INDEX('Cronograma R. Normativo'!$H$5:$H$1000,$N96)="","",INDEX('Cronograma R. Normativo'!$H$5:$H$1000,$N96))))</f>
        <v/>
      </c>
      <c r="H96" s="68">
        <f>IF($N96="","",IF($P96&gt;0,IF(3&lt;=SemanaActual,INDEX('Cronograma R. Normativo'!$AA$5:$AA$1000,$N96),""),IF(INDEX('Cronograma R. Normativo'!$I$5:$I$1000,$N96)="","",INDEX('Cronograma R. Normativo'!$I$5:$I$1000,$N96))))</f>
        <v/>
      </c>
      <c r="I96" s="68">
        <f>IF($N96="","",IF($P96&gt;0,IF(4&lt;=SemanaActual,INDEX('Cronograma R. Normativo'!$AB$5:$AB$1000,$N96),""),IF(INDEX('Cronograma R. Normativo'!$J$5:$J$1000,$N96)="","",INDEX('Cronograma R. Normativo'!$J$5:$J$1000,$N96))))</f>
        <v/>
      </c>
      <c r="J96" s="68">
        <f>IF($N96="","",INDEX('Cronograma R. Normativo'!$K$5:$K$1000,$N96))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Normativo'!$M$5:$M$1000,$N96)&amp;"")</f>
        <v/>
      </c>
      <c r="M96" s="71">
        <f>IF($N96="","",INDEX('Cronograma R. Normativo'!$N$5:$N$1000,$N96)&amp;"")</f>
        <v/>
      </c>
      <c r="N96">
        <f>IFERROR(MATCH(ROW()-4,rOrden_RN,0),"")</f>
        <v/>
      </c>
      <c r="O96">
        <f>IF($N96="","",INDEX('Cronograma R. Normativo'!$S$5:$S$1000,$N96))</f>
        <v/>
      </c>
      <c r="P96">
        <f>IF($N96="","",N(INDEX('Cronograma R. Normativo'!$T$5:$T$1000,$N96)))</f>
        <v/>
      </c>
    </row>
    <row r="97">
      <c r="A97" s="62">
        <f>IF($N97="","",INDEX('Cronograma R. Normativo'!$A$5:$A$1000,$N97))</f>
        <v/>
      </c>
      <c r="B97" s="71">
        <f>IF($N97="","",IF($O97="Sub","      ↳  "&amp;INDEX('Cronograma R. Normativo'!$C$5:$C$1000,$N97),INDEX('Cronograma R. Normativo'!$C$5:$C$1000,$N97)&amp;""))</f>
        <v/>
      </c>
      <c r="C97" s="77">
        <f>IF($N97="","",IF(INDEX('Cronograma R. Normativo'!$D$5:$D$1000,$N97)="","",INDEX('Cronograma R. Normativo'!$D$5:$D$1000,$N97)))</f>
        <v/>
      </c>
      <c r="D97" s="77">
        <f>IF($N97="","",IF(INDEX('Cronograma R. Normativo'!$E$5:$E$1000,$N97)="","",INDEX('Cronograma R. Normativo'!$E$5:$E$1000,$N97)))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Normativo'!$Y$5:$Y$1000,$N97),""),IF(INDEX('Cronograma R. Normativo'!$G$5:$G$1000,$N97)="","",INDEX('Cronograma R. Normativo'!$G$5:$G$1000,$N97))))</f>
        <v/>
      </c>
      <c r="G97" s="68">
        <f>IF($N97="","",IF($P97&gt;0,IF(2&lt;=SemanaActual,INDEX('Cronograma R. Normativo'!$Z$5:$Z$1000,$N97),""),IF(INDEX('Cronograma R. Normativo'!$H$5:$H$1000,$N97)="","",INDEX('Cronograma R. Normativo'!$H$5:$H$1000,$N97))))</f>
        <v/>
      </c>
      <c r="H97" s="68">
        <f>IF($N97="","",IF($P97&gt;0,IF(3&lt;=SemanaActual,INDEX('Cronograma R. Normativo'!$AA$5:$AA$1000,$N97),""),IF(INDEX('Cronograma R. Normativo'!$I$5:$I$1000,$N97)="","",INDEX('Cronograma R. Normativo'!$I$5:$I$1000,$N97))))</f>
        <v/>
      </c>
      <c r="I97" s="68">
        <f>IF($N97="","",IF($P97&gt;0,IF(4&lt;=SemanaActual,INDEX('Cronograma R. Normativo'!$AB$5:$AB$1000,$N97),""),IF(INDEX('Cronograma R. Normativo'!$J$5:$J$1000,$N97)="","",INDEX('Cronograma R. Normativo'!$J$5:$J$1000,$N97))))</f>
        <v/>
      </c>
      <c r="J97" s="68">
        <f>IF($N97="","",INDEX('Cronograma R. Normativo'!$K$5:$K$1000,$N97))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Normativo'!$M$5:$M$1000,$N97)&amp;"")</f>
        <v/>
      </c>
      <c r="M97" s="71">
        <f>IF($N97="","",INDEX('Cronograma R. Normativo'!$N$5:$N$1000,$N97)&amp;"")</f>
        <v/>
      </c>
      <c r="N97">
        <f>IFERROR(MATCH(ROW()-4,rOrden_RN,0),"")</f>
        <v/>
      </c>
      <c r="O97">
        <f>IF($N97="","",INDEX('Cronograma R. Normativo'!$S$5:$S$1000,$N97))</f>
        <v/>
      </c>
      <c r="P97">
        <f>IF($N97="","",N(INDEX('Cronograma R. Normativo'!$T$5:$T$1000,$N97)))</f>
        <v/>
      </c>
    </row>
    <row r="98">
      <c r="A98" s="62">
        <f>IF($N98="","",INDEX('Cronograma R. Normativo'!$A$5:$A$1000,$N98))</f>
        <v/>
      </c>
      <c r="B98" s="71">
        <f>IF($N98="","",IF($O98="Sub","      ↳  "&amp;INDEX('Cronograma R. Normativo'!$C$5:$C$1000,$N98),INDEX('Cronograma R. Normativo'!$C$5:$C$1000,$N98)&amp;""))</f>
        <v/>
      </c>
      <c r="C98" s="77">
        <f>IF($N98="","",IF(INDEX('Cronograma R. Normativo'!$D$5:$D$1000,$N98)="","",INDEX('Cronograma R. Normativo'!$D$5:$D$1000,$N98)))</f>
        <v/>
      </c>
      <c r="D98" s="77">
        <f>IF($N98="","",IF(INDEX('Cronograma R. Normativo'!$E$5:$E$1000,$N98)="","",INDEX('Cronograma R. Normativo'!$E$5:$E$1000,$N98)))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Normativo'!$Y$5:$Y$1000,$N98),""),IF(INDEX('Cronograma R. Normativo'!$G$5:$G$1000,$N98)="","",INDEX('Cronograma R. Normativo'!$G$5:$G$1000,$N98))))</f>
        <v/>
      </c>
      <c r="G98" s="68">
        <f>IF($N98="","",IF($P98&gt;0,IF(2&lt;=SemanaActual,INDEX('Cronograma R. Normativo'!$Z$5:$Z$1000,$N98),""),IF(INDEX('Cronograma R. Normativo'!$H$5:$H$1000,$N98)="","",INDEX('Cronograma R. Normativo'!$H$5:$H$1000,$N98))))</f>
        <v/>
      </c>
      <c r="H98" s="68">
        <f>IF($N98="","",IF($P98&gt;0,IF(3&lt;=SemanaActual,INDEX('Cronograma R. Normativo'!$AA$5:$AA$1000,$N98),""),IF(INDEX('Cronograma R. Normativo'!$I$5:$I$1000,$N98)="","",INDEX('Cronograma R. Normativo'!$I$5:$I$1000,$N98))))</f>
        <v/>
      </c>
      <c r="I98" s="68">
        <f>IF($N98="","",IF($P98&gt;0,IF(4&lt;=SemanaActual,INDEX('Cronograma R. Normativo'!$AB$5:$AB$1000,$N98),""),IF(INDEX('Cronograma R. Normativo'!$J$5:$J$1000,$N98)="","",INDEX('Cronograma R. Normativo'!$J$5:$J$1000,$N98))))</f>
        <v/>
      </c>
      <c r="J98" s="68">
        <f>IF($N98="","",INDEX('Cronograma R. Normativo'!$K$5:$K$1000,$N98))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Normativo'!$M$5:$M$1000,$N98)&amp;"")</f>
        <v/>
      </c>
      <c r="M98" s="71">
        <f>IF($N98="","",INDEX('Cronograma R. Normativo'!$N$5:$N$1000,$N98)&amp;"")</f>
        <v/>
      </c>
      <c r="N98">
        <f>IFERROR(MATCH(ROW()-4,rOrden_RN,0),"")</f>
        <v/>
      </c>
      <c r="O98">
        <f>IF($N98="","",INDEX('Cronograma R. Normativo'!$S$5:$S$1000,$N98))</f>
        <v/>
      </c>
      <c r="P98">
        <f>IF($N98="","",N(INDEX('Cronograma R. Normativo'!$T$5:$T$1000,$N98)))</f>
        <v/>
      </c>
    </row>
    <row r="99">
      <c r="A99" s="62">
        <f>IF($N99="","",INDEX('Cronograma R. Normativo'!$A$5:$A$1000,$N99))</f>
        <v/>
      </c>
      <c r="B99" s="71">
        <f>IF($N99="","",IF($O99="Sub","      ↳  "&amp;INDEX('Cronograma R. Normativo'!$C$5:$C$1000,$N99),INDEX('Cronograma R. Normativo'!$C$5:$C$1000,$N99)&amp;""))</f>
        <v/>
      </c>
      <c r="C99" s="77">
        <f>IF($N99="","",IF(INDEX('Cronograma R. Normativo'!$D$5:$D$1000,$N99)="","",INDEX('Cronograma R. Normativo'!$D$5:$D$1000,$N99)))</f>
        <v/>
      </c>
      <c r="D99" s="77">
        <f>IF($N99="","",IF(INDEX('Cronograma R. Normativo'!$E$5:$E$1000,$N99)="","",INDEX('Cronograma R. Normativo'!$E$5:$E$1000,$N99)))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Normativo'!$Y$5:$Y$1000,$N99),""),IF(INDEX('Cronograma R. Normativo'!$G$5:$G$1000,$N99)="","",INDEX('Cronograma R. Normativo'!$G$5:$G$1000,$N99))))</f>
        <v/>
      </c>
      <c r="G99" s="68">
        <f>IF($N99="","",IF($P99&gt;0,IF(2&lt;=SemanaActual,INDEX('Cronograma R. Normativo'!$Z$5:$Z$1000,$N99),""),IF(INDEX('Cronograma R. Normativo'!$H$5:$H$1000,$N99)="","",INDEX('Cronograma R. Normativo'!$H$5:$H$1000,$N99))))</f>
        <v/>
      </c>
      <c r="H99" s="68">
        <f>IF($N99="","",IF($P99&gt;0,IF(3&lt;=SemanaActual,INDEX('Cronograma R. Normativo'!$AA$5:$AA$1000,$N99),""),IF(INDEX('Cronograma R. Normativo'!$I$5:$I$1000,$N99)="","",INDEX('Cronograma R. Normativo'!$I$5:$I$1000,$N99))))</f>
        <v/>
      </c>
      <c r="I99" s="68">
        <f>IF($N99="","",IF($P99&gt;0,IF(4&lt;=SemanaActual,INDEX('Cronograma R. Normativo'!$AB$5:$AB$1000,$N99),""),IF(INDEX('Cronograma R. Normativo'!$J$5:$J$1000,$N99)="","",INDEX('Cronograma R. Normativo'!$J$5:$J$1000,$N99))))</f>
        <v/>
      </c>
      <c r="J99" s="68">
        <f>IF($N99="","",INDEX('Cronograma R. Normativo'!$K$5:$K$1000,$N99))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Normativo'!$M$5:$M$1000,$N99)&amp;"")</f>
        <v/>
      </c>
      <c r="M99" s="71">
        <f>IF($N99="","",INDEX('Cronograma R. Normativo'!$N$5:$N$1000,$N99)&amp;"")</f>
        <v/>
      </c>
      <c r="N99">
        <f>IFERROR(MATCH(ROW()-4,rOrden_RN,0),"")</f>
        <v/>
      </c>
      <c r="O99">
        <f>IF($N99="","",INDEX('Cronograma R. Normativo'!$S$5:$S$1000,$N99))</f>
        <v/>
      </c>
      <c r="P99">
        <f>IF($N99="","",N(INDEX('Cronograma R. Normativo'!$T$5:$T$1000,$N99)))</f>
        <v/>
      </c>
    </row>
    <row r="100">
      <c r="A100" s="62">
        <f>IF($N100="","",INDEX('Cronograma R. Normativo'!$A$5:$A$1000,$N100))</f>
        <v/>
      </c>
      <c r="B100" s="71">
        <f>IF($N100="","",IF($O100="Sub","      ↳  "&amp;INDEX('Cronograma R. Normativo'!$C$5:$C$1000,$N100),INDEX('Cronograma R. Normativo'!$C$5:$C$1000,$N100)&amp;""))</f>
        <v/>
      </c>
      <c r="C100" s="77">
        <f>IF($N100="","",IF(INDEX('Cronograma R. Normativo'!$D$5:$D$1000,$N100)="","",INDEX('Cronograma R. Normativo'!$D$5:$D$1000,$N100)))</f>
        <v/>
      </c>
      <c r="D100" s="77">
        <f>IF($N100="","",IF(INDEX('Cronograma R. Normativo'!$E$5:$E$1000,$N100)="","",INDEX('Cronograma R. Normativo'!$E$5:$E$1000,$N100)))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Normativo'!$Y$5:$Y$1000,$N100),""),IF(INDEX('Cronograma R. Normativo'!$G$5:$G$1000,$N100)="","",INDEX('Cronograma R. Normativo'!$G$5:$G$1000,$N100))))</f>
        <v/>
      </c>
      <c r="G100" s="68">
        <f>IF($N100="","",IF($P100&gt;0,IF(2&lt;=SemanaActual,INDEX('Cronograma R. Normativo'!$Z$5:$Z$1000,$N100),""),IF(INDEX('Cronograma R. Normativo'!$H$5:$H$1000,$N100)="","",INDEX('Cronograma R. Normativo'!$H$5:$H$1000,$N100))))</f>
        <v/>
      </c>
      <c r="H100" s="68">
        <f>IF($N100="","",IF($P100&gt;0,IF(3&lt;=SemanaActual,INDEX('Cronograma R. Normativo'!$AA$5:$AA$1000,$N100),""),IF(INDEX('Cronograma R. Normativo'!$I$5:$I$1000,$N100)="","",INDEX('Cronograma R. Normativo'!$I$5:$I$1000,$N100))))</f>
        <v/>
      </c>
      <c r="I100" s="68">
        <f>IF($N100="","",IF($P100&gt;0,IF(4&lt;=SemanaActual,INDEX('Cronograma R. Normativo'!$AB$5:$AB$1000,$N100),""),IF(INDEX('Cronograma R. Normativo'!$J$5:$J$1000,$N100)="","",INDEX('Cronograma R. Normativo'!$J$5:$J$1000,$N100))))</f>
        <v/>
      </c>
      <c r="J100" s="68">
        <f>IF($N100="","",INDEX('Cronograma R. Normativo'!$K$5:$K$1000,$N100))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Normativo'!$M$5:$M$1000,$N100)&amp;"")</f>
        <v/>
      </c>
      <c r="M100" s="71">
        <f>IF($N100="","",INDEX('Cronograma R. Normativo'!$N$5:$N$1000,$N100)&amp;"")</f>
        <v/>
      </c>
      <c r="N100">
        <f>IFERROR(MATCH(ROW()-4,rOrden_RN,0),"")</f>
        <v/>
      </c>
      <c r="O100">
        <f>IF($N100="","",INDEX('Cronograma R. Normativo'!$S$5:$S$1000,$N100))</f>
        <v/>
      </c>
      <c r="P100">
        <f>IF($N100="","",N(INDEX('Cronograma R. Normativo'!$T$5:$T$1000,$N100)))</f>
        <v/>
      </c>
    </row>
    <row r="101">
      <c r="A101" s="62">
        <f>IF($N101="","",INDEX('Cronograma R. Normativo'!$A$5:$A$1000,$N101))</f>
        <v/>
      </c>
      <c r="B101" s="71">
        <f>IF($N101="","",IF($O101="Sub","      ↳  "&amp;INDEX('Cronograma R. Normativo'!$C$5:$C$1000,$N101),INDEX('Cronograma R. Normativo'!$C$5:$C$1000,$N101)&amp;""))</f>
        <v/>
      </c>
      <c r="C101" s="77">
        <f>IF($N101="","",IF(INDEX('Cronograma R. Normativo'!$D$5:$D$1000,$N101)="","",INDEX('Cronograma R. Normativo'!$D$5:$D$1000,$N101)))</f>
        <v/>
      </c>
      <c r="D101" s="77">
        <f>IF($N101="","",IF(INDEX('Cronograma R. Normativo'!$E$5:$E$1000,$N101)="","",INDEX('Cronograma R. Normativo'!$E$5:$E$1000,$N101)))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Normativo'!$Y$5:$Y$1000,$N101),""),IF(INDEX('Cronograma R. Normativo'!$G$5:$G$1000,$N101)="","",INDEX('Cronograma R. Normativo'!$G$5:$G$1000,$N101))))</f>
        <v/>
      </c>
      <c r="G101" s="68">
        <f>IF($N101="","",IF($P101&gt;0,IF(2&lt;=SemanaActual,INDEX('Cronograma R. Normativo'!$Z$5:$Z$1000,$N101),""),IF(INDEX('Cronograma R. Normativo'!$H$5:$H$1000,$N101)="","",INDEX('Cronograma R. Normativo'!$H$5:$H$1000,$N101))))</f>
        <v/>
      </c>
      <c r="H101" s="68">
        <f>IF($N101="","",IF($P101&gt;0,IF(3&lt;=SemanaActual,INDEX('Cronograma R. Normativo'!$AA$5:$AA$1000,$N101),""),IF(INDEX('Cronograma R. Normativo'!$I$5:$I$1000,$N101)="","",INDEX('Cronograma R. Normativo'!$I$5:$I$1000,$N101))))</f>
        <v/>
      </c>
      <c r="I101" s="68">
        <f>IF($N101="","",IF($P101&gt;0,IF(4&lt;=SemanaActual,INDEX('Cronograma R. Normativo'!$AB$5:$AB$1000,$N101),""),IF(INDEX('Cronograma R. Normativo'!$J$5:$J$1000,$N101)="","",INDEX('Cronograma R. Normativo'!$J$5:$J$1000,$N101))))</f>
        <v/>
      </c>
      <c r="J101" s="68">
        <f>IF($N101="","",INDEX('Cronograma R. Normativo'!$K$5:$K$1000,$N101))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Normativo'!$M$5:$M$1000,$N101)&amp;"")</f>
        <v/>
      </c>
      <c r="M101" s="71">
        <f>IF($N101="","",INDEX('Cronograma R. Normativo'!$N$5:$N$1000,$N101)&amp;"")</f>
        <v/>
      </c>
      <c r="N101">
        <f>IFERROR(MATCH(ROW()-4,rOrden_RN,0),"")</f>
        <v/>
      </c>
      <c r="O101">
        <f>IF($N101="","",INDEX('Cronograma R. Normativo'!$S$5:$S$1000,$N101))</f>
        <v/>
      </c>
      <c r="P101">
        <f>IF($N101="","",N(INDEX('Cronograma R. Normativo'!$T$5:$T$1000,$N101)))</f>
        <v/>
      </c>
    </row>
    <row r="102">
      <c r="A102" s="62">
        <f>IF($N102="","",INDEX('Cronograma R. Normativo'!$A$5:$A$1000,$N102))</f>
        <v/>
      </c>
      <c r="B102" s="71">
        <f>IF($N102="","",IF($O102="Sub","      ↳  "&amp;INDEX('Cronograma R. Normativo'!$C$5:$C$1000,$N102),INDEX('Cronograma R. Normativo'!$C$5:$C$1000,$N102)&amp;""))</f>
        <v/>
      </c>
      <c r="C102" s="77">
        <f>IF($N102="","",IF(INDEX('Cronograma R. Normativo'!$D$5:$D$1000,$N102)="","",INDEX('Cronograma R. Normativo'!$D$5:$D$1000,$N102)))</f>
        <v/>
      </c>
      <c r="D102" s="77">
        <f>IF($N102="","",IF(INDEX('Cronograma R. Normativo'!$E$5:$E$1000,$N102)="","",INDEX('Cronograma R. Normativo'!$E$5:$E$1000,$N102)))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Normativo'!$Y$5:$Y$1000,$N102),""),IF(INDEX('Cronograma R. Normativo'!$G$5:$G$1000,$N102)="","",INDEX('Cronograma R. Normativo'!$G$5:$G$1000,$N102))))</f>
        <v/>
      </c>
      <c r="G102" s="68">
        <f>IF($N102="","",IF($P102&gt;0,IF(2&lt;=SemanaActual,INDEX('Cronograma R. Normativo'!$Z$5:$Z$1000,$N102),""),IF(INDEX('Cronograma R. Normativo'!$H$5:$H$1000,$N102)="","",INDEX('Cronograma R. Normativo'!$H$5:$H$1000,$N102))))</f>
        <v/>
      </c>
      <c r="H102" s="68">
        <f>IF($N102="","",IF($P102&gt;0,IF(3&lt;=SemanaActual,INDEX('Cronograma R. Normativo'!$AA$5:$AA$1000,$N102),""),IF(INDEX('Cronograma R. Normativo'!$I$5:$I$1000,$N102)="","",INDEX('Cronograma R. Normativo'!$I$5:$I$1000,$N102))))</f>
        <v/>
      </c>
      <c r="I102" s="68">
        <f>IF($N102="","",IF($P102&gt;0,IF(4&lt;=SemanaActual,INDEX('Cronograma R. Normativo'!$AB$5:$AB$1000,$N102),""),IF(INDEX('Cronograma R. Normativo'!$J$5:$J$1000,$N102)="","",INDEX('Cronograma R. Normativo'!$J$5:$J$1000,$N102))))</f>
        <v/>
      </c>
      <c r="J102" s="68">
        <f>IF($N102="","",INDEX('Cronograma R. Normativo'!$K$5:$K$1000,$N102))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Normativo'!$M$5:$M$1000,$N102)&amp;"")</f>
        <v/>
      </c>
      <c r="M102" s="71">
        <f>IF($N102="","",INDEX('Cronograma R. Normativo'!$N$5:$N$1000,$N102)&amp;"")</f>
        <v/>
      </c>
      <c r="N102">
        <f>IFERROR(MATCH(ROW()-4,rOrden_RN,0),"")</f>
        <v/>
      </c>
      <c r="O102">
        <f>IF($N102="","",INDEX('Cronograma R. Normativo'!$S$5:$S$1000,$N102))</f>
        <v/>
      </c>
      <c r="P102">
        <f>IF($N102="","",N(INDEX('Cronograma R. Normativo'!$T$5:$T$1000,$N102)))</f>
        <v/>
      </c>
    </row>
    <row r="103">
      <c r="A103" s="62">
        <f>IF($N103="","",INDEX('Cronograma R. Normativo'!$A$5:$A$1000,$N103))</f>
        <v/>
      </c>
      <c r="B103" s="71">
        <f>IF($N103="","",IF($O103="Sub","      ↳  "&amp;INDEX('Cronograma R. Normativo'!$C$5:$C$1000,$N103),INDEX('Cronograma R. Normativo'!$C$5:$C$1000,$N103)&amp;""))</f>
        <v/>
      </c>
      <c r="C103" s="77">
        <f>IF($N103="","",IF(INDEX('Cronograma R. Normativo'!$D$5:$D$1000,$N103)="","",INDEX('Cronograma R. Normativo'!$D$5:$D$1000,$N103)))</f>
        <v/>
      </c>
      <c r="D103" s="77">
        <f>IF($N103="","",IF(INDEX('Cronograma R. Normativo'!$E$5:$E$1000,$N103)="","",INDEX('Cronograma R. Normativo'!$E$5:$E$1000,$N103)))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Normativo'!$Y$5:$Y$1000,$N103),""),IF(INDEX('Cronograma R. Normativo'!$G$5:$G$1000,$N103)="","",INDEX('Cronograma R. Normativo'!$G$5:$G$1000,$N103))))</f>
        <v/>
      </c>
      <c r="G103" s="68">
        <f>IF($N103="","",IF($P103&gt;0,IF(2&lt;=SemanaActual,INDEX('Cronograma R. Normativo'!$Z$5:$Z$1000,$N103),""),IF(INDEX('Cronograma R. Normativo'!$H$5:$H$1000,$N103)="","",INDEX('Cronograma R. Normativo'!$H$5:$H$1000,$N103))))</f>
        <v/>
      </c>
      <c r="H103" s="68">
        <f>IF($N103="","",IF($P103&gt;0,IF(3&lt;=SemanaActual,INDEX('Cronograma R. Normativo'!$AA$5:$AA$1000,$N103),""),IF(INDEX('Cronograma R. Normativo'!$I$5:$I$1000,$N103)="","",INDEX('Cronograma R. Normativo'!$I$5:$I$1000,$N103))))</f>
        <v/>
      </c>
      <c r="I103" s="68">
        <f>IF($N103="","",IF($P103&gt;0,IF(4&lt;=SemanaActual,INDEX('Cronograma R. Normativo'!$AB$5:$AB$1000,$N103),""),IF(INDEX('Cronograma R. Normativo'!$J$5:$J$1000,$N103)="","",INDEX('Cronograma R. Normativo'!$J$5:$J$1000,$N103))))</f>
        <v/>
      </c>
      <c r="J103" s="68">
        <f>IF($N103="","",INDEX('Cronograma R. Normativo'!$K$5:$K$1000,$N103))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Normativo'!$M$5:$M$1000,$N103)&amp;"")</f>
        <v/>
      </c>
      <c r="M103" s="71">
        <f>IF($N103="","",INDEX('Cronograma R. Normativo'!$N$5:$N$1000,$N103)&amp;"")</f>
        <v/>
      </c>
      <c r="N103">
        <f>IFERROR(MATCH(ROW()-4,rOrden_RN,0),"")</f>
        <v/>
      </c>
      <c r="O103">
        <f>IF($N103="","",INDEX('Cronograma R. Normativo'!$S$5:$S$1000,$N103))</f>
        <v/>
      </c>
      <c r="P103">
        <f>IF($N103="","",N(INDEX('Cronograma R. Normativo'!$T$5:$T$1000,$N103)))</f>
        <v/>
      </c>
    </row>
    <row r="104">
      <c r="A104" s="62">
        <f>IF($N104="","",INDEX('Cronograma R. Normativo'!$A$5:$A$1000,$N104))</f>
        <v/>
      </c>
      <c r="B104" s="71">
        <f>IF($N104="","",IF($O104="Sub","      ↳  "&amp;INDEX('Cronograma R. Normativo'!$C$5:$C$1000,$N104),INDEX('Cronograma R. Normativo'!$C$5:$C$1000,$N104)&amp;""))</f>
        <v/>
      </c>
      <c r="C104" s="77">
        <f>IF($N104="","",IF(INDEX('Cronograma R. Normativo'!$D$5:$D$1000,$N104)="","",INDEX('Cronograma R. Normativo'!$D$5:$D$1000,$N104)))</f>
        <v/>
      </c>
      <c r="D104" s="77">
        <f>IF($N104="","",IF(INDEX('Cronograma R. Normativo'!$E$5:$E$1000,$N104)="","",INDEX('Cronograma R. Normativo'!$E$5:$E$1000,$N104)))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Normativo'!$Y$5:$Y$1000,$N104),""),IF(INDEX('Cronograma R. Normativo'!$G$5:$G$1000,$N104)="","",INDEX('Cronograma R. Normativo'!$G$5:$G$1000,$N104))))</f>
        <v/>
      </c>
      <c r="G104" s="68">
        <f>IF($N104="","",IF($P104&gt;0,IF(2&lt;=SemanaActual,INDEX('Cronograma R. Normativo'!$Z$5:$Z$1000,$N104),""),IF(INDEX('Cronograma R. Normativo'!$H$5:$H$1000,$N104)="","",INDEX('Cronograma R. Normativo'!$H$5:$H$1000,$N104))))</f>
        <v/>
      </c>
      <c r="H104" s="68">
        <f>IF($N104="","",IF($P104&gt;0,IF(3&lt;=SemanaActual,INDEX('Cronograma R. Normativo'!$AA$5:$AA$1000,$N104),""),IF(INDEX('Cronograma R. Normativo'!$I$5:$I$1000,$N104)="","",INDEX('Cronograma R. Normativo'!$I$5:$I$1000,$N104))))</f>
        <v/>
      </c>
      <c r="I104" s="68">
        <f>IF($N104="","",IF($P104&gt;0,IF(4&lt;=SemanaActual,INDEX('Cronograma R. Normativo'!$AB$5:$AB$1000,$N104),""),IF(INDEX('Cronograma R. Normativo'!$J$5:$J$1000,$N104)="","",INDEX('Cronograma R. Normativo'!$J$5:$J$1000,$N104))))</f>
        <v/>
      </c>
      <c r="J104" s="68">
        <f>IF($N104="","",INDEX('Cronograma R. Normativo'!$K$5:$K$1000,$N104))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Normativo'!$M$5:$M$1000,$N104)&amp;"")</f>
        <v/>
      </c>
      <c r="M104" s="71">
        <f>IF($N104="","",INDEX('Cronograma R. Normativo'!$N$5:$N$1000,$N104)&amp;"")</f>
        <v/>
      </c>
      <c r="N104">
        <f>IFERROR(MATCH(ROW()-4,rOrden_RN,0),"")</f>
        <v/>
      </c>
      <c r="O104">
        <f>IF($N104="","",INDEX('Cronograma R. Normativo'!$S$5:$S$1000,$N104))</f>
        <v/>
      </c>
      <c r="P104">
        <f>IF($N104="","",N(INDEX('Cronograma R. Normativo'!$T$5:$T$1000,$N104)))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2">
      <formula>AND(ISNUMBER($C5),ISNUMBER($D5),$C5&lt;=InicioCiclo+7*(COLUMN(F5)-6)+6,$D5&gt;=InicioCiclo+7*(COLUMN(F5)-6))</formula>
    </cfRule>
  </conditionalFormatting>
  <conditionalFormatting sqref="A5:M104">
    <cfRule type="expression" priority="3" dxfId="20">
      <formula>$O5="Macro"</formula>
    </cfRule>
  </conditionalFormatting>
  <conditionalFormatting sqref="A5:B104">
    <cfRule type="expression" priority="4" dxfId="21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80" t="inlineStr">
        <is>
          <t>Cronograma – Riesgo Financiero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81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51" t="inlineStr">
        <is>
          <t>Tipo</t>
        </is>
      </c>
      <c r="C4" s="51" t="inlineStr">
        <is>
          <t>Actividad</t>
        </is>
      </c>
      <c r="D4" s="51" t="inlineStr">
        <is>
          <t>Fecha de inicio</t>
        </is>
      </c>
      <c r="E4" s="51" t="inlineStr">
        <is>
          <t>Fecha límite</t>
        </is>
      </c>
      <c r="F4" s="51" t="inlineStr">
        <is>
          <t>Peso de actividad (%)</t>
        </is>
      </c>
      <c r="G4" s="51" t="inlineStr">
        <is>
          <t>Avance Semana 1 (%)</t>
        </is>
      </c>
      <c r="H4" s="51" t="inlineStr">
        <is>
          <t>Avance Semana 2 (%)</t>
        </is>
      </c>
      <c r="I4" s="51" t="inlineStr">
        <is>
          <t>Avance Semana 3 (%)</t>
        </is>
      </c>
      <c r="J4" s="51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51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23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24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80" t="inlineStr">
        <is>
          <t>Actividades del mes por semana – Riesgo Financiero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2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51" t="inlineStr">
        <is>
          <t>Semana 1</t>
        </is>
      </c>
      <c r="G4" s="51" t="inlineStr">
        <is>
          <t>Semana 2</t>
        </is>
      </c>
      <c r="H4" s="51" t="inlineStr">
        <is>
          <t>Semana 3</t>
        </is>
      </c>
      <c r="I4" s="51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Financiero'!$A$5:$A$1000,$N5))</f>
        <v/>
      </c>
      <c r="B5" s="71">
        <f>IF($N5="","",IF($O5="Sub","      ↳  "&amp;INDEX('Cronograma R. Financiero'!$C$5:$C$1000,$N5),INDEX('Cronograma R. Financiero'!$C$5:$C$1000,$N5)&amp;""))</f>
        <v/>
      </c>
      <c r="C5" s="77">
        <f>IF($N5="","",IF(INDEX('Cronograma R. Financiero'!$D$5:$D$1000,$N5)="","",INDEX('Cronograma R. Financiero'!$D$5:$D$1000,$N5)))</f>
        <v/>
      </c>
      <c r="D5" s="77">
        <f>IF($N5="","",IF(INDEX('Cronograma R. Financiero'!$E$5:$E$1000,$N5)="","",INDEX('Cronograma R. Financiero'!$E$5:$E$1000,$N5)))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Financiero'!$Y$5:$Y$1000,$N5),""),IF(INDEX('Cronograma R. Financiero'!$G$5:$G$1000,$N5)="","",INDEX('Cronograma R. Financiero'!$G$5:$G$1000,$N5))))</f>
        <v/>
      </c>
      <c r="G5" s="68">
        <f>IF($N5="","",IF($P5&gt;0,IF(2&lt;=SemanaActual,INDEX('Cronograma R. Financiero'!$Z$5:$Z$1000,$N5),""),IF(INDEX('Cronograma R. Financiero'!$H$5:$H$1000,$N5)="","",INDEX('Cronograma R. Financiero'!$H$5:$H$1000,$N5))))</f>
        <v/>
      </c>
      <c r="H5" s="68">
        <f>IF($N5="","",IF($P5&gt;0,IF(3&lt;=SemanaActual,INDEX('Cronograma R. Financiero'!$AA$5:$AA$1000,$N5),""),IF(INDEX('Cronograma R. Financiero'!$I$5:$I$1000,$N5)="","",INDEX('Cronograma R. Financiero'!$I$5:$I$1000,$N5))))</f>
        <v/>
      </c>
      <c r="I5" s="68">
        <f>IF($N5="","",IF($P5&gt;0,IF(4&lt;=SemanaActual,INDEX('Cronograma R. Financiero'!$AB$5:$AB$1000,$N5),""),IF(INDEX('Cronograma R. Financiero'!$J$5:$J$1000,$N5)="","",INDEX('Cronograma R. Financiero'!$J$5:$J$1000,$N5))))</f>
        <v/>
      </c>
      <c r="J5" s="68">
        <f>IF($N5="","",INDEX('Cronograma R. Financiero'!$K$5:$K$1000,$N5))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Financiero'!$M$5:$M$1000,$N5)&amp;"")</f>
        <v/>
      </c>
      <c r="M5" s="71">
        <f>IF($N5="","",INDEX('Cronograma R. Financiero'!$N$5:$N$1000,$N5)&amp;"")</f>
        <v/>
      </c>
      <c r="N5">
        <f>IFERROR(MATCH(ROW()-4,rOrden_RF,0),"")</f>
        <v/>
      </c>
      <c r="O5">
        <f>IF($N5="","",INDEX('Cronograma R. Financiero'!$S$5:$S$1000,$N5))</f>
        <v/>
      </c>
      <c r="P5">
        <f>IF($N5="","",N(INDEX('Cronograma R. Financiero'!$T$5:$T$1000,$N5)))</f>
        <v/>
      </c>
    </row>
    <row r="6">
      <c r="A6" s="62">
        <f>IF($N6="","",INDEX('Cronograma R. Financiero'!$A$5:$A$1000,$N6))</f>
        <v/>
      </c>
      <c r="B6" s="71">
        <f>IF($N6="","",IF($O6="Sub","      ↳  "&amp;INDEX('Cronograma R. Financiero'!$C$5:$C$1000,$N6),INDEX('Cronograma R. Financiero'!$C$5:$C$1000,$N6)&amp;""))</f>
        <v/>
      </c>
      <c r="C6" s="77">
        <f>IF($N6="","",IF(INDEX('Cronograma R. Financiero'!$D$5:$D$1000,$N6)="","",INDEX('Cronograma R. Financiero'!$D$5:$D$1000,$N6)))</f>
        <v/>
      </c>
      <c r="D6" s="77">
        <f>IF($N6="","",IF(INDEX('Cronograma R. Financiero'!$E$5:$E$1000,$N6)="","",INDEX('Cronograma R. Financiero'!$E$5:$E$1000,$N6)))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Financiero'!$Y$5:$Y$1000,$N6),""),IF(INDEX('Cronograma R. Financiero'!$G$5:$G$1000,$N6)="","",INDEX('Cronograma R. Financiero'!$G$5:$G$1000,$N6))))</f>
        <v/>
      </c>
      <c r="G6" s="68">
        <f>IF($N6="","",IF($P6&gt;0,IF(2&lt;=SemanaActual,INDEX('Cronograma R. Financiero'!$Z$5:$Z$1000,$N6),""),IF(INDEX('Cronograma R. Financiero'!$H$5:$H$1000,$N6)="","",INDEX('Cronograma R. Financiero'!$H$5:$H$1000,$N6))))</f>
        <v/>
      </c>
      <c r="H6" s="68">
        <f>IF($N6="","",IF($P6&gt;0,IF(3&lt;=SemanaActual,INDEX('Cronograma R. Financiero'!$AA$5:$AA$1000,$N6),""),IF(INDEX('Cronograma R. Financiero'!$I$5:$I$1000,$N6)="","",INDEX('Cronograma R. Financiero'!$I$5:$I$1000,$N6))))</f>
        <v/>
      </c>
      <c r="I6" s="68">
        <f>IF($N6="","",IF($P6&gt;0,IF(4&lt;=SemanaActual,INDEX('Cronograma R. Financiero'!$AB$5:$AB$1000,$N6),""),IF(INDEX('Cronograma R. Financiero'!$J$5:$J$1000,$N6)="","",INDEX('Cronograma R. Financiero'!$J$5:$J$1000,$N6))))</f>
        <v/>
      </c>
      <c r="J6" s="68">
        <f>IF($N6="","",INDEX('Cronograma R. Financiero'!$K$5:$K$1000,$N6))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Financiero'!$M$5:$M$1000,$N6)&amp;"")</f>
        <v/>
      </c>
      <c r="M6" s="71">
        <f>IF($N6="","",INDEX('Cronograma R. Financiero'!$N$5:$N$1000,$N6)&amp;"")</f>
        <v/>
      </c>
      <c r="N6">
        <f>IFERROR(MATCH(ROW()-4,rOrden_RF,0),"")</f>
        <v/>
      </c>
      <c r="O6">
        <f>IF($N6="","",INDEX('Cronograma R. Financiero'!$S$5:$S$1000,$N6))</f>
        <v/>
      </c>
      <c r="P6">
        <f>IF($N6="","",N(INDEX('Cronograma R. Financiero'!$T$5:$T$1000,$N6)))</f>
        <v/>
      </c>
    </row>
    <row r="7">
      <c r="A7" s="62">
        <f>IF($N7="","",INDEX('Cronograma R. Financiero'!$A$5:$A$1000,$N7))</f>
        <v/>
      </c>
      <c r="B7" s="71">
        <f>IF($N7="","",IF($O7="Sub","      ↳  "&amp;INDEX('Cronograma R. Financiero'!$C$5:$C$1000,$N7),INDEX('Cronograma R. Financiero'!$C$5:$C$1000,$N7)&amp;""))</f>
        <v/>
      </c>
      <c r="C7" s="77">
        <f>IF($N7="","",IF(INDEX('Cronograma R. Financiero'!$D$5:$D$1000,$N7)="","",INDEX('Cronograma R. Financiero'!$D$5:$D$1000,$N7)))</f>
        <v/>
      </c>
      <c r="D7" s="77">
        <f>IF($N7="","",IF(INDEX('Cronograma R. Financiero'!$E$5:$E$1000,$N7)="","",INDEX('Cronograma R. Financiero'!$E$5:$E$1000,$N7)))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Financiero'!$Y$5:$Y$1000,$N7),""),IF(INDEX('Cronograma R. Financiero'!$G$5:$G$1000,$N7)="","",INDEX('Cronograma R. Financiero'!$G$5:$G$1000,$N7))))</f>
        <v/>
      </c>
      <c r="G7" s="68">
        <f>IF($N7="","",IF($P7&gt;0,IF(2&lt;=SemanaActual,INDEX('Cronograma R. Financiero'!$Z$5:$Z$1000,$N7),""),IF(INDEX('Cronograma R. Financiero'!$H$5:$H$1000,$N7)="","",INDEX('Cronograma R. Financiero'!$H$5:$H$1000,$N7))))</f>
        <v/>
      </c>
      <c r="H7" s="68">
        <f>IF($N7="","",IF($P7&gt;0,IF(3&lt;=SemanaActual,INDEX('Cronograma R. Financiero'!$AA$5:$AA$1000,$N7),""),IF(INDEX('Cronograma R. Financiero'!$I$5:$I$1000,$N7)="","",INDEX('Cronograma R. Financiero'!$I$5:$I$1000,$N7))))</f>
        <v/>
      </c>
      <c r="I7" s="68">
        <f>IF($N7="","",IF($P7&gt;0,IF(4&lt;=SemanaActual,INDEX('Cronograma R. Financiero'!$AB$5:$AB$1000,$N7),""),IF(INDEX('Cronograma R. Financiero'!$J$5:$J$1000,$N7)="","",INDEX('Cronograma R. Financiero'!$J$5:$J$1000,$N7))))</f>
        <v/>
      </c>
      <c r="J7" s="68">
        <f>IF($N7="","",INDEX('Cronograma R. Financiero'!$K$5:$K$1000,$N7))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Financiero'!$M$5:$M$1000,$N7)&amp;"")</f>
        <v/>
      </c>
      <c r="M7" s="71">
        <f>IF($N7="","",INDEX('Cronograma R. Financiero'!$N$5:$N$1000,$N7)&amp;"")</f>
        <v/>
      </c>
      <c r="N7">
        <f>IFERROR(MATCH(ROW()-4,rOrden_RF,0),"")</f>
        <v/>
      </c>
      <c r="O7">
        <f>IF($N7="","",INDEX('Cronograma R. Financiero'!$S$5:$S$1000,$N7))</f>
        <v/>
      </c>
      <c r="P7">
        <f>IF($N7="","",N(INDEX('Cronograma R. Financiero'!$T$5:$T$1000,$N7)))</f>
        <v/>
      </c>
    </row>
    <row r="8">
      <c r="A8" s="62">
        <f>IF($N8="","",INDEX('Cronograma R. Financiero'!$A$5:$A$1000,$N8))</f>
        <v/>
      </c>
      <c r="B8" s="71">
        <f>IF($N8="","",IF($O8="Sub","      ↳  "&amp;INDEX('Cronograma R. Financiero'!$C$5:$C$1000,$N8),INDEX('Cronograma R. Financiero'!$C$5:$C$1000,$N8)&amp;""))</f>
        <v/>
      </c>
      <c r="C8" s="77">
        <f>IF($N8="","",IF(INDEX('Cronograma R. Financiero'!$D$5:$D$1000,$N8)="","",INDEX('Cronograma R. Financiero'!$D$5:$D$1000,$N8)))</f>
        <v/>
      </c>
      <c r="D8" s="77">
        <f>IF($N8="","",IF(INDEX('Cronograma R. Financiero'!$E$5:$E$1000,$N8)="","",INDEX('Cronograma R. Financiero'!$E$5:$E$1000,$N8)))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Financiero'!$Y$5:$Y$1000,$N8),""),IF(INDEX('Cronograma R. Financiero'!$G$5:$G$1000,$N8)="","",INDEX('Cronograma R. Financiero'!$G$5:$G$1000,$N8))))</f>
        <v/>
      </c>
      <c r="G8" s="68">
        <f>IF($N8="","",IF($P8&gt;0,IF(2&lt;=SemanaActual,INDEX('Cronograma R. Financiero'!$Z$5:$Z$1000,$N8),""),IF(INDEX('Cronograma R. Financiero'!$H$5:$H$1000,$N8)="","",INDEX('Cronograma R. Financiero'!$H$5:$H$1000,$N8))))</f>
        <v/>
      </c>
      <c r="H8" s="68">
        <f>IF($N8="","",IF($P8&gt;0,IF(3&lt;=SemanaActual,INDEX('Cronograma R. Financiero'!$AA$5:$AA$1000,$N8),""),IF(INDEX('Cronograma R. Financiero'!$I$5:$I$1000,$N8)="","",INDEX('Cronograma R. Financiero'!$I$5:$I$1000,$N8))))</f>
        <v/>
      </c>
      <c r="I8" s="68">
        <f>IF($N8="","",IF($P8&gt;0,IF(4&lt;=SemanaActual,INDEX('Cronograma R. Financiero'!$AB$5:$AB$1000,$N8),""),IF(INDEX('Cronograma R. Financiero'!$J$5:$J$1000,$N8)="","",INDEX('Cronograma R. Financiero'!$J$5:$J$1000,$N8))))</f>
        <v/>
      </c>
      <c r="J8" s="68">
        <f>IF($N8="","",INDEX('Cronograma R. Financiero'!$K$5:$K$1000,$N8))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Financiero'!$M$5:$M$1000,$N8)&amp;"")</f>
        <v/>
      </c>
      <c r="M8" s="71">
        <f>IF($N8="","",INDEX('Cronograma R. Financiero'!$N$5:$N$1000,$N8)&amp;"")</f>
        <v/>
      </c>
      <c r="N8">
        <f>IFERROR(MATCH(ROW()-4,rOrden_RF,0),"")</f>
        <v/>
      </c>
      <c r="O8">
        <f>IF($N8="","",INDEX('Cronograma R. Financiero'!$S$5:$S$1000,$N8))</f>
        <v/>
      </c>
      <c r="P8">
        <f>IF($N8="","",N(INDEX('Cronograma R. Financiero'!$T$5:$T$1000,$N8)))</f>
        <v/>
      </c>
    </row>
    <row r="9">
      <c r="A9" s="62">
        <f>IF($N9="","",INDEX('Cronograma R. Financiero'!$A$5:$A$1000,$N9))</f>
        <v/>
      </c>
      <c r="B9" s="71">
        <f>IF($N9="","",IF($O9="Sub","      ↳  "&amp;INDEX('Cronograma R. Financiero'!$C$5:$C$1000,$N9),INDEX('Cronograma R. Financiero'!$C$5:$C$1000,$N9)&amp;""))</f>
        <v/>
      </c>
      <c r="C9" s="77">
        <f>IF($N9="","",IF(INDEX('Cronograma R. Financiero'!$D$5:$D$1000,$N9)="","",INDEX('Cronograma R. Financiero'!$D$5:$D$1000,$N9)))</f>
        <v/>
      </c>
      <c r="D9" s="77">
        <f>IF($N9="","",IF(INDEX('Cronograma R. Financiero'!$E$5:$E$1000,$N9)="","",INDEX('Cronograma R. Financiero'!$E$5:$E$1000,$N9)))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Financiero'!$Y$5:$Y$1000,$N9),""),IF(INDEX('Cronograma R. Financiero'!$G$5:$G$1000,$N9)="","",INDEX('Cronograma R. Financiero'!$G$5:$G$1000,$N9))))</f>
        <v/>
      </c>
      <c r="G9" s="68">
        <f>IF($N9="","",IF($P9&gt;0,IF(2&lt;=SemanaActual,INDEX('Cronograma R. Financiero'!$Z$5:$Z$1000,$N9),""),IF(INDEX('Cronograma R. Financiero'!$H$5:$H$1000,$N9)="","",INDEX('Cronograma R. Financiero'!$H$5:$H$1000,$N9))))</f>
        <v/>
      </c>
      <c r="H9" s="68">
        <f>IF($N9="","",IF($P9&gt;0,IF(3&lt;=SemanaActual,INDEX('Cronograma R. Financiero'!$AA$5:$AA$1000,$N9),""),IF(INDEX('Cronograma R. Financiero'!$I$5:$I$1000,$N9)="","",INDEX('Cronograma R. Financiero'!$I$5:$I$1000,$N9))))</f>
        <v/>
      </c>
      <c r="I9" s="68">
        <f>IF($N9="","",IF($P9&gt;0,IF(4&lt;=SemanaActual,INDEX('Cronograma R. Financiero'!$AB$5:$AB$1000,$N9),""),IF(INDEX('Cronograma R. Financiero'!$J$5:$J$1000,$N9)="","",INDEX('Cronograma R. Financiero'!$J$5:$J$1000,$N9))))</f>
        <v/>
      </c>
      <c r="J9" s="68">
        <f>IF($N9="","",INDEX('Cronograma R. Financiero'!$K$5:$K$1000,$N9))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Financiero'!$M$5:$M$1000,$N9)&amp;"")</f>
        <v/>
      </c>
      <c r="M9" s="71">
        <f>IF($N9="","",INDEX('Cronograma R. Financiero'!$N$5:$N$1000,$N9)&amp;"")</f>
        <v/>
      </c>
      <c r="N9">
        <f>IFERROR(MATCH(ROW()-4,rOrden_RF,0),"")</f>
        <v/>
      </c>
      <c r="O9">
        <f>IF($N9="","",INDEX('Cronograma R. Financiero'!$S$5:$S$1000,$N9))</f>
        <v/>
      </c>
      <c r="P9">
        <f>IF($N9="","",N(INDEX('Cronograma R. Financiero'!$T$5:$T$1000,$N9)))</f>
        <v/>
      </c>
    </row>
    <row r="10">
      <c r="A10" s="62">
        <f>IF($N10="","",INDEX('Cronograma R. Financiero'!$A$5:$A$1000,$N10))</f>
        <v/>
      </c>
      <c r="B10" s="71">
        <f>IF($N10="","",IF($O10="Sub","      ↳  "&amp;INDEX('Cronograma R. Financiero'!$C$5:$C$1000,$N10),INDEX('Cronograma R. Financiero'!$C$5:$C$1000,$N10)&amp;""))</f>
        <v/>
      </c>
      <c r="C10" s="77">
        <f>IF($N10="","",IF(INDEX('Cronograma R. Financiero'!$D$5:$D$1000,$N10)="","",INDEX('Cronograma R. Financiero'!$D$5:$D$1000,$N10)))</f>
        <v/>
      </c>
      <c r="D10" s="77">
        <f>IF($N10="","",IF(INDEX('Cronograma R. Financiero'!$E$5:$E$1000,$N10)="","",INDEX('Cronograma R. Financiero'!$E$5:$E$1000,$N10)))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Financiero'!$Y$5:$Y$1000,$N10),""),IF(INDEX('Cronograma R. Financiero'!$G$5:$G$1000,$N10)="","",INDEX('Cronograma R. Financiero'!$G$5:$G$1000,$N10))))</f>
        <v/>
      </c>
      <c r="G10" s="68">
        <f>IF($N10="","",IF($P10&gt;0,IF(2&lt;=SemanaActual,INDEX('Cronograma R. Financiero'!$Z$5:$Z$1000,$N10),""),IF(INDEX('Cronograma R. Financiero'!$H$5:$H$1000,$N10)="","",INDEX('Cronograma R. Financiero'!$H$5:$H$1000,$N10))))</f>
        <v/>
      </c>
      <c r="H10" s="68">
        <f>IF($N10="","",IF($P10&gt;0,IF(3&lt;=SemanaActual,INDEX('Cronograma R. Financiero'!$AA$5:$AA$1000,$N10),""),IF(INDEX('Cronograma R. Financiero'!$I$5:$I$1000,$N10)="","",INDEX('Cronograma R. Financiero'!$I$5:$I$1000,$N10))))</f>
        <v/>
      </c>
      <c r="I10" s="68">
        <f>IF($N10="","",IF($P10&gt;0,IF(4&lt;=SemanaActual,INDEX('Cronograma R. Financiero'!$AB$5:$AB$1000,$N10),""),IF(INDEX('Cronograma R. Financiero'!$J$5:$J$1000,$N10)="","",INDEX('Cronograma R. Financiero'!$J$5:$J$1000,$N10))))</f>
        <v/>
      </c>
      <c r="J10" s="68">
        <f>IF($N10="","",INDEX('Cronograma R. Financiero'!$K$5:$K$1000,$N10))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Financiero'!$M$5:$M$1000,$N10)&amp;"")</f>
        <v/>
      </c>
      <c r="M10" s="71">
        <f>IF($N10="","",INDEX('Cronograma R. Financiero'!$N$5:$N$1000,$N10)&amp;"")</f>
        <v/>
      </c>
      <c r="N10">
        <f>IFERROR(MATCH(ROW()-4,rOrden_RF,0),"")</f>
        <v/>
      </c>
      <c r="O10">
        <f>IF($N10="","",INDEX('Cronograma R. Financiero'!$S$5:$S$1000,$N10))</f>
        <v/>
      </c>
      <c r="P10">
        <f>IF($N10="","",N(INDEX('Cronograma R. Financiero'!$T$5:$T$1000,$N10)))</f>
        <v/>
      </c>
    </row>
    <row r="11">
      <c r="A11" s="62">
        <f>IF($N11="","",INDEX('Cronograma R. Financiero'!$A$5:$A$1000,$N11))</f>
        <v/>
      </c>
      <c r="B11" s="71">
        <f>IF($N11="","",IF($O11="Sub","      ↳  "&amp;INDEX('Cronograma R. Financiero'!$C$5:$C$1000,$N11),INDEX('Cronograma R. Financiero'!$C$5:$C$1000,$N11)&amp;""))</f>
        <v/>
      </c>
      <c r="C11" s="77">
        <f>IF($N11="","",IF(INDEX('Cronograma R. Financiero'!$D$5:$D$1000,$N11)="","",INDEX('Cronograma R. Financiero'!$D$5:$D$1000,$N11)))</f>
        <v/>
      </c>
      <c r="D11" s="77">
        <f>IF($N11="","",IF(INDEX('Cronograma R. Financiero'!$E$5:$E$1000,$N11)="","",INDEX('Cronograma R. Financiero'!$E$5:$E$1000,$N11)))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Financiero'!$Y$5:$Y$1000,$N11),""),IF(INDEX('Cronograma R. Financiero'!$G$5:$G$1000,$N11)="","",INDEX('Cronograma R. Financiero'!$G$5:$G$1000,$N11))))</f>
        <v/>
      </c>
      <c r="G11" s="68">
        <f>IF($N11="","",IF($P11&gt;0,IF(2&lt;=SemanaActual,INDEX('Cronograma R. Financiero'!$Z$5:$Z$1000,$N11),""),IF(INDEX('Cronograma R. Financiero'!$H$5:$H$1000,$N11)="","",INDEX('Cronograma R. Financiero'!$H$5:$H$1000,$N11))))</f>
        <v/>
      </c>
      <c r="H11" s="68">
        <f>IF($N11="","",IF($P11&gt;0,IF(3&lt;=SemanaActual,INDEX('Cronograma R. Financiero'!$AA$5:$AA$1000,$N11),""),IF(INDEX('Cronograma R. Financiero'!$I$5:$I$1000,$N11)="","",INDEX('Cronograma R. Financiero'!$I$5:$I$1000,$N11))))</f>
        <v/>
      </c>
      <c r="I11" s="68">
        <f>IF($N11="","",IF($P11&gt;0,IF(4&lt;=SemanaActual,INDEX('Cronograma R. Financiero'!$AB$5:$AB$1000,$N11),""),IF(INDEX('Cronograma R. Financiero'!$J$5:$J$1000,$N11)="","",INDEX('Cronograma R. Financiero'!$J$5:$J$1000,$N11))))</f>
        <v/>
      </c>
      <c r="J11" s="68">
        <f>IF($N11="","",INDEX('Cronograma R. Financiero'!$K$5:$K$1000,$N11))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Financiero'!$M$5:$M$1000,$N11)&amp;"")</f>
        <v/>
      </c>
      <c r="M11" s="71">
        <f>IF($N11="","",INDEX('Cronograma R. Financiero'!$N$5:$N$1000,$N11)&amp;"")</f>
        <v/>
      </c>
      <c r="N11">
        <f>IFERROR(MATCH(ROW()-4,rOrden_RF,0),"")</f>
        <v/>
      </c>
      <c r="O11">
        <f>IF($N11="","",INDEX('Cronograma R. Financiero'!$S$5:$S$1000,$N11))</f>
        <v/>
      </c>
      <c r="P11">
        <f>IF($N11="","",N(INDEX('Cronograma R. Financiero'!$T$5:$T$1000,$N11)))</f>
        <v/>
      </c>
    </row>
    <row r="12">
      <c r="A12" s="62">
        <f>IF($N12="","",INDEX('Cronograma R. Financiero'!$A$5:$A$1000,$N12))</f>
        <v/>
      </c>
      <c r="B12" s="71">
        <f>IF($N12="","",IF($O12="Sub","      ↳  "&amp;INDEX('Cronograma R. Financiero'!$C$5:$C$1000,$N12),INDEX('Cronograma R. Financiero'!$C$5:$C$1000,$N12)&amp;""))</f>
        <v/>
      </c>
      <c r="C12" s="77">
        <f>IF($N12="","",IF(INDEX('Cronograma R. Financiero'!$D$5:$D$1000,$N12)="","",INDEX('Cronograma R. Financiero'!$D$5:$D$1000,$N12)))</f>
        <v/>
      </c>
      <c r="D12" s="77">
        <f>IF($N12="","",IF(INDEX('Cronograma R. Financiero'!$E$5:$E$1000,$N12)="","",INDEX('Cronograma R. Financiero'!$E$5:$E$1000,$N12)))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Financiero'!$Y$5:$Y$1000,$N12),""),IF(INDEX('Cronograma R. Financiero'!$G$5:$G$1000,$N12)="","",INDEX('Cronograma R. Financiero'!$G$5:$G$1000,$N12))))</f>
        <v/>
      </c>
      <c r="G12" s="68">
        <f>IF($N12="","",IF($P12&gt;0,IF(2&lt;=SemanaActual,INDEX('Cronograma R. Financiero'!$Z$5:$Z$1000,$N12),""),IF(INDEX('Cronograma R. Financiero'!$H$5:$H$1000,$N12)="","",INDEX('Cronograma R. Financiero'!$H$5:$H$1000,$N12))))</f>
        <v/>
      </c>
      <c r="H12" s="68">
        <f>IF($N12="","",IF($P12&gt;0,IF(3&lt;=SemanaActual,INDEX('Cronograma R. Financiero'!$AA$5:$AA$1000,$N12),""),IF(INDEX('Cronograma R. Financiero'!$I$5:$I$1000,$N12)="","",INDEX('Cronograma R. Financiero'!$I$5:$I$1000,$N12))))</f>
        <v/>
      </c>
      <c r="I12" s="68">
        <f>IF($N12="","",IF($P12&gt;0,IF(4&lt;=SemanaActual,INDEX('Cronograma R. Financiero'!$AB$5:$AB$1000,$N12),""),IF(INDEX('Cronograma R. Financiero'!$J$5:$J$1000,$N12)="","",INDEX('Cronograma R. Financiero'!$J$5:$J$1000,$N12))))</f>
        <v/>
      </c>
      <c r="J12" s="68">
        <f>IF($N12="","",INDEX('Cronograma R. Financiero'!$K$5:$K$1000,$N12))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Financiero'!$M$5:$M$1000,$N12)&amp;"")</f>
        <v/>
      </c>
      <c r="M12" s="71">
        <f>IF($N12="","",INDEX('Cronograma R. Financiero'!$N$5:$N$1000,$N12)&amp;"")</f>
        <v/>
      </c>
      <c r="N12">
        <f>IFERROR(MATCH(ROW()-4,rOrden_RF,0),"")</f>
        <v/>
      </c>
      <c r="O12">
        <f>IF($N12="","",INDEX('Cronograma R. Financiero'!$S$5:$S$1000,$N12))</f>
        <v/>
      </c>
      <c r="P12">
        <f>IF($N12="","",N(INDEX('Cronograma R. Financiero'!$T$5:$T$1000,$N12)))</f>
        <v/>
      </c>
    </row>
    <row r="13">
      <c r="A13" s="62">
        <f>IF($N13="","",INDEX('Cronograma R. Financiero'!$A$5:$A$1000,$N13))</f>
        <v/>
      </c>
      <c r="B13" s="71">
        <f>IF($N13="","",IF($O13="Sub","      ↳  "&amp;INDEX('Cronograma R. Financiero'!$C$5:$C$1000,$N13),INDEX('Cronograma R. Financiero'!$C$5:$C$1000,$N13)&amp;""))</f>
        <v/>
      </c>
      <c r="C13" s="77">
        <f>IF($N13="","",IF(INDEX('Cronograma R. Financiero'!$D$5:$D$1000,$N13)="","",INDEX('Cronograma R. Financiero'!$D$5:$D$1000,$N13)))</f>
        <v/>
      </c>
      <c r="D13" s="77">
        <f>IF($N13="","",IF(INDEX('Cronograma R. Financiero'!$E$5:$E$1000,$N13)="","",INDEX('Cronograma R. Financiero'!$E$5:$E$1000,$N13)))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Financiero'!$Y$5:$Y$1000,$N13),""),IF(INDEX('Cronograma R. Financiero'!$G$5:$G$1000,$N13)="","",INDEX('Cronograma R. Financiero'!$G$5:$G$1000,$N13))))</f>
        <v/>
      </c>
      <c r="G13" s="68">
        <f>IF($N13="","",IF($P13&gt;0,IF(2&lt;=SemanaActual,INDEX('Cronograma R. Financiero'!$Z$5:$Z$1000,$N13),""),IF(INDEX('Cronograma R. Financiero'!$H$5:$H$1000,$N13)="","",INDEX('Cronograma R. Financiero'!$H$5:$H$1000,$N13))))</f>
        <v/>
      </c>
      <c r="H13" s="68">
        <f>IF($N13="","",IF($P13&gt;0,IF(3&lt;=SemanaActual,INDEX('Cronograma R. Financiero'!$AA$5:$AA$1000,$N13),""),IF(INDEX('Cronograma R. Financiero'!$I$5:$I$1000,$N13)="","",INDEX('Cronograma R. Financiero'!$I$5:$I$1000,$N13))))</f>
        <v/>
      </c>
      <c r="I13" s="68">
        <f>IF($N13="","",IF($P13&gt;0,IF(4&lt;=SemanaActual,INDEX('Cronograma R. Financiero'!$AB$5:$AB$1000,$N13),""),IF(INDEX('Cronograma R. Financiero'!$J$5:$J$1000,$N13)="","",INDEX('Cronograma R. Financiero'!$J$5:$J$1000,$N13))))</f>
        <v/>
      </c>
      <c r="J13" s="68">
        <f>IF($N13="","",INDEX('Cronograma R. Financiero'!$K$5:$K$1000,$N13))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Financiero'!$M$5:$M$1000,$N13)&amp;"")</f>
        <v/>
      </c>
      <c r="M13" s="71">
        <f>IF($N13="","",INDEX('Cronograma R. Financiero'!$N$5:$N$1000,$N13)&amp;"")</f>
        <v/>
      </c>
      <c r="N13">
        <f>IFERROR(MATCH(ROW()-4,rOrden_RF,0),"")</f>
        <v/>
      </c>
      <c r="O13">
        <f>IF($N13="","",INDEX('Cronograma R. Financiero'!$S$5:$S$1000,$N13))</f>
        <v/>
      </c>
      <c r="P13">
        <f>IF($N13="","",N(INDEX('Cronograma R. Financiero'!$T$5:$T$1000,$N13)))</f>
        <v/>
      </c>
    </row>
    <row r="14">
      <c r="A14" s="62">
        <f>IF($N14="","",INDEX('Cronograma R. Financiero'!$A$5:$A$1000,$N14))</f>
        <v/>
      </c>
      <c r="B14" s="71">
        <f>IF($N14="","",IF($O14="Sub","      ↳  "&amp;INDEX('Cronograma R. Financiero'!$C$5:$C$1000,$N14),INDEX('Cronograma R. Financiero'!$C$5:$C$1000,$N14)&amp;""))</f>
        <v/>
      </c>
      <c r="C14" s="77">
        <f>IF($N14="","",IF(INDEX('Cronograma R. Financiero'!$D$5:$D$1000,$N14)="","",INDEX('Cronograma R. Financiero'!$D$5:$D$1000,$N14)))</f>
        <v/>
      </c>
      <c r="D14" s="77">
        <f>IF($N14="","",IF(INDEX('Cronograma R. Financiero'!$E$5:$E$1000,$N14)="","",INDEX('Cronograma R. Financiero'!$E$5:$E$1000,$N14)))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Financiero'!$Y$5:$Y$1000,$N14),""),IF(INDEX('Cronograma R. Financiero'!$G$5:$G$1000,$N14)="","",INDEX('Cronograma R. Financiero'!$G$5:$G$1000,$N14))))</f>
        <v/>
      </c>
      <c r="G14" s="68">
        <f>IF($N14="","",IF($P14&gt;0,IF(2&lt;=SemanaActual,INDEX('Cronograma R. Financiero'!$Z$5:$Z$1000,$N14),""),IF(INDEX('Cronograma R. Financiero'!$H$5:$H$1000,$N14)="","",INDEX('Cronograma R. Financiero'!$H$5:$H$1000,$N14))))</f>
        <v/>
      </c>
      <c r="H14" s="68">
        <f>IF($N14="","",IF($P14&gt;0,IF(3&lt;=SemanaActual,INDEX('Cronograma R. Financiero'!$AA$5:$AA$1000,$N14),""),IF(INDEX('Cronograma R. Financiero'!$I$5:$I$1000,$N14)="","",INDEX('Cronograma R. Financiero'!$I$5:$I$1000,$N14))))</f>
        <v/>
      </c>
      <c r="I14" s="68">
        <f>IF($N14="","",IF($P14&gt;0,IF(4&lt;=SemanaActual,INDEX('Cronograma R. Financiero'!$AB$5:$AB$1000,$N14),""),IF(INDEX('Cronograma R. Financiero'!$J$5:$J$1000,$N14)="","",INDEX('Cronograma R. Financiero'!$J$5:$J$1000,$N14))))</f>
        <v/>
      </c>
      <c r="J14" s="68">
        <f>IF($N14="","",INDEX('Cronograma R. Financiero'!$K$5:$K$1000,$N14))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Financiero'!$M$5:$M$1000,$N14)&amp;"")</f>
        <v/>
      </c>
      <c r="M14" s="71">
        <f>IF($N14="","",INDEX('Cronograma R. Financiero'!$N$5:$N$1000,$N14)&amp;"")</f>
        <v/>
      </c>
      <c r="N14">
        <f>IFERROR(MATCH(ROW()-4,rOrden_RF,0),"")</f>
        <v/>
      </c>
      <c r="O14">
        <f>IF($N14="","",INDEX('Cronograma R. Financiero'!$S$5:$S$1000,$N14))</f>
        <v/>
      </c>
      <c r="P14">
        <f>IF($N14="","",N(INDEX('Cronograma R. Financiero'!$T$5:$T$1000,$N14)))</f>
        <v/>
      </c>
    </row>
    <row r="15">
      <c r="A15" s="62">
        <f>IF($N15="","",INDEX('Cronograma R. Financiero'!$A$5:$A$1000,$N15))</f>
        <v/>
      </c>
      <c r="B15" s="71">
        <f>IF($N15="","",IF($O15="Sub","      ↳  "&amp;INDEX('Cronograma R. Financiero'!$C$5:$C$1000,$N15),INDEX('Cronograma R. Financiero'!$C$5:$C$1000,$N15)&amp;""))</f>
        <v/>
      </c>
      <c r="C15" s="77">
        <f>IF($N15="","",IF(INDEX('Cronograma R. Financiero'!$D$5:$D$1000,$N15)="","",INDEX('Cronograma R. Financiero'!$D$5:$D$1000,$N15)))</f>
        <v/>
      </c>
      <c r="D15" s="77">
        <f>IF($N15="","",IF(INDEX('Cronograma R. Financiero'!$E$5:$E$1000,$N15)="","",INDEX('Cronograma R. Financiero'!$E$5:$E$1000,$N15)))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Financiero'!$Y$5:$Y$1000,$N15),""),IF(INDEX('Cronograma R. Financiero'!$G$5:$G$1000,$N15)="","",INDEX('Cronograma R. Financiero'!$G$5:$G$1000,$N15))))</f>
        <v/>
      </c>
      <c r="G15" s="68">
        <f>IF($N15="","",IF($P15&gt;0,IF(2&lt;=SemanaActual,INDEX('Cronograma R. Financiero'!$Z$5:$Z$1000,$N15),""),IF(INDEX('Cronograma R. Financiero'!$H$5:$H$1000,$N15)="","",INDEX('Cronograma R. Financiero'!$H$5:$H$1000,$N15))))</f>
        <v/>
      </c>
      <c r="H15" s="68">
        <f>IF($N15="","",IF($P15&gt;0,IF(3&lt;=SemanaActual,INDEX('Cronograma R. Financiero'!$AA$5:$AA$1000,$N15),""),IF(INDEX('Cronograma R. Financiero'!$I$5:$I$1000,$N15)="","",INDEX('Cronograma R. Financiero'!$I$5:$I$1000,$N15))))</f>
        <v/>
      </c>
      <c r="I15" s="68">
        <f>IF($N15="","",IF($P15&gt;0,IF(4&lt;=SemanaActual,INDEX('Cronograma R. Financiero'!$AB$5:$AB$1000,$N15),""),IF(INDEX('Cronograma R. Financiero'!$J$5:$J$1000,$N15)="","",INDEX('Cronograma R. Financiero'!$J$5:$J$1000,$N15))))</f>
        <v/>
      </c>
      <c r="J15" s="68">
        <f>IF($N15="","",INDEX('Cronograma R. Financiero'!$K$5:$K$1000,$N15))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Financiero'!$M$5:$M$1000,$N15)&amp;"")</f>
        <v/>
      </c>
      <c r="M15" s="71">
        <f>IF($N15="","",INDEX('Cronograma R. Financiero'!$N$5:$N$1000,$N15)&amp;"")</f>
        <v/>
      </c>
      <c r="N15">
        <f>IFERROR(MATCH(ROW()-4,rOrden_RF,0),"")</f>
        <v/>
      </c>
      <c r="O15">
        <f>IF($N15="","",INDEX('Cronograma R. Financiero'!$S$5:$S$1000,$N15))</f>
        <v/>
      </c>
      <c r="P15">
        <f>IF($N15="","",N(INDEX('Cronograma R. Financiero'!$T$5:$T$1000,$N15)))</f>
        <v/>
      </c>
    </row>
    <row r="16">
      <c r="A16" s="62">
        <f>IF($N16="","",INDEX('Cronograma R. Financiero'!$A$5:$A$1000,$N16))</f>
        <v/>
      </c>
      <c r="B16" s="71">
        <f>IF($N16="","",IF($O16="Sub","      ↳  "&amp;INDEX('Cronograma R. Financiero'!$C$5:$C$1000,$N16),INDEX('Cronograma R. Financiero'!$C$5:$C$1000,$N16)&amp;""))</f>
        <v/>
      </c>
      <c r="C16" s="77">
        <f>IF($N16="","",IF(INDEX('Cronograma R. Financiero'!$D$5:$D$1000,$N16)="","",INDEX('Cronograma R. Financiero'!$D$5:$D$1000,$N16)))</f>
        <v/>
      </c>
      <c r="D16" s="77">
        <f>IF($N16="","",IF(INDEX('Cronograma R. Financiero'!$E$5:$E$1000,$N16)="","",INDEX('Cronograma R. Financiero'!$E$5:$E$1000,$N16)))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Financiero'!$Y$5:$Y$1000,$N16),""),IF(INDEX('Cronograma R. Financiero'!$G$5:$G$1000,$N16)="","",INDEX('Cronograma R. Financiero'!$G$5:$G$1000,$N16))))</f>
        <v/>
      </c>
      <c r="G16" s="68">
        <f>IF($N16="","",IF($P16&gt;0,IF(2&lt;=SemanaActual,INDEX('Cronograma R. Financiero'!$Z$5:$Z$1000,$N16),""),IF(INDEX('Cronograma R. Financiero'!$H$5:$H$1000,$N16)="","",INDEX('Cronograma R. Financiero'!$H$5:$H$1000,$N16))))</f>
        <v/>
      </c>
      <c r="H16" s="68">
        <f>IF($N16="","",IF($P16&gt;0,IF(3&lt;=SemanaActual,INDEX('Cronograma R. Financiero'!$AA$5:$AA$1000,$N16),""),IF(INDEX('Cronograma R. Financiero'!$I$5:$I$1000,$N16)="","",INDEX('Cronograma R. Financiero'!$I$5:$I$1000,$N16))))</f>
        <v/>
      </c>
      <c r="I16" s="68">
        <f>IF($N16="","",IF($P16&gt;0,IF(4&lt;=SemanaActual,INDEX('Cronograma R. Financiero'!$AB$5:$AB$1000,$N16),""),IF(INDEX('Cronograma R. Financiero'!$J$5:$J$1000,$N16)="","",INDEX('Cronograma R. Financiero'!$J$5:$J$1000,$N16))))</f>
        <v/>
      </c>
      <c r="J16" s="68">
        <f>IF($N16="","",INDEX('Cronograma R. Financiero'!$K$5:$K$1000,$N16))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Financiero'!$M$5:$M$1000,$N16)&amp;"")</f>
        <v/>
      </c>
      <c r="M16" s="71">
        <f>IF($N16="","",INDEX('Cronograma R. Financiero'!$N$5:$N$1000,$N16)&amp;"")</f>
        <v/>
      </c>
      <c r="N16">
        <f>IFERROR(MATCH(ROW()-4,rOrden_RF,0),"")</f>
        <v/>
      </c>
      <c r="O16">
        <f>IF($N16="","",INDEX('Cronograma R. Financiero'!$S$5:$S$1000,$N16))</f>
        <v/>
      </c>
      <c r="P16">
        <f>IF($N16="","",N(INDEX('Cronograma R. Financiero'!$T$5:$T$1000,$N16)))</f>
        <v/>
      </c>
    </row>
    <row r="17">
      <c r="A17" s="62">
        <f>IF($N17="","",INDEX('Cronograma R. Financiero'!$A$5:$A$1000,$N17))</f>
        <v/>
      </c>
      <c r="B17" s="71">
        <f>IF($N17="","",IF($O17="Sub","      ↳  "&amp;INDEX('Cronograma R. Financiero'!$C$5:$C$1000,$N17),INDEX('Cronograma R. Financiero'!$C$5:$C$1000,$N17)&amp;""))</f>
        <v/>
      </c>
      <c r="C17" s="77">
        <f>IF($N17="","",IF(INDEX('Cronograma R. Financiero'!$D$5:$D$1000,$N17)="","",INDEX('Cronograma R. Financiero'!$D$5:$D$1000,$N17)))</f>
        <v/>
      </c>
      <c r="D17" s="77">
        <f>IF($N17="","",IF(INDEX('Cronograma R. Financiero'!$E$5:$E$1000,$N17)="","",INDEX('Cronograma R. Financiero'!$E$5:$E$1000,$N17)))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Financiero'!$Y$5:$Y$1000,$N17),""),IF(INDEX('Cronograma R. Financiero'!$G$5:$G$1000,$N17)="","",INDEX('Cronograma R. Financiero'!$G$5:$G$1000,$N17))))</f>
        <v/>
      </c>
      <c r="G17" s="68">
        <f>IF($N17="","",IF($P17&gt;0,IF(2&lt;=SemanaActual,INDEX('Cronograma R. Financiero'!$Z$5:$Z$1000,$N17),""),IF(INDEX('Cronograma R. Financiero'!$H$5:$H$1000,$N17)="","",INDEX('Cronograma R. Financiero'!$H$5:$H$1000,$N17))))</f>
        <v/>
      </c>
      <c r="H17" s="68">
        <f>IF($N17="","",IF($P17&gt;0,IF(3&lt;=SemanaActual,INDEX('Cronograma R. Financiero'!$AA$5:$AA$1000,$N17),""),IF(INDEX('Cronograma R. Financiero'!$I$5:$I$1000,$N17)="","",INDEX('Cronograma R. Financiero'!$I$5:$I$1000,$N17))))</f>
        <v/>
      </c>
      <c r="I17" s="68">
        <f>IF($N17="","",IF($P17&gt;0,IF(4&lt;=SemanaActual,INDEX('Cronograma R. Financiero'!$AB$5:$AB$1000,$N17),""),IF(INDEX('Cronograma R. Financiero'!$J$5:$J$1000,$N17)="","",INDEX('Cronograma R. Financiero'!$J$5:$J$1000,$N17))))</f>
        <v/>
      </c>
      <c r="J17" s="68">
        <f>IF($N17="","",INDEX('Cronograma R. Financiero'!$K$5:$K$1000,$N17))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Financiero'!$M$5:$M$1000,$N17)&amp;"")</f>
        <v/>
      </c>
      <c r="M17" s="71">
        <f>IF($N17="","",INDEX('Cronograma R. Financiero'!$N$5:$N$1000,$N17)&amp;"")</f>
        <v/>
      </c>
      <c r="N17">
        <f>IFERROR(MATCH(ROW()-4,rOrden_RF,0),"")</f>
        <v/>
      </c>
      <c r="O17">
        <f>IF($N17="","",INDEX('Cronograma R. Financiero'!$S$5:$S$1000,$N17))</f>
        <v/>
      </c>
      <c r="P17">
        <f>IF($N17="","",N(INDEX('Cronograma R. Financiero'!$T$5:$T$1000,$N17)))</f>
        <v/>
      </c>
    </row>
    <row r="18">
      <c r="A18" s="62">
        <f>IF($N18="","",INDEX('Cronograma R. Financiero'!$A$5:$A$1000,$N18))</f>
        <v/>
      </c>
      <c r="B18" s="71">
        <f>IF($N18="","",IF($O18="Sub","      ↳  "&amp;INDEX('Cronograma R. Financiero'!$C$5:$C$1000,$N18),INDEX('Cronograma R. Financiero'!$C$5:$C$1000,$N18)&amp;""))</f>
        <v/>
      </c>
      <c r="C18" s="77">
        <f>IF($N18="","",IF(INDEX('Cronograma R. Financiero'!$D$5:$D$1000,$N18)="","",INDEX('Cronograma R. Financiero'!$D$5:$D$1000,$N18)))</f>
        <v/>
      </c>
      <c r="D18" s="77">
        <f>IF($N18="","",IF(INDEX('Cronograma R. Financiero'!$E$5:$E$1000,$N18)="","",INDEX('Cronograma R. Financiero'!$E$5:$E$1000,$N18)))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Financiero'!$Y$5:$Y$1000,$N18),""),IF(INDEX('Cronograma R. Financiero'!$G$5:$G$1000,$N18)="","",INDEX('Cronograma R. Financiero'!$G$5:$G$1000,$N18))))</f>
        <v/>
      </c>
      <c r="G18" s="68">
        <f>IF($N18="","",IF($P18&gt;0,IF(2&lt;=SemanaActual,INDEX('Cronograma R. Financiero'!$Z$5:$Z$1000,$N18),""),IF(INDEX('Cronograma R. Financiero'!$H$5:$H$1000,$N18)="","",INDEX('Cronograma R. Financiero'!$H$5:$H$1000,$N18))))</f>
        <v/>
      </c>
      <c r="H18" s="68">
        <f>IF($N18="","",IF($P18&gt;0,IF(3&lt;=SemanaActual,INDEX('Cronograma R. Financiero'!$AA$5:$AA$1000,$N18),""),IF(INDEX('Cronograma R. Financiero'!$I$5:$I$1000,$N18)="","",INDEX('Cronograma R. Financiero'!$I$5:$I$1000,$N18))))</f>
        <v/>
      </c>
      <c r="I18" s="68">
        <f>IF($N18="","",IF($P18&gt;0,IF(4&lt;=SemanaActual,INDEX('Cronograma R. Financiero'!$AB$5:$AB$1000,$N18),""),IF(INDEX('Cronograma R. Financiero'!$J$5:$J$1000,$N18)="","",INDEX('Cronograma R. Financiero'!$J$5:$J$1000,$N18))))</f>
        <v/>
      </c>
      <c r="J18" s="68">
        <f>IF($N18="","",INDEX('Cronograma R. Financiero'!$K$5:$K$1000,$N18))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Financiero'!$M$5:$M$1000,$N18)&amp;"")</f>
        <v/>
      </c>
      <c r="M18" s="71">
        <f>IF($N18="","",INDEX('Cronograma R. Financiero'!$N$5:$N$1000,$N18)&amp;"")</f>
        <v/>
      </c>
      <c r="N18">
        <f>IFERROR(MATCH(ROW()-4,rOrden_RF,0),"")</f>
        <v/>
      </c>
      <c r="O18">
        <f>IF($N18="","",INDEX('Cronograma R. Financiero'!$S$5:$S$1000,$N18))</f>
        <v/>
      </c>
      <c r="P18">
        <f>IF($N18="","",N(INDEX('Cronograma R. Financiero'!$T$5:$T$1000,$N18)))</f>
        <v/>
      </c>
    </row>
    <row r="19">
      <c r="A19" s="62">
        <f>IF($N19="","",INDEX('Cronograma R. Financiero'!$A$5:$A$1000,$N19))</f>
        <v/>
      </c>
      <c r="B19" s="71">
        <f>IF($N19="","",IF($O19="Sub","      ↳  "&amp;INDEX('Cronograma R. Financiero'!$C$5:$C$1000,$N19),INDEX('Cronograma R. Financiero'!$C$5:$C$1000,$N19)&amp;""))</f>
        <v/>
      </c>
      <c r="C19" s="77">
        <f>IF($N19="","",IF(INDEX('Cronograma R. Financiero'!$D$5:$D$1000,$N19)="","",INDEX('Cronograma R. Financiero'!$D$5:$D$1000,$N19)))</f>
        <v/>
      </c>
      <c r="D19" s="77">
        <f>IF($N19="","",IF(INDEX('Cronograma R. Financiero'!$E$5:$E$1000,$N19)="","",INDEX('Cronograma R. Financiero'!$E$5:$E$1000,$N19)))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Financiero'!$Y$5:$Y$1000,$N19),""),IF(INDEX('Cronograma R. Financiero'!$G$5:$G$1000,$N19)="","",INDEX('Cronograma R. Financiero'!$G$5:$G$1000,$N19))))</f>
        <v/>
      </c>
      <c r="G19" s="68">
        <f>IF($N19="","",IF($P19&gt;0,IF(2&lt;=SemanaActual,INDEX('Cronograma R. Financiero'!$Z$5:$Z$1000,$N19),""),IF(INDEX('Cronograma R. Financiero'!$H$5:$H$1000,$N19)="","",INDEX('Cronograma R. Financiero'!$H$5:$H$1000,$N19))))</f>
        <v/>
      </c>
      <c r="H19" s="68">
        <f>IF($N19="","",IF($P19&gt;0,IF(3&lt;=SemanaActual,INDEX('Cronograma R. Financiero'!$AA$5:$AA$1000,$N19),""),IF(INDEX('Cronograma R. Financiero'!$I$5:$I$1000,$N19)="","",INDEX('Cronograma R. Financiero'!$I$5:$I$1000,$N19))))</f>
        <v/>
      </c>
      <c r="I19" s="68">
        <f>IF($N19="","",IF($P19&gt;0,IF(4&lt;=SemanaActual,INDEX('Cronograma R. Financiero'!$AB$5:$AB$1000,$N19),""),IF(INDEX('Cronograma R. Financiero'!$J$5:$J$1000,$N19)="","",INDEX('Cronograma R. Financiero'!$J$5:$J$1000,$N19))))</f>
        <v/>
      </c>
      <c r="J19" s="68">
        <f>IF($N19="","",INDEX('Cronograma R. Financiero'!$K$5:$K$1000,$N19))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Financiero'!$M$5:$M$1000,$N19)&amp;"")</f>
        <v/>
      </c>
      <c r="M19" s="71">
        <f>IF($N19="","",INDEX('Cronograma R. Financiero'!$N$5:$N$1000,$N19)&amp;"")</f>
        <v/>
      </c>
      <c r="N19">
        <f>IFERROR(MATCH(ROW()-4,rOrden_RF,0),"")</f>
        <v/>
      </c>
      <c r="O19">
        <f>IF($N19="","",INDEX('Cronograma R. Financiero'!$S$5:$S$1000,$N19))</f>
        <v/>
      </c>
      <c r="P19">
        <f>IF($N19="","",N(INDEX('Cronograma R. Financiero'!$T$5:$T$1000,$N19)))</f>
        <v/>
      </c>
    </row>
    <row r="20">
      <c r="A20" s="62">
        <f>IF($N20="","",INDEX('Cronograma R. Financiero'!$A$5:$A$1000,$N20))</f>
        <v/>
      </c>
      <c r="B20" s="71">
        <f>IF($N20="","",IF($O20="Sub","      ↳  "&amp;INDEX('Cronograma R. Financiero'!$C$5:$C$1000,$N20),INDEX('Cronograma R. Financiero'!$C$5:$C$1000,$N20)&amp;""))</f>
        <v/>
      </c>
      <c r="C20" s="77">
        <f>IF($N20="","",IF(INDEX('Cronograma R. Financiero'!$D$5:$D$1000,$N20)="","",INDEX('Cronograma R. Financiero'!$D$5:$D$1000,$N20)))</f>
        <v/>
      </c>
      <c r="D20" s="77">
        <f>IF($N20="","",IF(INDEX('Cronograma R. Financiero'!$E$5:$E$1000,$N20)="","",INDEX('Cronograma R. Financiero'!$E$5:$E$1000,$N20)))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Financiero'!$Y$5:$Y$1000,$N20),""),IF(INDEX('Cronograma R. Financiero'!$G$5:$G$1000,$N20)="","",INDEX('Cronograma R. Financiero'!$G$5:$G$1000,$N20))))</f>
        <v/>
      </c>
      <c r="G20" s="68">
        <f>IF($N20="","",IF($P20&gt;0,IF(2&lt;=SemanaActual,INDEX('Cronograma R. Financiero'!$Z$5:$Z$1000,$N20),""),IF(INDEX('Cronograma R. Financiero'!$H$5:$H$1000,$N20)="","",INDEX('Cronograma R. Financiero'!$H$5:$H$1000,$N20))))</f>
        <v/>
      </c>
      <c r="H20" s="68">
        <f>IF($N20="","",IF($P20&gt;0,IF(3&lt;=SemanaActual,INDEX('Cronograma R. Financiero'!$AA$5:$AA$1000,$N20),""),IF(INDEX('Cronograma R. Financiero'!$I$5:$I$1000,$N20)="","",INDEX('Cronograma R. Financiero'!$I$5:$I$1000,$N20))))</f>
        <v/>
      </c>
      <c r="I20" s="68">
        <f>IF($N20="","",IF($P20&gt;0,IF(4&lt;=SemanaActual,INDEX('Cronograma R. Financiero'!$AB$5:$AB$1000,$N20),""),IF(INDEX('Cronograma R. Financiero'!$J$5:$J$1000,$N20)="","",INDEX('Cronograma R. Financiero'!$J$5:$J$1000,$N20))))</f>
        <v/>
      </c>
      <c r="J20" s="68">
        <f>IF($N20="","",INDEX('Cronograma R. Financiero'!$K$5:$K$1000,$N20))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Financiero'!$M$5:$M$1000,$N20)&amp;"")</f>
        <v/>
      </c>
      <c r="M20" s="71">
        <f>IF($N20="","",INDEX('Cronograma R. Financiero'!$N$5:$N$1000,$N20)&amp;"")</f>
        <v/>
      </c>
      <c r="N20">
        <f>IFERROR(MATCH(ROW()-4,rOrden_RF,0),"")</f>
        <v/>
      </c>
      <c r="O20">
        <f>IF($N20="","",INDEX('Cronograma R. Financiero'!$S$5:$S$1000,$N20))</f>
        <v/>
      </c>
      <c r="P20">
        <f>IF($N20="","",N(INDEX('Cronograma R. Financiero'!$T$5:$T$1000,$N20)))</f>
        <v/>
      </c>
    </row>
    <row r="21">
      <c r="A21" s="62">
        <f>IF($N21="","",INDEX('Cronograma R. Financiero'!$A$5:$A$1000,$N21))</f>
        <v/>
      </c>
      <c r="B21" s="71">
        <f>IF($N21="","",IF($O21="Sub","      ↳  "&amp;INDEX('Cronograma R. Financiero'!$C$5:$C$1000,$N21),INDEX('Cronograma R. Financiero'!$C$5:$C$1000,$N21)&amp;""))</f>
        <v/>
      </c>
      <c r="C21" s="77">
        <f>IF($N21="","",IF(INDEX('Cronograma R. Financiero'!$D$5:$D$1000,$N21)="","",INDEX('Cronograma R. Financiero'!$D$5:$D$1000,$N21)))</f>
        <v/>
      </c>
      <c r="D21" s="77">
        <f>IF($N21="","",IF(INDEX('Cronograma R. Financiero'!$E$5:$E$1000,$N21)="","",INDEX('Cronograma R. Financiero'!$E$5:$E$1000,$N21)))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Financiero'!$Y$5:$Y$1000,$N21),""),IF(INDEX('Cronograma R. Financiero'!$G$5:$G$1000,$N21)="","",INDEX('Cronograma R. Financiero'!$G$5:$G$1000,$N21))))</f>
        <v/>
      </c>
      <c r="G21" s="68">
        <f>IF($N21="","",IF($P21&gt;0,IF(2&lt;=SemanaActual,INDEX('Cronograma R. Financiero'!$Z$5:$Z$1000,$N21),""),IF(INDEX('Cronograma R. Financiero'!$H$5:$H$1000,$N21)="","",INDEX('Cronograma R. Financiero'!$H$5:$H$1000,$N21))))</f>
        <v/>
      </c>
      <c r="H21" s="68">
        <f>IF($N21="","",IF($P21&gt;0,IF(3&lt;=SemanaActual,INDEX('Cronograma R. Financiero'!$AA$5:$AA$1000,$N21),""),IF(INDEX('Cronograma R. Financiero'!$I$5:$I$1000,$N21)="","",INDEX('Cronograma R. Financiero'!$I$5:$I$1000,$N21))))</f>
        <v/>
      </c>
      <c r="I21" s="68">
        <f>IF($N21="","",IF($P21&gt;0,IF(4&lt;=SemanaActual,INDEX('Cronograma R. Financiero'!$AB$5:$AB$1000,$N21),""),IF(INDEX('Cronograma R. Financiero'!$J$5:$J$1000,$N21)="","",INDEX('Cronograma R. Financiero'!$J$5:$J$1000,$N21))))</f>
        <v/>
      </c>
      <c r="J21" s="68">
        <f>IF($N21="","",INDEX('Cronograma R. Financiero'!$K$5:$K$1000,$N21))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Financiero'!$M$5:$M$1000,$N21)&amp;"")</f>
        <v/>
      </c>
      <c r="M21" s="71">
        <f>IF($N21="","",INDEX('Cronograma R. Financiero'!$N$5:$N$1000,$N21)&amp;"")</f>
        <v/>
      </c>
      <c r="N21">
        <f>IFERROR(MATCH(ROW()-4,rOrden_RF,0),"")</f>
        <v/>
      </c>
      <c r="O21">
        <f>IF($N21="","",INDEX('Cronograma R. Financiero'!$S$5:$S$1000,$N21))</f>
        <v/>
      </c>
      <c r="P21">
        <f>IF($N21="","",N(INDEX('Cronograma R. Financiero'!$T$5:$T$1000,$N21)))</f>
        <v/>
      </c>
    </row>
    <row r="22">
      <c r="A22" s="62">
        <f>IF($N22="","",INDEX('Cronograma R. Financiero'!$A$5:$A$1000,$N22))</f>
        <v/>
      </c>
      <c r="B22" s="71">
        <f>IF($N22="","",IF($O22="Sub","      ↳  "&amp;INDEX('Cronograma R. Financiero'!$C$5:$C$1000,$N22),INDEX('Cronograma R. Financiero'!$C$5:$C$1000,$N22)&amp;""))</f>
        <v/>
      </c>
      <c r="C22" s="77">
        <f>IF($N22="","",IF(INDEX('Cronograma R. Financiero'!$D$5:$D$1000,$N22)="","",INDEX('Cronograma R. Financiero'!$D$5:$D$1000,$N22)))</f>
        <v/>
      </c>
      <c r="D22" s="77">
        <f>IF($N22="","",IF(INDEX('Cronograma R. Financiero'!$E$5:$E$1000,$N22)="","",INDEX('Cronograma R. Financiero'!$E$5:$E$1000,$N22)))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Financiero'!$Y$5:$Y$1000,$N22),""),IF(INDEX('Cronograma R. Financiero'!$G$5:$G$1000,$N22)="","",INDEX('Cronograma R. Financiero'!$G$5:$G$1000,$N22))))</f>
        <v/>
      </c>
      <c r="G22" s="68">
        <f>IF($N22="","",IF($P22&gt;0,IF(2&lt;=SemanaActual,INDEX('Cronograma R. Financiero'!$Z$5:$Z$1000,$N22),""),IF(INDEX('Cronograma R. Financiero'!$H$5:$H$1000,$N22)="","",INDEX('Cronograma R. Financiero'!$H$5:$H$1000,$N22))))</f>
        <v/>
      </c>
      <c r="H22" s="68">
        <f>IF($N22="","",IF($P22&gt;0,IF(3&lt;=SemanaActual,INDEX('Cronograma R. Financiero'!$AA$5:$AA$1000,$N22),""),IF(INDEX('Cronograma R. Financiero'!$I$5:$I$1000,$N22)="","",INDEX('Cronograma R. Financiero'!$I$5:$I$1000,$N22))))</f>
        <v/>
      </c>
      <c r="I22" s="68">
        <f>IF($N22="","",IF($P22&gt;0,IF(4&lt;=SemanaActual,INDEX('Cronograma R. Financiero'!$AB$5:$AB$1000,$N22),""),IF(INDEX('Cronograma R. Financiero'!$J$5:$J$1000,$N22)="","",INDEX('Cronograma R. Financiero'!$J$5:$J$1000,$N22))))</f>
        <v/>
      </c>
      <c r="J22" s="68">
        <f>IF($N22="","",INDEX('Cronograma R. Financiero'!$K$5:$K$1000,$N22))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Financiero'!$M$5:$M$1000,$N22)&amp;"")</f>
        <v/>
      </c>
      <c r="M22" s="71">
        <f>IF($N22="","",INDEX('Cronograma R. Financiero'!$N$5:$N$1000,$N22)&amp;"")</f>
        <v/>
      </c>
      <c r="N22">
        <f>IFERROR(MATCH(ROW()-4,rOrden_RF,0),"")</f>
        <v/>
      </c>
      <c r="O22">
        <f>IF($N22="","",INDEX('Cronograma R. Financiero'!$S$5:$S$1000,$N22))</f>
        <v/>
      </c>
      <c r="P22">
        <f>IF($N22="","",N(INDEX('Cronograma R. Financiero'!$T$5:$T$1000,$N22)))</f>
        <v/>
      </c>
    </row>
    <row r="23">
      <c r="A23" s="62">
        <f>IF($N23="","",INDEX('Cronograma R. Financiero'!$A$5:$A$1000,$N23))</f>
        <v/>
      </c>
      <c r="B23" s="71">
        <f>IF($N23="","",IF($O23="Sub","      ↳  "&amp;INDEX('Cronograma R. Financiero'!$C$5:$C$1000,$N23),INDEX('Cronograma R. Financiero'!$C$5:$C$1000,$N23)&amp;""))</f>
        <v/>
      </c>
      <c r="C23" s="77">
        <f>IF($N23="","",IF(INDEX('Cronograma R. Financiero'!$D$5:$D$1000,$N23)="","",INDEX('Cronograma R. Financiero'!$D$5:$D$1000,$N23)))</f>
        <v/>
      </c>
      <c r="D23" s="77">
        <f>IF($N23="","",IF(INDEX('Cronograma R. Financiero'!$E$5:$E$1000,$N23)="","",INDEX('Cronograma R. Financiero'!$E$5:$E$1000,$N23)))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Financiero'!$Y$5:$Y$1000,$N23),""),IF(INDEX('Cronograma R. Financiero'!$G$5:$G$1000,$N23)="","",INDEX('Cronograma R. Financiero'!$G$5:$G$1000,$N23))))</f>
        <v/>
      </c>
      <c r="G23" s="68">
        <f>IF($N23="","",IF($P23&gt;0,IF(2&lt;=SemanaActual,INDEX('Cronograma R. Financiero'!$Z$5:$Z$1000,$N23),""),IF(INDEX('Cronograma R. Financiero'!$H$5:$H$1000,$N23)="","",INDEX('Cronograma R. Financiero'!$H$5:$H$1000,$N23))))</f>
        <v/>
      </c>
      <c r="H23" s="68">
        <f>IF($N23="","",IF($P23&gt;0,IF(3&lt;=SemanaActual,INDEX('Cronograma R. Financiero'!$AA$5:$AA$1000,$N23),""),IF(INDEX('Cronograma R. Financiero'!$I$5:$I$1000,$N23)="","",INDEX('Cronograma R. Financiero'!$I$5:$I$1000,$N23))))</f>
        <v/>
      </c>
      <c r="I23" s="68">
        <f>IF($N23="","",IF($P23&gt;0,IF(4&lt;=SemanaActual,INDEX('Cronograma R. Financiero'!$AB$5:$AB$1000,$N23),""),IF(INDEX('Cronograma R. Financiero'!$J$5:$J$1000,$N23)="","",INDEX('Cronograma R. Financiero'!$J$5:$J$1000,$N23))))</f>
        <v/>
      </c>
      <c r="J23" s="68">
        <f>IF($N23="","",INDEX('Cronograma R. Financiero'!$K$5:$K$1000,$N23))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Financiero'!$M$5:$M$1000,$N23)&amp;"")</f>
        <v/>
      </c>
      <c r="M23" s="71">
        <f>IF($N23="","",INDEX('Cronograma R. Financiero'!$N$5:$N$1000,$N23)&amp;"")</f>
        <v/>
      </c>
      <c r="N23">
        <f>IFERROR(MATCH(ROW()-4,rOrden_RF,0),"")</f>
        <v/>
      </c>
      <c r="O23">
        <f>IF($N23="","",INDEX('Cronograma R. Financiero'!$S$5:$S$1000,$N23))</f>
        <v/>
      </c>
      <c r="P23">
        <f>IF($N23="","",N(INDEX('Cronograma R. Financiero'!$T$5:$T$1000,$N23)))</f>
        <v/>
      </c>
    </row>
    <row r="24">
      <c r="A24" s="62">
        <f>IF($N24="","",INDEX('Cronograma R. Financiero'!$A$5:$A$1000,$N24))</f>
        <v/>
      </c>
      <c r="B24" s="71">
        <f>IF($N24="","",IF($O24="Sub","      ↳  "&amp;INDEX('Cronograma R. Financiero'!$C$5:$C$1000,$N24),INDEX('Cronograma R. Financiero'!$C$5:$C$1000,$N24)&amp;""))</f>
        <v/>
      </c>
      <c r="C24" s="77">
        <f>IF($N24="","",IF(INDEX('Cronograma R. Financiero'!$D$5:$D$1000,$N24)="","",INDEX('Cronograma R. Financiero'!$D$5:$D$1000,$N24)))</f>
        <v/>
      </c>
      <c r="D24" s="77">
        <f>IF($N24="","",IF(INDEX('Cronograma R. Financiero'!$E$5:$E$1000,$N24)="","",INDEX('Cronograma R. Financiero'!$E$5:$E$1000,$N24)))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Financiero'!$Y$5:$Y$1000,$N24),""),IF(INDEX('Cronograma R. Financiero'!$G$5:$G$1000,$N24)="","",INDEX('Cronograma R. Financiero'!$G$5:$G$1000,$N24))))</f>
        <v/>
      </c>
      <c r="G24" s="68">
        <f>IF($N24="","",IF($P24&gt;0,IF(2&lt;=SemanaActual,INDEX('Cronograma R. Financiero'!$Z$5:$Z$1000,$N24),""),IF(INDEX('Cronograma R. Financiero'!$H$5:$H$1000,$N24)="","",INDEX('Cronograma R. Financiero'!$H$5:$H$1000,$N24))))</f>
        <v/>
      </c>
      <c r="H24" s="68">
        <f>IF($N24="","",IF($P24&gt;0,IF(3&lt;=SemanaActual,INDEX('Cronograma R. Financiero'!$AA$5:$AA$1000,$N24),""),IF(INDEX('Cronograma R. Financiero'!$I$5:$I$1000,$N24)="","",INDEX('Cronograma R. Financiero'!$I$5:$I$1000,$N24))))</f>
        <v/>
      </c>
      <c r="I24" s="68">
        <f>IF($N24="","",IF($P24&gt;0,IF(4&lt;=SemanaActual,INDEX('Cronograma R. Financiero'!$AB$5:$AB$1000,$N24),""),IF(INDEX('Cronograma R. Financiero'!$J$5:$J$1000,$N24)="","",INDEX('Cronograma R. Financiero'!$J$5:$J$1000,$N24))))</f>
        <v/>
      </c>
      <c r="J24" s="68">
        <f>IF($N24="","",INDEX('Cronograma R. Financiero'!$K$5:$K$1000,$N24))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Financiero'!$M$5:$M$1000,$N24)&amp;"")</f>
        <v/>
      </c>
      <c r="M24" s="71">
        <f>IF($N24="","",INDEX('Cronograma R. Financiero'!$N$5:$N$1000,$N24)&amp;"")</f>
        <v/>
      </c>
      <c r="N24">
        <f>IFERROR(MATCH(ROW()-4,rOrden_RF,0),"")</f>
        <v/>
      </c>
      <c r="O24">
        <f>IF($N24="","",INDEX('Cronograma R. Financiero'!$S$5:$S$1000,$N24))</f>
        <v/>
      </c>
      <c r="P24">
        <f>IF($N24="","",N(INDEX('Cronograma R. Financiero'!$T$5:$T$1000,$N24)))</f>
        <v/>
      </c>
    </row>
    <row r="25">
      <c r="A25" s="62">
        <f>IF($N25="","",INDEX('Cronograma R. Financiero'!$A$5:$A$1000,$N25))</f>
        <v/>
      </c>
      <c r="B25" s="71">
        <f>IF($N25="","",IF($O25="Sub","      ↳  "&amp;INDEX('Cronograma R. Financiero'!$C$5:$C$1000,$N25),INDEX('Cronograma R. Financiero'!$C$5:$C$1000,$N25)&amp;""))</f>
        <v/>
      </c>
      <c r="C25" s="77">
        <f>IF($N25="","",IF(INDEX('Cronograma R. Financiero'!$D$5:$D$1000,$N25)="","",INDEX('Cronograma R. Financiero'!$D$5:$D$1000,$N25)))</f>
        <v/>
      </c>
      <c r="D25" s="77">
        <f>IF($N25="","",IF(INDEX('Cronograma R. Financiero'!$E$5:$E$1000,$N25)="","",INDEX('Cronograma R. Financiero'!$E$5:$E$1000,$N25)))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Financiero'!$Y$5:$Y$1000,$N25),""),IF(INDEX('Cronograma R. Financiero'!$G$5:$G$1000,$N25)="","",INDEX('Cronograma R. Financiero'!$G$5:$G$1000,$N25))))</f>
        <v/>
      </c>
      <c r="G25" s="68">
        <f>IF($N25="","",IF($P25&gt;0,IF(2&lt;=SemanaActual,INDEX('Cronograma R. Financiero'!$Z$5:$Z$1000,$N25),""),IF(INDEX('Cronograma R. Financiero'!$H$5:$H$1000,$N25)="","",INDEX('Cronograma R. Financiero'!$H$5:$H$1000,$N25))))</f>
        <v/>
      </c>
      <c r="H25" s="68">
        <f>IF($N25="","",IF($P25&gt;0,IF(3&lt;=SemanaActual,INDEX('Cronograma R. Financiero'!$AA$5:$AA$1000,$N25),""),IF(INDEX('Cronograma R. Financiero'!$I$5:$I$1000,$N25)="","",INDEX('Cronograma R. Financiero'!$I$5:$I$1000,$N25))))</f>
        <v/>
      </c>
      <c r="I25" s="68">
        <f>IF($N25="","",IF($P25&gt;0,IF(4&lt;=SemanaActual,INDEX('Cronograma R. Financiero'!$AB$5:$AB$1000,$N25),""),IF(INDEX('Cronograma R. Financiero'!$J$5:$J$1000,$N25)="","",INDEX('Cronograma R. Financiero'!$J$5:$J$1000,$N25))))</f>
        <v/>
      </c>
      <c r="J25" s="68">
        <f>IF($N25="","",INDEX('Cronograma R. Financiero'!$K$5:$K$1000,$N25))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Financiero'!$M$5:$M$1000,$N25)&amp;"")</f>
        <v/>
      </c>
      <c r="M25" s="71">
        <f>IF($N25="","",INDEX('Cronograma R. Financiero'!$N$5:$N$1000,$N25)&amp;"")</f>
        <v/>
      </c>
      <c r="N25">
        <f>IFERROR(MATCH(ROW()-4,rOrden_RF,0),"")</f>
        <v/>
      </c>
      <c r="O25">
        <f>IF($N25="","",INDEX('Cronograma R. Financiero'!$S$5:$S$1000,$N25))</f>
        <v/>
      </c>
      <c r="P25">
        <f>IF($N25="","",N(INDEX('Cronograma R. Financiero'!$T$5:$T$1000,$N25)))</f>
        <v/>
      </c>
    </row>
    <row r="26">
      <c r="A26" s="62">
        <f>IF($N26="","",INDEX('Cronograma R. Financiero'!$A$5:$A$1000,$N26))</f>
        <v/>
      </c>
      <c r="B26" s="71">
        <f>IF($N26="","",IF($O26="Sub","      ↳  "&amp;INDEX('Cronograma R. Financiero'!$C$5:$C$1000,$N26),INDEX('Cronograma R. Financiero'!$C$5:$C$1000,$N26)&amp;""))</f>
        <v/>
      </c>
      <c r="C26" s="77">
        <f>IF($N26="","",IF(INDEX('Cronograma R. Financiero'!$D$5:$D$1000,$N26)="","",INDEX('Cronograma R. Financiero'!$D$5:$D$1000,$N26)))</f>
        <v/>
      </c>
      <c r="D26" s="77">
        <f>IF($N26="","",IF(INDEX('Cronograma R. Financiero'!$E$5:$E$1000,$N26)="","",INDEX('Cronograma R. Financiero'!$E$5:$E$1000,$N26)))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Financiero'!$Y$5:$Y$1000,$N26),""),IF(INDEX('Cronograma R. Financiero'!$G$5:$G$1000,$N26)="","",INDEX('Cronograma R. Financiero'!$G$5:$G$1000,$N26))))</f>
        <v/>
      </c>
      <c r="G26" s="68">
        <f>IF($N26="","",IF($P26&gt;0,IF(2&lt;=SemanaActual,INDEX('Cronograma R. Financiero'!$Z$5:$Z$1000,$N26),""),IF(INDEX('Cronograma R. Financiero'!$H$5:$H$1000,$N26)="","",INDEX('Cronograma R. Financiero'!$H$5:$H$1000,$N26))))</f>
        <v/>
      </c>
      <c r="H26" s="68">
        <f>IF($N26="","",IF($P26&gt;0,IF(3&lt;=SemanaActual,INDEX('Cronograma R. Financiero'!$AA$5:$AA$1000,$N26),""),IF(INDEX('Cronograma R. Financiero'!$I$5:$I$1000,$N26)="","",INDEX('Cronograma R. Financiero'!$I$5:$I$1000,$N26))))</f>
        <v/>
      </c>
      <c r="I26" s="68">
        <f>IF($N26="","",IF($P26&gt;0,IF(4&lt;=SemanaActual,INDEX('Cronograma R. Financiero'!$AB$5:$AB$1000,$N26),""),IF(INDEX('Cronograma R. Financiero'!$J$5:$J$1000,$N26)="","",INDEX('Cronograma R. Financiero'!$J$5:$J$1000,$N26))))</f>
        <v/>
      </c>
      <c r="J26" s="68">
        <f>IF($N26="","",INDEX('Cronograma R. Financiero'!$K$5:$K$1000,$N26))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Financiero'!$M$5:$M$1000,$N26)&amp;"")</f>
        <v/>
      </c>
      <c r="M26" s="71">
        <f>IF($N26="","",INDEX('Cronograma R. Financiero'!$N$5:$N$1000,$N26)&amp;"")</f>
        <v/>
      </c>
      <c r="N26">
        <f>IFERROR(MATCH(ROW()-4,rOrden_RF,0),"")</f>
        <v/>
      </c>
      <c r="O26">
        <f>IF($N26="","",INDEX('Cronograma R. Financiero'!$S$5:$S$1000,$N26))</f>
        <v/>
      </c>
      <c r="P26">
        <f>IF($N26="","",N(INDEX('Cronograma R. Financiero'!$T$5:$T$1000,$N26)))</f>
        <v/>
      </c>
    </row>
    <row r="27">
      <c r="A27" s="62">
        <f>IF($N27="","",INDEX('Cronograma R. Financiero'!$A$5:$A$1000,$N27))</f>
        <v/>
      </c>
      <c r="B27" s="71">
        <f>IF($N27="","",IF($O27="Sub","      ↳  "&amp;INDEX('Cronograma R. Financiero'!$C$5:$C$1000,$N27),INDEX('Cronograma R. Financiero'!$C$5:$C$1000,$N27)&amp;""))</f>
        <v/>
      </c>
      <c r="C27" s="77">
        <f>IF($N27="","",IF(INDEX('Cronograma R. Financiero'!$D$5:$D$1000,$N27)="","",INDEX('Cronograma R. Financiero'!$D$5:$D$1000,$N27)))</f>
        <v/>
      </c>
      <c r="D27" s="77">
        <f>IF($N27="","",IF(INDEX('Cronograma R. Financiero'!$E$5:$E$1000,$N27)="","",INDEX('Cronograma R. Financiero'!$E$5:$E$1000,$N27)))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Financiero'!$Y$5:$Y$1000,$N27),""),IF(INDEX('Cronograma R. Financiero'!$G$5:$G$1000,$N27)="","",INDEX('Cronograma R. Financiero'!$G$5:$G$1000,$N27))))</f>
        <v/>
      </c>
      <c r="G27" s="68">
        <f>IF($N27="","",IF($P27&gt;0,IF(2&lt;=SemanaActual,INDEX('Cronograma R. Financiero'!$Z$5:$Z$1000,$N27),""),IF(INDEX('Cronograma R. Financiero'!$H$5:$H$1000,$N27)="","",INDEX('Cronograma R. Financiero'!$H$5:$H$1000,$N27))))</f>
        <v/>
      </c>
      <c r="H27" s="68">
        <f>IF($N27="","",IF($P27&gt;0,IF(3&lt;=SemanaActual,INDEX('Cronograma R. Financiero'!$AA$5:$AA$1000,$N27),""),IF(INDEX('Cronograma R. Financiero'!$I$5:$I$1000,$N27)="","",INDEX('Cronograma R. Financiero'!$I$5:$I$1000,$N27))))</f>
        <v/>
      </c>
      <c r="I27" s="68">
        <f>IF($N27="","",IF($P27&gt;0,IF(4&lt;=SemanaActual,INDEX('Cronograma R. Financiero'!$AB$5:$AB$1000,$N27),""),IF(INDEX('Cronograma R. Financiero'!$J$5:$J$1000,$N27)="","",INDEX('Cronograma R. Financiero'!$J$5:$J$1000,$N27))))</f>
        <v/>
      </c>
      <c r="J27" s="68">
        <f>IF($N27="","",INDEX('Cronograma R. Financiero'!$K$5:$K$1000,$N27))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Financiero'!$M$5:$M$1000,$N27)&amp;"")</f>
        <v/>
      </c>
      <c r="M27" s="71">
        <f>IF($N27="","",INDEX('Cronograma R. Financiero'!$N$5:$N$1000,$N27)&amp;"")</f>
        <v/>
      </c>
      <c r="N27">
        <f>IFERROR(MATCH(ROW()-4,rOrden_RF,0),"")</f>
        <v/>
      </c>
      <c r="O27">
        <f>IF($N27="","",INDEX('Cronograma R. Financiero'!$S$5:$S$1000,$N27))</f>
        <v/>
      </c>
      <c r="P27">
        <f>IF($N27="","",N(INDEX('Cronograma R. Financiero'!$T$5:$T$1000,$N27)))</f>
        <v/>
      </c>
    </row>
    <row r="28">
      <c r="A28" s="62">
        <f>IF($N28="","",INDEX('Cronograma R. Financiero'!$A$5:$A$1000,$N28))</f>
        <v/>
      </c>
      <c r="B28" s="71">
        <f>IF($N28="","",IF($O28="Sub","      ↳  "&amp;INDEX('Cronograma R. Financiero'!$C$5:$C$1000,$N28),INDEX('Cronograma R. Financiero'!$C$5:$C$1000,$N28)&amp;""))</f>
        <v/>
      </c>
      <c r="C28" s="77">
        <f>IF($N28="","",IF(INDEX('Cronograma R. Financiero'!$D$5:$D$1000,$N28)="","",INDEX('Cronograma R. Financiero'!$D$5:$D$1000,$N28)))</f>
        <v/>
      </c>
      <c r="D28" s="77">
        <f>IF($N28="","",IF(INDEX('Cronograma R. Financiero'!$E$5:$E$1000,$N28)="","",INDEX('Cronograma R. Financiero'!$E$5:$E$1000,$N28)))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Financiero'!$Y$5:$Y$1000,$N28),""),IF(INDEX('Cronograma R. Financiero'!$G$5:$G$1000,$N28)="","",INDEX('Cronograma R. Financiero'!$G$5:$G$1000,$N28))))</f>
        <v/>
      </c>
      <c r="G28" s="68">
        <f>IF($N28="","",IF($P28&gt;0,IF(2&lt;=SemanaActual,INDEX('Cronograma R. Financiero'!$Z$5:$Z$1000,$N28),""),IF(INDEX('Cronograma R. Financiero'!$H$5:$H$1000,$N28)="","",INDEX('Cronograma R. Financiero'!$H$5:$H$1000,$N28))))</f>
        <v/>
      </c>
      <c r="H28" s="68">
        <f>IF($N28="","",IF($P28&gt;0,IF(3&lt;=SemanaActual,INDEX('Cronograma R. Financiero'!$AA$5:$AA$1000,$N28),""),IF(INDEX('Cronograma R. Financiero'!$I$5:$I$1000,$N28)="","",INDEX('Cronograma R. Financiero'!$I$5:$I$1000,$N28))))</f>
        <v/>
      </c>
      <c r="I28" s="68">
        <f>IF($N28="","",IF($P28&gt;0,IF(4&lt;=SemanaActual,INDEX('Cronograma R. Financiero'!$AB$5:$AB$1000,$N28),""),IF(INDEX('Cronograma R. Financiero'!$J$5:$J$1000,$N28)="","",INDEX('Cronograma R. Financiero'!$J$5:$J$1000,$N28))))</f>
        <v/>
      </c>
      <c r="J28" s="68">
        <f>IF($N28="","",INDEX('Cronograma R. Financiero'!$K$5:$K$1000,$N28))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Financiero'!$M$5:$M$1000,$N28)&amp;"")</f>
        <v/>
      </c>
      <c r="M28" s="71">
        <f>IF($N28="","",INDEX('Cronograma R. Financiero'!$N$5:$N$1000,$N28)&amp;"")</f>
        <v/>
      </c>
      <c r="N28">
        <f>IFERROR(MATCH(ROW()-4,rOrden_RF,0),"")</f>
        <v/>
      </c>
      <c r="O28">
        <f>IF($N28="","",INDEX('Cronograma R. Financiero'!$S$5:$S$1000,$N28))</f>
        <v/>
      </c>
      <c r="P28">
        <f>IF($N28="","",N(INDEX('Cronograma R. Financiero'!$T$5:$T$1000,$N28)))</f>
        <v/>
      </c>
    </row>
    <row r="29">
      <c r="A29" s="62">
        <f>IF($N29="","",INDEX('Cronograma R. Financiero'!$A$5:$A$1000,$N29))</f>
        <v/>
      </c>
      <c r="B29" s="71">
        <f>IF($N29="","",IF($O29="Sub","      ↳  "&amp;INDEX('Cronograma R. Financiero'!$C$5:$C$1000,$N29),INDEX('Cronograma R. Financiero'!$C$5:$C$1000,$N29)&amp;""))</f>
        <v/>
      </c>
      <c r="C29" s="77">
        <f>IF($N29="","",IF(INDEX('Cronograma R. Financiero'!$D$5:$D$1000,$N29)="","",INDEX('Cronograma R. Financiero'!$D$5:$D$1000,$N29)))</f>
        <v/>
      </c>
      <c r="D29" s="77">
        <f>IF($N29="","",IF(INDEX('Cronograma R. Financiero'!$E$5:$E$1000,$N29)="","",INDEX('Cronograma R. Financiero'!$E$5:$E$1000,$N29)))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Financiero'!$Y$5:$Y$1000,$N29),""),IF(INDEX('Cronograma R. Financiero'!$G$5:$G$1000,$N29)="","",INDEX('Cronograma R. Financiero'!$G$5:$G$1000,$N29))))</f>
        <v/>
      </c>
      <c r="G29" s="68">
        <f>IF($N29="","",IF($P29&gt;0,IF(2&lt;=SemanaActual,INDEX('Cronograma R. Financiero'!$Z$5:$Z$1000,$N29),""),IF(INDEX('Cronograma R. Financiero'!$H$5:$H$1000,$N29)="","",INDEX('Cronograma R. Financiero'!$H$5:$H$1000,$N29))))</f>
        <v/>
      </c>
      <c r="H29" s="68">
        <f>IF($N29="","",IF($P29&gt;0,IF(3&lt;=SemanaActual,INDEX('Cronograma R. Financiero'!$AA$5:$AA$1000,$N29),""),IF(INDEX('Cronograma R. Financiero'!$I$5:$I$1000,$N29)="","",INDEX('Cronograma R. Financiero'!$I$5:$I$1000,$N29))))</f>
        <v/>
      </c>
      <c r="I29" s="68">
        <f>IF($N29="","",IF($P29&gt;0,IF(4&lt;=SemanaActual,INDEX('Cronograma R. Financiero'!$AB$5:$AB$1000,$N29),""),IF(INDEX('Cronograma R. Financiero'!$J$5:$J$1000,$N29)="","",INDEX('Cronograma R. Financiero'!$J$5:$J$1000,$N29))))</f>
        <v/>
      </c>
      <c r="J29" s="68">
        <f>IF($N29="","",INDEX('Cronograma R. Financiero'!$K$5:$K$1000,$N29))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Financiero'!$M$5:$M$1000,$N29)&amp;"")</f>
        <v/>
      </c>
      <c r="M29" s="71">
        <f>IF($N29="","",INDEX('Cronograma R. Financiero'!$N$5:$N$1000,$N29)&amp;"")</f>
        <v/>
      </c>
      <c r="N29">
        <f>IFERROR(MATCH(ROW()-4,rOrden_RF,0),"")</f>
        <v/>
      </c>
      <c r="O29">
        <f>IF($N29="","",INDEX('Cronograma R. Financiero'!$S$5:$S$1000,$N29))</f>
        <v/>
      </c>
      <c r="P29">
        <f>IF($N29="","",N(INDEX('Cronograma R. Financiero'!$T$5:$T$1000,$N29)))</f>
        <v/>
      </c>
    </row>
    <row r="30">
      <c r="A30" s="62">
        <f>IF($N30="","",INDEX('Cronograma R. Financiero'!$A$5:$A$1000,$N30))</f>
        <v/>
      </c>
      <c r="B30" s="71">
        <f>IF($N30="","",IF($O30="Sub","      ↳  "&amp;INDEX('Cronograma R. Financiero'!$C$5:$C$1000,$N30),INDEX('Cronograma R. Financiero'!$C$5:$C$1000,$N30)&amp;""))</f>
        <v/>
      </c>
      <c r="C30" s="77">
        <f>IF($N30="","",IF(INDEX('Cronograma R. Financiero'!$D$5:$D$1000,$N30)="","",INDEX('Cronograma R. Financiero'!$D$5:$D$1000,$N30)))</f>
        <v/>
      </c>
      <c r="D30" s="77">
        <f>IF($N30="","",IF(INDEX('Cronograma R. Financiero'!$E$5:$E$1000,$N30)="","",INDEX('Cronograma R. Financiero'!$E$5:$E$1000,$N30)))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Financiero'!$Y$5:$Y$1000,$N30),""),IF(INDEX('Cronograma R. Financiero'!$G$5:$G$1000,$N30)="","",INDEX('Cronograma R. Financiero'!$G$5:$G$1000,$N30))))</f>
        <v/>
      </c>
      <c r="G30" s="68">
        <f>IF($N30="","",IF($P30&gt;0,IF(2&lt;=SemanaActual,INDEX('Cronograma R. Financiero'!$Z$5:$Z$1000,$N30),""),IF(INDEX('Cronograma R. Financiero'!$H$5:$H$1000,$N30)="","",INDEX('Cronograma R. Financiero'!$H$5:$H$1000,$N30))))</f>
        <v/>
      </c>
      <c r="H30" s="68">
        <f>IF($N30="","",IF($P30&gt;0,IF(3&lt;=SemanaActual,INDEX('Cronograma R. Financiero'!$AA$5:$AA$1000,$N30),""),IF(INDEX('Cronograma R. Financiero'!$I$5:$I$1000,$N30)="","",INDEX('Cronograma R. Financiero'!$I$5:$I$1000,$N30))))</f>
        <v/>
      </c>
      <c r="I30" s="68">
        <f>IF($N30="","",IF($P30&gt;0,IF(4&lt;=SemanaActual,INDEX('Cronograma R. Financiero'!$AB$5:$AB$1000,$N30),""),IF(INDEX('Cronograma R. Financiero'!$J$5:$J$1000,$N30)="","",INDEX('Cronograma R. Financiero'!$J$5:$J$1000,$N30))))</f>
        <v/>
      </c>
      <c r="J30" s="68">
        <f>IF($N30="","",INDEX('Cronograma R. Financiero'!$K$5:$K$1000,$N30))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Financiero'!$M$5:$M$1000,$N30)&amp;"")</f>
        <v/>
      </c>
      <c r="M30" s="71">
        <f>IF($N30="","",INDEX('Cronograma R. Financiero'!$N$5:$N$1000,$N30)&amp;"")</f>
        <v/>
      </c>
      <c r="N30">
        <f>IFERROR(MATCH(ROW()-4,rOrden_RF,0),"")</f>
        <v/>
      </c>
      <c r="O30">
        <f>IF($N30="","",INDEX('Cronograma R. Financiero'!$S$5:$S$1000,$N30))</f>
        <v/>
      </c>
      <c r="P30">
        <f>IF($N30="","",N(INDEX('Cronograma R. Financiero'!$T$5:$T$1000,$N30)))</f>
        <v/>
      </c>
    </row>
    <row r="31">
      <c r="A31" s="62">
        <f>IF($N31="","",INDEX('Cronograma R. Financiero'!$A$5:$A$1000,$N31))</f>
        <v/>
      </c>
      <c r="B31" s="71">
        <f>IF($N31="","",IF($O31="Sub","      ↳  "&amp;INDEX('Cronograma R. Financiero'!$C$5:$C$1000,$N31),INDEX('Cronograma R. Financiero'!$C$5:$C$1000,$N31)&amp;""))</f>
        <v/>
      </c>
      <c r="C31" s="77">
        <f>IF($N31="","",IF(INDEX('Cronograma R. Financiero'!$D$5:$D$1000,$N31)="","",INDEX('Cronograma R. Financiero'!$D$5:$D$1000,$N31)))</f>
        <v/>
      </c>
      <c r="D31" s="77">
        <f>IF($N31="","",IF(INDEX('Cronograma R. Financiero'!$E$5:$E$1000,$N31)="","",INDEX('Cronograma R. Financiero'!$E$5:$E$1000,$N31)))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Financiero'!$Y$5:$Y$1000,$N31),""),IF(INDEX('Cronograma R. Financiero'!$G$5:$G$1000,$N31)="","",INDEX('Cronograma R. Financiero'!$G$5:$G$1000,$N31))))</f>
        <v/>
      </c>
      <c r="G31" s="68">
        <f>IF($N31="","",IF($P31&gt;0,IF(2&lt;=SemanaActual,INDEX('Cronograma R. Financiero'!$Z$5:$Z$1000,$N31),""),IF(INDEX('Cronograma R. Financiero'!$H$5:$H$1000,$N31)="","",INDEX('Cronograma R. Financiero'!$H$5:$H$1000,$N31))))</f>
        <v/>
      </c>
      <c r="H31" s="68">
        <f>IF($N31="","",IF($P31&gt;0,IF(3&lt;=SemanaActual,INDEX('Cronograma R. Financiero'!$AA$5:$AA$1000,$N31),""),IF(INDEX('Cronograma R. Financiero'!$I$5:$I$1000,$N31)="","",INDEX('Cronograma R. Financiero'!$I$5:$I$1000,$N31))))</f>
        <v/>
      </c>
      <c r="I31" s="68">
        <f>IF($N31="","",IF($P31&gt;0,IF(4&lt;=SemanaActual,INDEX('Cronograma R. Financiero'!$AB$5:$AB$1000,$N31),""),IF(INDEX('Cronograma R. Financiero'!$J$5:$J$1000,$N31)="","",INDEX('Cronograma R. Financiero'!$J$5:$J$1000,$N31))))</f>
        <v/>
      </c>
      <c r="J31" s="68">
        <f>IF($N31="","",INDEX('Cronograma R. Financiero'!$K$5:$K$1000,$N31))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Financiero'!$M$5:$M$1000,$N31)&amp;"")</f>
        <v/>
      </c>
      <c r="M31" s="71">
        <f>IF($N31="","",INDEX('Cronograma R. Financiero'!$N$5:$N$1000,$N31)&amp;"")</f>
        <v/>
      </c>
      <c r="N31">
        <f>IFERROR(MATCH(ROW()-4,rOrden_RF,0),"")</f>
        <v/>
      </c>
      <c r="O31">
        <f>IF($N31="","",INDEX('Cronograma R. Financiero'!$S$5:$S$1000,$N31))</f>
        <v/>
      </c>
      <c r="P31">
        <f>IF($N31="","",N(INDEX('Cronograma R. Financiero'!$T$5:$T$1000,$N31)))</f>
        <v/>
      </c>
    </row>
    <row r="32">
      <c r="A32" s="62">
        <f>IF($N32="","",INDEX('Cronograma R. Financiero'!$A$5:$A$1000,$N32))</f>
        <v/>
      </c>
      <c r="B32" s="71">
        <f>IF($N32="","",IF($O32="Sub","      ↳  "&amp;INDEX('Cronograma R. Financiero'!$C$5:$C$1000,$N32),INDEX('Cronograma R. Financiero'!$C$5:$C$1000,$N32)&amp;""))</f>
        <v/>
      </c>
      <c r="C32" s="77">
        <f>IF($N32="","",IF(INDEX('Cronograma R. Financiero'!$D$5:$D$1000,$N32)="","",INDEX('Cronograma R. Financiero'!$D$5:$D$1000,$N32)))</f>
        <v/>
      </c>
      <c r="D32" s="77">
        <f>IF($N32="","",IF(INDEX('Cronograma R. Financiero'!$E$5:$E$1000,$N32)="","",INDEX('Cronograma R. Financiero'!$E$5:$E$1000,$N32)))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Financiero'!$Y$5:$Y$1000,$N32),""),IF(INDEX('Cronograma R. Financiero'!$G$5:$G$1000,$N32)="","",INDEX('Cronograma R. Financiero'!$G$5:$G$1000,$N32))))</f>
        <v/>
      </c>
      <c r="G32" s="68">
        <f>IF($N32="","",IF($P32&gt;0,IF(2&lt;=SemanaActual,INDEX('Cronograma R. Financiero'!$Z$5:$Z$1000,$N32),""),IF(INDEX('Cronograma R. Financiero'!$H$5:$H$1000,$N32)="","",INDEX('Cronograma R. Financiero'!$H$5:$H$1000,$N32))))</f>
        <v/>
      </c>
      <c r="H32" s="68">
        <f>IF($N32="","",IF($P32&gt;0,IF(3&lt;=SemanaActual,INDEX('Cronograma R. Financiero'!$AA$5:$AA$1000,$N32),""),IF(INDEX('Cronograma R. Financiero'!$I$5:$I$1000,$N32)="","",INDEX('Cronograma R. Financiero'!$I$5:$I$1000,$N32))))</f>
        <v/>
      </c>
      <c r="I32" s="68">
        <f>IF($N32="","",IF($P32&gt;0,IF(4&lt;=SemanaActual,INDEX('Cronograma R. Financiero'!$AB$5:$AB$1000,$N32),""),IF(INDEX('Cronograma R. Financiero'!$J$5:$J$1000,$N32)="","",INDEX('Cronograma R. Financiero'!$J$5:$J$1000,$N32))))</f>
        <v/>
      </c>
      <c r="J32" s="68">
        <f>IF($N32="","",INDEX('Cronograma R. Financiero'!$K$5:$K$1000,$N32))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Financiero'!$M$5:$M$1000,$N32)&amp;"")</f>
        <v/>
      </c>
      <c r="M32" s="71">
        <f>IF($N32="","",INDEX('Cronograma R. Financiero'!$N$5:$N$1000,$N32)&amp;"")</f>
        <v/>
      </c>
      <c r="N32">
        <f>IFERROR(MATCH(ROW()-4,rOrden_RF,0),"")</f>
        <v/>
      </c>
      <c r="O32">
        <f>IF($N32="","",INDEX('Cronograma R. Financiero'!$S$5:$S$1000,$N32))</f>
        <v/>
      </c>
      <c r="P32">
        <f>IF($N32="","",N(INDEX('Cronograma R. Financiero'!$T$5:$T$1000,$N32)))</f>
        <v/>
      </c>
    </row>
    <row r="33">
      <c r="A33" s="62">
        <f>IF($N33="","",INDEX('Cronograma R. Financiero'!$A$5:$A$1000,$N33))</f>
        <v/>
      </c>
      <c r="B33" s="71">
        <f>IF($N33="","",IF($O33="Sub","      ↳  "&amp;INDEX('Cronograma R. Financiero'!$C$5:$C$1000,$N33),INDEX('Cronograma R. Financiero'!$C$5:$C$1000,$N33)&amp;""))</f>
        <v/>
      </c>
      <c r="C33" s="77">
        <f>IF($N33="","",IF(INDEX('Cronograma R. Financiero'!$D$5:$D$1000,$N33)="","",INDEX('Cronograma R. Financiero'!$D$5:$D$1000,$N33)))</f>
        <v/>
      </c>
      <c r="D33" s="77">
        <f>IF($N33="","",IF(INDEX('Cronograma R. Financiero'!$E$5:$E$1000,$N33)="","",INDEX('Cronograma R. Financiero'!$E$5:$E$1000,$N33)))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Financiero'!$Y$5:$Y$1000,$N33),""),IF(INDEX('Cronograma R. Financiero'!$G$5:$G$1000,$N33)="","",INDEX('Cronograma R. Financiero'!$G$5:$G$1000,$N33))))</f>
        <v/>
      </c>
      <c r="G33" s="68">
        <f>IF($N33="","",IF($P33&gt;0,IF(2&lt;=SemanaActual,INDEX('Cronograma R. Financiero'!$Z$5:$Z$1000,$N33),""),IF(INDEX('Cronograma R. Financiero'!$H$5:$H$1000,$N33)="","",INDEX('Cronograma R. Financiero'!$H$5:$H$1000,$N33))))</f>
        <v/>
      </c>
      <c r="H33" s="68">
        <f>IF($N33="","",IF($P33&gt;0,IF(3&lt;=SemanaActual,INDEX('Cronograma R. Financiero'!$AA$5:$AA$1000,$N33),""),IF(INDEX('Cronograma R. Financiero'!$I$5:$I$1000,$N33)="","",INDEX('Cronograma R. Financiero'!$I$5:$I$1000,$N33))))</f>
        <v/>
      </c>
      <c r="I33" s="68">
        <f>IF($N33="","",IF($P33&gt;0,IF(4&lt;=SemanaActual,INDEX('Cronograma R. Financiero'!$AB$5:$AB$1000,$N33),""),IF(INDEX('Cronograma R. Financiero'!$J$5:$J$1000,$N33)="","",INDEX('Cronograma R. Financiero'!$J$5:$J$1000,$N33))))</f>
        <v/>
      </c>
      <c r="J33" s="68">
        <f>IF($N33="","",INDEX('Cronograma R. Financiero'!$K$5:$K$1000,$N33))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Financiero'!$M$5:$M$1000,$N33)&amp;"")</f>
        <v/>
      </c>
      <c r="M33" s="71">
        <f>IF($N33="","",INDEX('Cronograma R. Financiero'!$N$5:$N$1000,$N33)&amp;"")</f>
        <v/>
      </c>
      <c r="N33">
        <f>IFERROR(MATCH(ROW()-4,rOrden_RF,0),"")</f>
        <v/>
      </c>
      <c r="O33">
        <f>IF($N33="","",INDEX('Cronograma R. Financiero'!$S$5:$S$1000,$N33))</f>
        <v/>
      </c>
      <c r="P33">
        <f>IF($N33="","",N(INDEX('Cronograma R. Financiero'!$T$5:$T$1000,$N33)))</f>
        <v/>
      </c>
    </row>
    <row r="34">
      <c r="A34" s="62">
        <f>IF($N34="","",INDEX('Cronograma R. Financiero'!$A$5:$A$1000,$N34))</f>
        <v/>
      </c>
      <c r="B34" s="71">
        <f>IF($N34="","",IF($O34="Sub","      ↳  "&amp;INDEX('Cronograma R. Financiero'!$C$5:$C$1000,$N34),INDEX('Cronograma R. Financiero'!$C$5:$C$1000,$N34)&amp;""))</f>
        <v/>
      </c>
      <c r="C34" s="77">
        <f>IF($N34="","",IF(INDEX('Cronograma R. Financiero'!$D$5:$D$1000,$N34)="","",INDEX('Cronograma R. Financiero'!$D$5:$D$1000,$N34)))</f>
        <v/>
      </c>
      <c r="D34" s="77">
        <f>IF($N34="","",IF(INDEX('Cronograma R. Financiero'!$E$5:$E$1000,$N34)="","",INDEX('Cronograma R. Financiero'!$E$5:$E$1000,$N34)))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Financiero'!$Y$5:$Y$1000,$N34),""),IF(INDEX('Cronograma R. Financiero'!$G$5:$G$1000,$N34)="","",INDEX('Cronograma R. Financiero'!$G$5:$G$1000,$N34))))</f>
        <v/>
      </c>
      <c r="G34" s="68">
        <f>IF($N34="","",IF($P34&gt;0,IF(2&lt;=SemanaActual,INDEX('Cronograma R. Financiero'!$Z$5:$Z$1000,$N34),""),IF(INDEX('Cronograma R. Financiero'!$H$5:$H$1000,$N34)="","",INDEX('Cronograma R. Financiero'!$H$5:$H$1000,$N34))))</f>
        <v/>
      </c>
      <c r="H34" s="68">
        <f>IF($N34="","",IF($P34&gt;0,IF(3&lt;=SemanaActual,INDEX('Cronograma R. Financiero'!$AA$5:$AA$1000,$N34),""),IF(INDEX('Cronograma R. Financiero'!$I$5:$I$1000,$N34)="","",INDEX('Cronograma R. Financiero'!$I$5:$I$1000,$N34))))</f>
        <v/>
      </c>
      <c r="I34" s="68">
        <f>IF($N34="","",IF($P34&gt;0,IF(4&lt;=SemanaActual,INDEX('Cronograma R. Financiero'!$AB$5:$AB$1000,$N34),""),IF(INDEX('Cronograma R. Financiero'!$J$5:$J$1000,$N34)="","",INDEX('Cronograma R. Financiero'!$J$5:$J$1000,$N34))))</f>
        <v/>
      </c>
      <c r="J34" s="68">
        <f>IF($N34="","",INDEX('Cronograma R. Financiero'!$K$5:$K$1000,$N34))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Financiero'!$M$5:$M$1000,$N34)&amp;"")</f>
        <v/>
      </c>
      <c r="M34" s="71">
        <f>IF($N34="","",INDEX('Cronograma R. Financiero'!$N$5:$N$1000,$N34)&amp;"")</f>
        <v/>
      </c>
      <c r="N34">
        <f>IFERROR(MATCH(ROW()-4,rOrden_RF,0),"")</f>
        <v/>
      </c>
      <c r="O34">
        <f>IF($N34="","",INDEX('Cronograma R. Financiero'!$S$5:$S$1000,$N34))</f>
        <v/>
      </c>
      <c r="P34">
        <f>IF($N34="","",N(INDEX('Cronograma R. Financiero'!$T$5:$T$1000,$N34)))</f>
        <v/>
      </c>
    </row>
    <row r="35">
      <c r="A35" s="62">
        <f>IF($N35="","",INDEX('Cronograma R. Financiero'!$A$5:$A$1000,$N35))</f>
        <v/>
      </c>
      <c r="B35" s="71">
        <f>IF($N35="","",IF($O35="Sub","      ↳  "&amp;INDEX('Cronograma R. Financiero'!$C$5:$C$1000,$N35),INDEX('Cronograma R. Financiero'!$C$5:$C$1000,$N35)&amp;""))</f>
        <v/>
      </c>
      <c r="C35" s="77">
        <f>IF($N35="","",IF(INDEX('Cronograma R. Financiero'!$D$5:$D$1000,$N35)="","",INDEX('Cronograma R. Financiero'!$D$5:$D$1000,$N35)))</f>
        <v/>
      </c>
      <c r="D35" s="77">
        <f>IF($N35="","",IF(INDEX('Cronograma R. Financiero'!$E$5:$E$1000,$N35)="","",INDEX('Cronograma R. Financiero'!$E$5:$E$1000,$N35)))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Financiero'!$Y$5:$Y$1000,$N35),""),IF(INDEX('Cronograma R. Financiero'!$G$5:$G$1000,$N35)="","",INDEX('Cronograma R. Financiero'!$G$5:$G$1000,$N35))))</f>
        <v/>
      </c>
      <c r="G35" s="68">
        <f>IF($N35="","",IF($P35&gt;0,IF(2&lt;=SemanaActual,INDEX('Cronograma R. Financiero'!$Z$5:$Z$1000,$N35),""),IF(INDEX('Cronograma R. Financiero'!$H$5:$H$1000,$N35)="","",INDEX('Cronograma R. Financiero'!$H$5:$H$1000,$N35))))</f>
        <v/>
      </c>
      <c r="H35" s="68">
        <f>IF($N35="","",IF($P35&gt;0,IF(3&lt;=SemanaActual,INDEX('Cronograma R. Financiero'!$AA$5:$AA$1000,$N35),""),IF(INDEX('Cronograma R. Financiero'!$I$5:$I$1000,$N35)="","",INDEX('Cronograma R. Financiero'!$I$5:$I$1000,$N35))))</f>
        <v/>
      </c>
      <c r="I35" s="68">
        <f>IF($N35="","",IF($P35&gt;0,IF(4&lt;=SemanaActual,INDEX('Cronograma R. Financiero'!$AB$5:$AB$1000,$N35),""),IF(INDEX('Cronograma R. Financiero'!$J$5:$J$1000,$N35)="","",INDEX('Cronograma R. Financiero'!$J$5:$J$1000,$N35))))</f>
        <v/>
      </c>
      <c r="J35" s="68">
        <f>IF($N35="","",INDEX('Cronograma R. Financiero'!$K$5:$K$1000,$N35))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Financiero'!$M$5:$M$1000,$N35)&amp;"")</f>
        <v/>
      </c>
      <c r="M35" s="71">
        <f>IF($N35="","",INDEX('Cronograma R. Financiero'!$N$5:$N$1000,$N35)&amp;"")</f>
        <v/>
      </c>
      <c r="N35">
        <f>IFERROR(MATCH(ROW()-4,rOrden_RF,0),"")</f>
        <v/>
      </c>
      <c r="O35">
        <f>IF($N35="","",INDEX('Cronograma R. Financiero'!$S$5:$S$1000,$N35))</f>
        <v/>
      </c>
      <c r="P35">
        <f>IF($N35="","",N(INDEX('Cronograma R. Financiero'!$T$5:$T$1000,$N35)))</f>
        <v/>
      </c>
    </row>
    <row r="36">
      <c r="A36" s="62">
        <f>IF($N36="","",INDEX('Cronograma R. Financiero'!$A$5:$A$1000,$N36))</f>
        <v/>
      </c>
      <c r="B36" s="71">
        <f>IF($N36="","",IF($O36="Sub","      ↳  "&amp;INDEX('Cronograma R. Financiero'!$C$5:$C$1000,$N36),INDEX('Cronograma R. Financiero'!$C$5:$C$1000,$N36)&amp;""))</f>
        <v/>
      </c>
      <c r="C36" s="77">
        <f>IF($N36="","",IF(INDEX('Cronograma R. Financiero'!$D$5:$D$1000,$N36)="","",INDEX('Cronograma R. Financiero'!$D$5:$D$1000,$N36)))</f>
        <v/>
      </c>
      <c r="D36" s="77">
        <f>IF($N36="","",IF(INDEX('Cronograma R. Financiero'!$E$5:$E$1000,$N36)="","",INDEX('Cronograma R. Financiero'!$E$5:$E$1000,$N36)))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Financiero'!$Y$5:$Y$1000,$N36),""),IF(INDEX('Cronograma R. Financiero'!$G$5:$G$1000,$N36)="","",INDEX('Cronograma R. Financiero'!$G$5:$G$1000,$N36))))</f>
        <v/>
      </c>
      <c r="G36" s="68">
        <f>IF($N36="","",IF($P36&gt;0,IF(2&lt;=SemanaActual,INDEX('Cronograma R. Financiero'!$Z$5:$Z$1000,$N36),""),IF(INDEX('Cronograma R. Financiero'!$H$5:$H$1000,$N36)="","",INDEX('Cronograma R. Financiero'!$H$5:$H$1000,$N36))))</f>
        <v/>
      </c>
      <c r="H36" s="68">
        <f>IF($N36="","",IF($P36&gt;0,IF(3&lt;=SemanaActual,INDEX('Cronograma R. Financiero'!$AA$5:$AA$1000,$N36),""),IF(INDEX('Cronograma R. Financiero'!$I$5:$I$1000,$N36)="","",INDEX('Cronograma R. Financiero'!$I$5:$I$1000,$N36))))</f>
        <v/>
      </c>
      <c r="I36" s="68">
        <f>IF($N36="","",IF($P36&gt;0,IF(4&lt;=SemanaActual,INDEX('Cronograma R. Financiero'!$AB$5:$AB$1000,$N36),""),IF(INDEX('Cronograma R. Financiero'!$J$5:$J$1000,$N36)="","",INDEX('Cronograma R. Financiero'!$J$5:$J$1000,$N36))))</f>
        <v/>
      </c>
      <c r="J36" s="68">
        <f>IF($N36="","",INDEX('Cronograma R. Financiero'!$K$5:$K$1000,$N36))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Financiero'!$M$5:$M$1000,$N36)&amp;"")</f>
        <v/>
      </c>
      <c r="M36" s="71">
        <f>IF($N36="","",INDEX('Cronograma R. Financiero'!$N$5:$N$1000,$N36)&amp;"")</f>
        <v/>
      </c>
      <c r="N36">
        <f>IFERROR(MATCH(ROW()-4,rOrden_RF,0),"")</f>
        <v/>
      </c>
      <c r="O36">
        <f>IF($N36="","",INDEX('Cronograma R. Financiero'!$S$5:$S$1000,$N36))</f>
        <v/>
      </c>
      <c r="P36">
        <f>IF($N36="","",N(INDEX('Cronograma R. Financiero'!$T$5:$T$1000,$N36)))</f>
        <v/>
      </c>
    </row>
    <row r="37">
      <c r="A37" s="62">
        <f>IF($N37="","",INDEX('Cronograma R. Financiero'!$A$5:$A$1000,$N37))</f>
        <v/>
      </c>
      <c r="B37" s="71">
        <f>IF($N37="","",IF($O37="Sub","      ↳  "&amp;INDEX('Cronograma R. Financiero'!$C$5:$C$1000,$N37),INDEX('Cronograma R. Financiero'!$C$5:$C$1000,$N37)&amp;""))</f>
        <v/>
      </c>
      <c r="C37" s="77">
        <f>IF($N37="","",IF(INDEX('Cronograma R. Financiero'!$D$5:$D$1000,$N37)="","",INDEX('Cronograma R. Financiero'!$D$5:$D$1000,$N37)))</f>
        <v/>
      </c>
      <c r="D37" s="77">
        <f>IF($N37="","",IF(INDEX('Cronograma R. Financiero'!$E$5:$E$1000,$N37)="","",INDEX('Cronograma R. Financiero'!$E$5:$E$1000,$N37)))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Financiero'!$Y$5:$Y$1000,$N37),""),IF(INDEX('Cronograma R. Financiero'!$G$5:$G$1000,$N37)="","",INDEX('Cronograma R. Financiero'!$G$5:$G$1000,$N37))))</f>
        <v/>
      </c>
      <c r="G37" s="68">
        <f>IF($N37="","",IF($P37&gt;0,IF(2&lt;=SemanaActual,INDEX('Cronograma R. Financiero'!$Z$5:$Z$1000,$N37),""),IF(INDEX('Cronograma R. Financiero'!$H$5:$H$1000,$N37)="","",INDEX('Cronograma R. Financiero'!$H$5:$H$1000,$N37))))</f>
        <v/>
      </c>
      <c r="H37" s="68">
        <f>IF($N37="","",IF($P37&gt;0,IF(3&lt;=SemanaActual,INDEX('Cronograma R. Financiero'!$AA$5:$AA$1000,$N37),""),IF(INDEX('Cronograma R. Financiero'!$I$5:$I$1000,$N37)="","",INDEX('Cronograma R. Financiero'!$I$5:$I$1000,$N37))))</f>
        <v/>
      </c>
      <c r="I37" s="68">
        <f>IF($N37="","",IF($P37&gt;0,IF(4&lt;=SemanaActual,INDEX('Cronograma R. Financiero'!$AB$5:$AB$1000,$N37),""),IF(INDEX('Cronograma R. Financiero'!$J$5:$J$1000,$N37)="","",INDEX('Cronograma R. Financiero'!$J$5:$J$1000,$N37))))</f>
        <v/>
      </c>
      <c r="J37" s="68">
        <f>IF($N37="","",INDEX('Cronograma R. Financiero'!$K$5:$K$1000,$N37))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Financiero'!$M$5:$M$1000,$N37)&amp;"")</f>
        <v/>
      </c>
      <c r="M37" s="71">
        <f>IF($N37="","",INDEX('Cronograma R. Financiero'!$N$5:$N$1000,$N37)&amp;"")</f>
        <v/>
      </c>
      <c r="N37">
        <f>IFERROR(MATCH(ROW()-4,rOrden_RF,0),"")</f>
        <v/>
      </c>
      <c r="O37">
        <f>IF($N37="","",INDEX('Cronograma R. Financiero'!$S$5:$S$1000,$N37))</f>
        <v/>
      </c>
      <c r="P37">
        <f>IF($N37="","",N(INDEX('Cronograma R. Financiero'!$T$5:$T$1000,$N37)))</f>
        <v/>
      </c>
    </row>
    <row r="38">
      <c r="A38" s="62">
        <f>IF($N38="","",INDEX('Cronograma R. Financiero'!$A$5:$A$1000,$N38))</f>
        <v/>
      </c>
      <c r="B38" s="71">
        <f>IF($N38="","",IF($O38="Sub","      ↳  "&amp;INDEX('Cronograma R. Financiero'!$C$5:$C$1000,$N38),INDEX('Cronograma R. Financiero'!$C$5:$C$1000,$N38)&amp;""))</f>
        <v/>
      </c>
      <c r="C38" s="77">
        <f>IF($N38="","",IF(INDEX('Cronograma R. Financiero'!$D$5:$D$1000,$N38)="","",INDEX('Cronograma R. Financiero'!$D$5:$D$1000,$N38)))</f>
        <v/>
      </c>
      <c r="D38" s="77">
        <f>IF($N38="","",IF(INDEX('Cronograma R. Financiero'!$E$5:$E$1000,$N38)="","",INDEX('Cronograma R. Financiero'!$E$5:$E$1000,$N38)))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Financiero'!$Y$5:$Y$1000,$N38),""),IF(INDEX('Cronograma R. Financiero'!$G$5:$G$1000,$N38)="","",INDEX('Cronograma R. Financiero'!$G$5:$G$1000,$N38))))</f>
        <v/>
      </c>
      <c r="G38" s="68">
        <f>IF($N38="","",IF($P38&gt;0,IF(2&lt;=SemanaActual,INDEX('Cronograma R. Financiero'!$Z$5:$Z$1000,$N38),""),IF(INDEX('Cronograma R. Financiero'!$H$5:$H$1000,$N38)="","",INDEX('Cronograma R. Financiero'!$H$5:$H$1000,$N38))))</f>
        <v/>
      </c>
      <c r="H38" s="68">
        <f>IF($N38="","",IF($P38&gt;0,IF(3&lt;=SemanaActual,INDEX('Cronograma R. Financiero'!$AA$5:$AA$1000,$N38),""),IF(INDEX('Cronograma R. Financiero'!$I$5:$I$1000,$N38)="","",INDEX('Cronograma R. Financiero'!$I$5:$I$1000,$N38))))</f>
        <v/>
      </c>
      <c r="I38" s="68">
        <f>IF($N38="","",IF($P38&gt;0,IF(4&lt;=SemanaActual,INDEX('Cronograma R. Financiero'!$AB$5:$AB$1000,$N38),""),IF(INDEX('Cronograma R. Financiero'!$J$5:$J$1000,$N38)="","",INDEX('Cronograma R. Financiero'!$J$5:$J$1000,$N38))))</f>
        <v/>
      </c>
      <c r="J38" s="68">
        <f>IF($N38="","",INDEX('Cronograma R. Financiero'!$K$5:$K$1000,$N38))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Financiero'!$M$5:$M$1000,$N38)&amp;"")</f>
        <v/>
      </c>
      <c r="M38" s="71">
        <f>IF($N38="","",INDEX('Cronograma R. Financiero'!$N$5:$N$1000,$N38)&amp;"")</f>
        <v/>
      </c>
      <c r="N38">
        <f>IFERROR(MATCH(ROW()-4,rOrden_RF,0),"")</f>
        <v/>
      </c>
      <c r="O38">
        <f>IF($N38="","",INDEX('Cronograma R. Financiero'!$S$5:$S$1000,$N38))</f>
        <v/>
      </c>
      <c r="P38">
        <f>IF($N38="","",N(INDEX('Cronograma R. Financiero'!$T$5:$T$1000,$N38)))</f>
        <v/>
      </c>
    </row>
    <row r="39">
      <c r="A39" s="62">
        <f>IF($N39="","",INDEX('Cronograma R. Financiero'!$A$5:$A$1000,$N39))</f>
        <v/>
      </c>
      <c r="B39" s="71">
        <f>IF($N39="","",IF($O39="Sub","      ↳  "&amp;INDEX('Cronograma R. Financiero'!$C$5:$C$1000,$N39),INDEX('Cronograma R. Financiero'!$C$5:$C$1000,$N39)&amp;""))</f>
        <v/>
      </c>
      <c r="C39" s="77">
        <f>IF($N39="","",IF(INDEX('Cronograma R. Financiero'!$D$5:$D$1000,$N39)="","",INDEX('Cronograma R. Financiero'!$D$5:$D$1000,$N39)))</f>
        <v/>
      </c>
      <c r="D39" s="77">
        <f>IF($N39="","",IF(INDEX('Cronograma R. Financiero'!$E$5:$E$1000,$N39)="","",INDEX('Cronograma R. Financiero'!$E$5:$E$1000,$N39)))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Financiero'!$Y$5:$Y$1000,$N39),""),IF(INDEX('Cronograma R. Financiero'!$G$5:$G$1000,$N39)="","",INDEX('Cronograma R. Financiero'!$G$5:$G$1000,$N39))))</f>
        <v/>
      </c>
      <c r="G39" s="68">
        <f>IF($N39="","",IF($P39&gt;0,IF(2&lt;=SemanaActual,INDEX('Cronograma R. Financiero'!$Z$5:$Z$1000,$N39),""),IF(INDEX('Cronograma R. Financiero'!$H$5:$H$1000,$N39)="","",INDEX('Cronograma R. Financiero'!$H$5:$H$1000,$N39))))</f>
        <v/>
      </c>
      <c r="H39" s="68">
        <f>IF($N39="","",IF($P39&gt;0,IF(3&lt;=SemanaActual,INDEX('Cronograma R. Financiero'!$AA$5:$AA$1000,$N39),""),IF(INDEX('Cronograma R. Financiero'!$I$5:$I$1000,$N39)="","",INDEX('Cronograma R. Financiero'!$I$5:$I$1000,$N39))))</f>
        <v/>
      </c>
      <c r="I39" s="68">
        <f>IF($N39="","",IF($P39&gt;0,IF(4&lt;=SemanaActual,INDEX('Cronograma R. Financiero'!$AB$5:$AB$1000,$N39),""),IF(INDEX('Cronograma R. Financiero'!$J$5:$J$1000,$N39)="","",INDEX('Cronograma R. Financiero'!$J$5:$J$1000,$N39))))</f>
        <v/>
      </c>
      <c r="J39" s="68">
        <f>IF($N39="","",INDEX('Cronograma R. Financiero'!$K$5:$K$1000,$N39))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Financiero'!$M$5:$M$1000,$N39)&amp;"")</f>
        <v/>
      </c>
      <c r="M39" s="71">
        <f>IF($N39="","",INDEX('Cronograma R. Financiero'!$N$5:$N$1000,$N39)&amp;"")</f>
        <v/>
      </c>
      <c r="N39">
        <f>IFERROR(MATCH(ROW()-4,rOrden_RF,0),"")</f>
        <v/>
      </c>
      <c r="O39">
        <f>IF($N39="","",INDEX('Cronograma R. Financiero'!$S$5:$S$1000,$N39))</f>
        <v/>
      </c>
      <c r="P39">
        <f>IF($N39="","",N(INDEX('Cronograma R. Financiero'!$T$5:$T$1000,$N39)))</f>
        <v/>
      </c>
    </row>
    <row r="40">
      <c r="A40" s="62">
        <f>IF($N40="","",INDEX('Cronograma R. Financiero'!$A$5:$A$1000,$N40))</f>
        <v/>
      </c>
      <c r="B40" s="71">
        <f>IF($N40="","",IF($O40="Sub","      ↳  "&amp;INDEX('Cronograma R. Financiero'!$C$5:$C$1000,$N40),INDEX('Cronograma R. Financiero'!$C$5:$C$1000,$N40)&amp;""))</f>
        <v/>
      </c>
      <c r="C40" s="77">
        <f>IF($N40="","",IF(INDEX('Cronograma R. Financiero'!$D$5:$D$1000,$N40)="","",INDEX('Cronograma R. Financiero'!$D$5:$D$1000,$N40)))</f>
        <v/>
      </c>
      <c r="D40" s="77">
        <f>IF($N40="","",IF(INDEX('Cronograma R. Financiero'!$E$5:$E$1000,$N40)="","",INDEX('Cronograma R. Financiero'!$E$5:$E$1000,$N40)))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Financiero'!$Y$5:$Y$1000,$N40),""),IF(INDEX('Cronograma R. Financiero'!$G$5:$G$1000,$N40)="","",INDEX('Cronograma R. Financiero'!$G$5:$G$1000,$N40))))</f>
        <v/>
      </c>
      <c r="G40" s="68">
        <f>IF($N40="","",IF($P40&gt;0,IF(2&lt;=SemanaActual,INDEX('Cronograma R. Financiero'!$Z$5:$Z$1000,$N40),""),IF(INDEX('Cronograma R. Financiero'!$H$5:$H$1000,$N40)="","",INDEX('Cronograma R. Financiero'!$H$5:$H$1000,$N40))))</f>
        <v/>
      </c>
      <c r="H40" s="68">
        <f>IF($N40="","",IF($P40&gt;0,IF(3&lt;=SemanaActual,INDEX('Cronograma R. Financiero'!$AA$5:$AA$1000,$N40),""),IF(INDEX('Cronograma R. Financiero'!$I$5:$I$1000,$N40)="","",INDEX('Cronograma R. Financiero'!$I$5:$I$1000,$N40))))</f>
        <v/>
      </c>
      <c r="I40" s="68">
        <f>IF($N40="","",IF($P40&gt;0,IF(4&lt;=SemanaActual,INDEX('Cronograma R. Financiero'!$AB$5:$AB$1000,$N40),""),IF(INDEX('Cronograma R. Financiero'!$J$5:$J$1000,$N40)="","",INDEX('Cronograma R. Financiero'!$J$5:$J$1000,$N40))))</f>
        <v/>
      </c>
      <c r="J40" s="68">
        <f>IF($N40="","",INDEX('Cronograma R. Financiero'!$K$5:$K$1000,$N40))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Financiero'!$M$5:$M$1000,$N40)&amp;"")</f>
        <v/>
      </c>
      <c r="M40" s="71">
        <f>IF($N40="","",INDEX('Cronograma R. Financiero'!$N$5:$N$1000,$N40)&amp;"")</f>
        <v/>
      </c>
      <c r="N40">
        <f>IFERROR(MATCH(ROW()-4,rOrden_RF,0),"")</f>
        <v/>
      </c>
      <c r="O40">
        <f>IF($N40="","",INDEX('Cronograma R. Financiero'!$S$5:$S$1000,$N40))</f>
        <v/>
      </c>
      <c r="P40">
        <f>IF($N40="","",N(INDEX('Cronograma R. Financiero'!$T$5:$T$1000,$N40)))</f>
        <v/>
      </c>
    </row>
    <row r="41">
      <c r="A41" s="62">
        <f>IF($N41="","",INDEX('Cronograma R. Financiero'!$A$5:$A$1000,$N41))</f>
        <v/>
      </c>
      <c r="B41" s="71">
        <f>IF($N41="","",IF($O41="Sub","      ↳  "&amp;INDEX('Cronograma R. Financiero'!$C$5:$C$1000,$N41),INDEX('Cronograma R. Financiero'!$C$5:$C$1000,$N41)&amp;""))</f>
        <v/>
      </c>
      <c r="C41" s="77">
        <f>IF($N41="","",IF(INDEX('Cronograma R. Financiero'!$D$5:$D$1000,$N41)="","",INDEX('Cronograma R. Financiero'!$D$5:$D$1000,$N41)))</f>
        <v/>
      </c>
      <c r="D41" s="77">
        <f>IF($N41="","",IF(INDEX('Cronograma R. Financiero'!$E$5:$E$1000,$N41)="","",INDEX('Cronograma R. Financiero'!$E$5:$E$1000,$N41)))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Financiero'!$Y$5:$Y$1000,$N41),""),IF(INDEX('Cronograma R. Financiero'!$G$5:$G$1000,$N41)="","",INDEX('Cronograma R. Financiero'!$G$5:$G$1000,$N41))))</f>
        <v/>
      </c>
      <c r="G41" s="68">
        <f>IF($N41="","",IF($P41&gt;0,IF(2&lt;=SemanaActual,INDEX('Cronograma R. Financiero'!$Z$5:$Z$1000,$N41),""),IF(INDEX('Cronograma R. Financiero'!$H$5:$H$1000,$N41)="","",INDEX('Cronograma R. Financiero'!$H$5:$H$1000,$N41))))</f>
        <v/>
      </c>
      <c r="H41" s="68">
        <f>IF($N41="","",IF($P41&gt;0,IF(3&lt;=SemanaActual,INDEX('Cronograma R. Financiero'!$AA$5:$AA$1000,$N41),""),IF(INDEX('Cronograma R. Financiero'!$I$5:$I$1000,$N41)="","",INDEX('Cronograma R. Financiero'!$I$5:$I$1000,$N41))))</f>
        <v/>
      </c>
      <c r="I41" s="68">
        <f>IF($N41="","",IF($P41&gt;0,IF(4&lt;=SemanaActual,INDEX('Cronograma R. Financiero'!$AB$5:$AB$1000,$N41),""),IF(INDEX('Cronograma R. Financiero'!$J$5:$J$1000,$N41)="","",INDEX('Cronograma R. Financiero'!$J$5:$J$1000,$N41))))</f>
        <v/>
      </c>
      <c r="J41" s="68">
        <f>IF($N41="","",INDEX('Cronograma R. Financiero'!$K$5:$K$1000,$N41))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Financiero'!$M$5:$M$1000,$N41)&amp;"")</f>
        <v/>
      </c>
      <c r="M41" s="71">
        <f>IF($N41="","",INDEX('Cronograma R. Financiero'!$N$5:$N$1000,$N41)&amp;"")</f>
        <v/>
      </c>
      <c r="N41">
        <f>IFERROR(MATCH(ROW()-4,rOrden_RF,0),"")</f>
        <v/>
      </c>
      <c r="O41">
        <f>IF($N41="","",INDEX('Cronograma R. Financiero'!$S$5:$S$1000,$N41))</f>
        <v/>
      </c>
      <c r="P41">
        <f>IF($N41="","",N(INDEX('Cronograma R. Financiero'!$T$5:$T$1000,$N41)))</f>
        <v/>
      </c>
    </row>
    <row r="42">
      <c r="A42" s="62">
        <f>IF($N42="","",INDEX('Cronograma R. Financiero'!$A$5:$A$1000,$N42))</f>
        <v/>
      </c>
      <c r="B42" s="71">
        <f>IF($N42="","",IF($O42="Sub","      ↳  "&amp;INDEX('Cronograma R. Financiero'!$C$5:$C$1000,$N42),INDEX('Cronograma R. Financiero'!$C$5:$C$1000,$N42)&amp;""))</f>
        <v/>
      </c>
      <c r="C42" s="77">
        <f>IF($N42="","",IF(INDEX('Cronograma R. Financiero'!$D$5:$D$1000,$N42)="","",INDEX('Cronograma R. Financiero'!$D$5:$D$1000,$N42)))</f>
        <v/>
      </c>
      <c r="D42" s="77">
        <f>IF($N42="","",IF(INDEX('Cronograma R. Financiero'!$E$5:$E$1000,$N42)="","",INDEX('Cronograma R. Financiero'!$E$5:$E$1000,$N42)))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Financiero'!$Y$5:$Y$1000,$N42),""),IF(INDEX('Cronograma R. Financiero'!$G$5:$G$1000,$N42)="","",INDEX('Cronograma R. Financiero'!$G$5:$G$1000,$N42))))</f>
        <v/>
      </c>
      <c r="G42" s="68">
        <f>IF($N42="","",IF($P42&gt;0,IF(2&lt;=SemanaActual,INDEX('Cronograma R. Financiero'!$Z$5:$Z$1000,$N42),""),IF(INDEX('Cronograma R. Financiero'!$H$5:$H$1000,$N42)="","",INDEX('Cronograma R. Financiero'!$H$5:$H$1000,$N42))))</f>
        <v/>
      </c>
      <c r="H42" s="68">
        <f>IF($N42="","",IF($P42&gt;0,IF(3&lt;=SemanaActual,INDEX('Cronograma R. Financiero'!$AA$5:$AA$1000,$N42),""),IF(INDEX('Cronograma R. Financiero'!$I$5:$I$1000,$N42)="","",INDEX('Cronograma R. Financiero'!$I$5:$I$1000,$N42))))</f>
        <v/>
      </c>
      <c r="I42" s="68">
        <f>IF($N42="","",IF($P42&gt;0,IF(4&lt;=SemanaActual,INDEX('Cronograma R. Financiero'!$AB$5:$AB$1000,$N42),""),IF(INDEX('Cronograma R. Financiero'!$J$5:$J$1000,$N42)="","",INDEX('Cronograma R. Financiero'!$J$5:$J$1000,$N42))))</f>
        <v/>
      </c>
      <c r="J42" s="68">
        <f>IF($N42="","",INDEX('Cronograma R. Financiero'!$K$5:$K$1000,$N42))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Financiero'!$M$5:$M$1000,$N42)&amp;"")</f>
        <v/>
      </c>
      <c r="M42" s="71">
        <f>IF($N42="","",INDEX('Cronograma R. Financiero'!$N$5:$N$1000,$N42)&amp;"")</f>
        <v/>
      </c>
      <c r="N42">
        <f>IFERROR(MATCH(ROW()-4,rOrden_RF,0),"")</f>
        <v/>
      </c>
      <c r="O42">
        <f>IF($N42="","",INDEX('Cronograma R. Financiero'!$S$5:$S$1000,$N42))</f>
        <v/>
      </c>
      <c r="P42">
        <f>IF($N42="","",N(INDEX('Cronograma R. Financiero'!$T$5:$T$1000,$N42)))</f>
        <v/>
      </c>
    </row>
    <row r="43">
      <c r="A43" s="62">
        <f>IF($N43="","",INDEX('Cronograma R. Financiero'!$A$5:$A$1000,$N43))</f>
        <v/>
      </c>
      <c r="B43" s="71">
        <f>IF($N43="","",IF($O43="Sub","      ↳  "&amp;INDEX('Cronograma R. Financiero'!$C$5:$C$1000,$N43),INDEX('Cronograma R. Financiero'!$C$5:$C$1000,$N43)&amp;""))</f>
        <v/>
      </c>
      <c r="C43" s="77">
        <f>IF($N43="","",IF(INDEX('Cronograma R. Financiero'!$D$5:$D$1000,$N43)="","",INDEX('Cronograma R. Financiero'!$D$5:$D$1000,$N43)))</f>
        <v/>
      </c>
      <c r="D43" s="77">
        <f>IF($N43="","",IF(INDEX('Cronograma R. Financiero'!$E$5:$E$1000,$N43)="","",INDEX('Cronograma R. Financiero'!$E$5:$E$1000,$N43)))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Financiero'!$Y$5:$Y$1000,$N43),""),IF(INDEX('Cronograma R. Financiero'!$G$5:$G$1000,$N43)="","",INDEX('Cronograma R. Financiero'!$G$5:$G$1000,$N43))))</f>
        <v/>
      </c>
      <c r="G43" s="68">
        <f>IF($N43="","",IF($P43&gt;0,IF(2&lt;=SemanaActual,INDEX('Cronograma R. Financiero'!$Z$5:$Z$1000,$N43),""),IF(INDEX('Cronograma R. Financiero'!$H$5:$H$1000,$N43)="","",INDEX('Cronograma R. Financiero'!$H$5:$H$1000,$N43))))</f>
        <v/>
      </c>
      <c r="H43" s="68">
        <f>IF($N43="","",IF($P43&gt;0,IF(3&lt;=SemanaActual,INDEX('Cronograma R. Financiero'!$AA$5:$AA$1000,$N43),""),IF(INDEX('Cronograma R. Financiero'!$I$5:$I$1000,$N43)="","",INDEX('Cronograma R. Financiero'!$I$5:$I$1000,$N43))))</f>
        <v/>
      </c>
      <c r="I43" s="68">
        <f>IF($N43="","",IF($P43&gt;0,IF(4&lt;=SemanaActual,INDEX('Cronograma R. Financiero'!$AB$5:$AB$1000,$N43),""),IF(INDEX('Cronograma R. Financiero'!$J$5:$J$1000,$N43)="","",INDEX('Cronograma R. Financiero'!$J$5:$J$1000,$N43))))</f>
        <v/>
      </c>
      <c r="J43" s="68">
        <f>IF($N43="","",INDEX('Cronograma R. Financiero'!$K$5:$K$1000,$N43))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Financiero'!$M$5:$M$1000,$N43)&amp;"")</f>
        <v/>
      </c>
      <c r="M43" s="71">
        <f>IF($N43="","",INDEX('Cronograma R. Financiero'!$N$5:$N$1000,$N43)&amp;"")</f>
        <v/>
      </c>
      <c r="N43">
        <f>IFERROR(MATCH(ROW()-4,rOrden_RF,0),"")</f>
        <v/>
      </c>
      <c r="O43">
        <f>IF($N43="","",INDEX('Cronograma R. Financiero'!$S$5:$S$1000,$N43))</f>
        <v/>
      </c>
      <c r="P43">
        <f>IF($N43="","",N(INDEX('Cronograma R. Financiero'!$T$5:$T$1000,$N43)))</f>
        <v/>
      </c>
    </row>
    <row r="44">
      <c r="A44" s="62">
        <f>IF($N44="","",INDEX('Cronograma R. Financiero'!$A$5:$A$1000,$N44))</f>
        <v/>
      </c>
      <c r="B44" s="71">
        <f>IF($N44="","",IF($O44="Sub","      ↳  "&amp;INDEX('Cronograma R. Financiero'!$C$5:$C$1000,$N44),INDEX('Cronograma R. Financiero'!$C$5:$C$1000,$N44)&amp;""))</f>
        <v/>
      </c>
      <c r="C44" s="77">
        <f>IF($N44="","",IF(INDEX('Cronograma R. Financiero'!$D$5:$D$1000,$N44)="","",INDEX('Cronograma R. Financiero'!$D$5:$D$1000,$N44)))</f>
        <v/>
      </c>
      <c r="D44" s="77">
        <f>IF($N44="","",IF(INDEX('Cronograma R. Financiero'!$E$5:$E$1000,$N44)="","",INDEX('Cronograma R. Financiero'!$E$5:$E$1000,$N44)))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Financiero'!$Y$5:$Y$1000,$N44),""),IF(INDEX('Cronograma R. Financiero'!$G$5:$G$1000,$N44)="","",INDEX('Cronograma R. Financiero'!$G$5:$G$1000,$N44))))</f>
        <v/>
      </c>
      <c r="G44" s="68">
        <f>IF($N44="","",IF($P44&gt;0,IF(2&lt;=SemanaActual,INDEX('Cronograma R. Financiero'!$Z$5:$Z$1000,$N44),""),IF(INDEX('Cronograma R. Financiero'!$H$5:$H$1000,$N44)="","",INDEX('Cronograma R. Financiero'!$H$5:$H$1000,$N44))))</f>
        <v/>
      </c>
      <c r="H44" s="68">
        <f>IF($N44="","",IF($P44&gt;0,IF(3&lt;=SemanaActual,INDEX('Cronograma R. Financiero'!$AA$5:$AA$1000,$N44),""),IF(INDEX('Cronograma R. Financiero'!$I$5:$I$1000,$N44)="","",INDEX('Cronograma R. Financiero'!$I$5:$I$1000,$N44))))</f>
        <v/>
      </c>
      <c r="I44" s="68">
        <f>IF($N44="","",IF($P44&gt;0,IF(4&lt;=SemanaActual,INDEX('Cronograma R. Financiero'!$AB$5:$AB$1000,$N44),""),IF(INDEX('Cronograma R. Financiero'!$J$5:$J$1000,$N44)="","",INDEX('Cronograma R. Financiero'!$J$5:$J$1000,$N44))))</f>
        <v/>
      </c>
      <c r="J44" s="68">
        <f>IF($N44="","",INDEX('Cronograma R. Financiero'!$K$5:$K$1000,$N44))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Financiero'!$M$5:$M$1000,$N44)&amp;"")</f>
        <v/>
      </c>
      <c r="M44" s="71">
        <f>IF($N44="","",INDEX('Cronograma R. Financiero'!$N$5:$N$1000,$N44)&amp;"")</f>
        <v/>
      </c>
      <c r="N44">
        <f>IFERROR(MATCH(ROW()-4,rOrden_RF,0),"")</f>
        <v/>
      </c>
      <c r="O44">
        <f>IF($N44="","",INDEX('Cronograma R. Financiero'!$S$5:$S$1000,$N44))</f>
        <v/>
      </c>
      <c r="P44">
        <f>IF($N44="","",N(INDEX('Cronograma R. Financiero'!$T$5:$T$1000,$N44)))</f>
        <v/>
      </c>
    </row>
    <row r="45">
      <c r="A45" s="62">
        <f>IF($N45="","",INDEX('Cronograma R. Financiero'!$A$5:$A$1000,$N45))</f>
        <v/>
      </c>
      <c r="B45" s="71">
        <f>IF($N45="","",IF($O45="Sub","      ↳  "&amp;INDEX('Cronograma R. Financiero'!$C$5:$C$1000,$N45),INDEX('Cronograma R. Financiero'!$C$5:$C$1000,$N45)&amp;""))</f>
        <v/>
      </c>
      <c r="C45" s="77">
        <f>IF($N45="","",IF(INDEX('Cronograma R. Financiero'!$D$5:$D$1000,$N45)="","",INDEX('Cronograma R. Financiero'!$D$5:$D$1000,$N45)))</f>
        <v/>
      </c>
      <c r="D45" s="77">
        <f>IF($N45="","",IF(INDEX('Cronograma R. Financiero'!$E$5:$E$1000,$N45)="","",INDEX('Cronograma R. Financiero'!$E$5:$E$1000,$N45)))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Financiero'!$Y$5:$Y$1000,$N45),""),IF(INDEX('Cronograma R. Financiero'!$G$5:$G$1000,$N45)="","",INDEX('Cronograma R. Financiero'!$G$5:$G$1000,$N45))))</f>
        <v/>
      </c>
      <c r="G45" s="68">
        <f>IF($N45="","",IF($P45&gt;0,IF(2&lt;=SemanaActual,INDEX('Cronograma R. Financiero'!$Z$5:$Z$1000,$N45),""),IF(INDEX('Cronograma R. Financiero'!$H$5:$H$1000,$N45)="","",INDEX('Cronograma R. Financiero'!$H$5:$H$1000,$N45))))</f>
        <v/>
      </c>
      <c r="H45" s="68">
        <f>IF($N45="","",IF($P45&gt;0,IF(3&lt;=SemanaActual,INDEX('Cronograma R. Financiero'!$AA$5:$AA$1000,$N45),""),IF(INDEX('Cronograma R. Financiero'!$I$5:$I$1000,$N45)="","",INDEX('Cronograma R. Financiero'!$I$5:$I$1000,$N45))))</f>
        <v/>
      </c>
      <c r="I45" s="68">
        <f>IF($N45="","",IF($P45&gt;0,IF(4&lt;=SemanaActual,INDEX('Cronograma R. Financiero'!$AB$5:$AB$1000,$N45),""),IF(INDEX('Cronograma R. Financiero'!$J$5:$J$1000,$N45)="","",INDEX('Cronograma R. Financiero'!$J$5:$J$1000,$N45))))</f>
        <v/>
      </c>
      <c r="J45" s="68">
        <f>IF($N45="","",INDEX('Cronograma R. Financiero'!$K$5:$K$1000,$N45))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Financiero'!$M$5:$M$1000,$N45)&amp;"")</f>
        <v/>
      </c>
      <c r="M45" s="71">
        <f>IF($N45="","",INDEX('Cronograma R. Financiero'!$N$5:$N$1000,$N45)&amp;"")</f>
        <v/>
      </c>
      <c r="N45">
        <f>IFERROR(MATCH(ROW()-4,rOrden_RF,0),"")</f>
        <v/>
      </c>
      <c r="O45">
        <f>IF($N45="","",INDEX('Cronograma R. Financiero'!$S$5:$S$1000,$N45))</f>
        <v/>
      </c>
      <c r="P45">
        <f>IF($N45="","",N(INDEX('Cronograma R. Financiero'!$T$5:$T$1000,$N45)))</f>
        <v/>
      </c>
    </row>
    <row r="46">
      <c r="A46" s="62">
        <f>IF($N46="","",INDEX('Cronograma R. Financiero'!$A$5:$A$1000,$N46))</f>
        <v/>
      </c>
      <c r="B46" s="71">
        <f>IF($N46="","",IF($O46="Sub","      ↳  "&amp;INDEX('Cronograma R. Financiero'!$C$5:$C$1000,$N46),INDEX('Cronograma R. Financiero'!$C$5:$C$1000,$N46)&amp;""))</f>
        <v/>
      </c>
      <c r="C46" s="77">
        <f>IF($N46="","",IF(INDEX('Cronograma R. Financiero'!$D$5:$D$1000,$N46)="","",INDEX('Cronograma R. Financiero'!$D$5:$D$1000,$N46)))</f>
        <v/>
      </c>
      <c r="D46" s="77">
        <f>IF($N46="","",IF(INDEX('Cronograma R. Financiero'!$E$5:$E$1000,$N46)="","",INDEX('Cronograma R. Financiero'!$E$5:$E$1000,$N46)))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Financiero'!$Y$5:$Y$1000,$N46),""),IF(INDEX('Cronograma R. Financiero'!$G$5:$G$1000,$N46)="","",INDEX('Cronograma R. Financiero'!$G$5:$G$1000,$N46))))</f>
        <v/>
      </c>
      <c r="G46" s="68">
        <f>IF($N46="","",IF($P46&gt;0,IF(2&lt;=SemanaActual,INDEX('Cronograma R. Financiero'!$Z$5:$Z$1000,$N46),""),IF(INDEX('Cronograma R. Financiero'!$H$5:$H$1000,$N46)="","",INDEX('Cronograma R. Financiero'!$H$5:$H$1000,$N46))))</f>
        <v/>
      </c>
      <c r="H46" s="68">
        <f>IF($N46="","",IF($P46&gt;0,IF(3&lt;=SemanaActual,INDEX('Cronograma R. Financiero'!$AA$5:$AA$1000,$N46),""),IF(INDEX('Cronograma R. Financiero'!$I$5:$I$1000,$N46)="","",INDEX('Cronograma R. Financiero'!$I$5:$I$1000,$N46))))</f>
        <v/>
      </c>
      <c r="I46" s="68">
        <f>IF($N46="","",IF($P46&gt;0,IF(4&lt;=SemanaActual,INDEX('Cronograma R. Financiero'!$AB$5:$AB$1000,$N46),""),IF(INDEX('Cronograma R. Financiero'!$J$5:$J$1000,$N46)="","",INDEX('Cronograma R. Financiero'!$J$5:$J$1000,$N46))))</f>
        <v/>
      </c>
      <c r="J46" s="68">
        <f>IF($N46="","",INDEX('Cronograma R. Financiero'!$K$5:$K$1000,$N46))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Financiero'!$M$5:$M$1000,$N46)&amp;"")</f>
        <v/>
      </c>
      <c r="M46" s="71">
        <f>IF($N46="","",INDEX('Cronograma R. Financiero'!$N$5:$N$1000,$N46)&amp;"")</f>
        <v/>
      </c>
      <c r="N46">
        <f>IFERROR(MATCH(ROW()-4,rOrden_RF,0),"")</f>
        <v/>
      </c>
      <c r="O46">
        <f>IF($N46="","",INDEX('Cronograma R. Financiero'!$S$5:$S$1000,$N46))</f>
        <v/>
      </c>
      <c r="P46">
        <f>IF($N46="","",N(INDEX('Cronograma R. Financiero'!$T$5:$T$1000,$N46)))</f>
        <v/>
      </c>
    </row>
    <row r="47">
      <c r="A47" s="62">
        <f>IF($N47="","",INDEX('Cronograma R. Financiero'!$A$5:$A$1000,$N47))</f>
        <v/>
      </c>
      <c r="B47" s="71">
        <f>IF($N47="","",IF($O47="Sub","      ↳  "&amp;INDEX('Cronograma R. Financiero'!$C$5:$C$1000,$N47),INDEX('Cronograma R. Financiero'!$C$5:$C$1000,$N47)&amp;""))</f>
        <v/>
      </c>
      <c r="C47" s="77">
        <f>IF($N47="","",IF(INDEX('Cronograma R. Financiero'!$D$5:$D$1000,$N47)="","",INDEX('Cronograma R. Financiero'!$D$5:$D$1000,$N47)))</f>
        <v/>
      </c>
      <c r="D47" s="77">
        <f>IF($N47="","",IF(INDEX('Cronograma R. Financiero'!$E$5:$E$1000,$N47)="","",INDEX('Cronograma R. Financiero'!$E$5:$E$1000,$N47)))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Financiero'!$Y$5:$Y$1000,$N47),""),IF(INDEX('Cronograma R. Financiero'!$G$5:$G$1000,$N47)="","",INDEX('Cronograma R. Financiero'!$G$5:$G$1000,$N47))))</f>
        <v/>
      </c>
      <c r="G47" s="68">
        <f>IF($N47="","",IF($P47&gt;0,IF(2&lt;=SemanaActual,INDEX('Cronograma R. Financiero'!$Z$5:$Z$1000,$N47),""),IF(INDEX('Cronograma R. Financiero'!$H$5:$H$1000,$N47)="","",INDEX('Cronograma R. Financiero'!$H$5:$H$1000,$N47))))</f>
        <v/>
      </c>
      <c r="H47" s="68">
        <f>IF($N47="","",IF($P47&gt;0,IF(3&lt;=SemanaActual,INDEX('Cronograma R. Financiero'!$AA$5:$AA$1000,$N47),""),IF(INDEX('Cronograma R. Financiero'!$I$5:$I$1000,$N47)="","",INDEX('Cronograma R. Financiero'!$I$5:$I$1000,$N47))))</f>
        <v/>
      </c>
      <c r="I47" s="68">
        <f>IF($N47="","",IF($P47&gt;0,IF(4&lt;=SemanaActual,INDEX('Cronograma R. Financiero'!$AB$5:$AB$1000,$N47),""),IF(INDEX('Cronograma R. Financiero'!$J$5:$J$1000,$N47)="","",INDEX('Cronograma R. Financiero'!$J$5:$J$1000,$N47))))</f>
        <v/>
      </c>
      <c r="J47" s="68">
        <f>IF($N47="","",INDEX('Cronograma R. Financiero'!$K$5:$K$1000,$N47))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Financiero'!$M$5:$M$1000,$N47)&amp;"")</f>
        <v/>
      </c>
      <c r="M47" s="71">
        <f>IF($N47="","",INDEX('Cronograma R. Financiero'!$N$5:$N$1000,$N47)&amp;"")</f>
        <v/>
      </c>
      <c r="N47">
        <f>IFERROR(MATCH(ROW()-4,rOrden_RF,0),"")</f>
        <v/>
      </c>
      <c r="O47">
        <f>IF($N47="","",INDEX('Cronograma R. Financiero'!$S$5:$S$1000,$N47))</f>
        <v/>
      </c>
      <c r="P47">
        <f>IF($N47="","",N(INDEX('Cronograma R. Financiero'!$T$5:$T$1000,$N47)))</f>
        <v/>
      </c>
    </row>
    <row r="48">
      <c r="A48" s="62">
        <f>IF($N48="","",INDEX('Cronograma R. Financiero'!$A$5:$A$1000,$N48))</f>
        <v/>
      </c>
      <c r="B48" s="71">
        <f>IF($N48="","",IF($O48="Sub","      ↳  "&amp;INDEX('Cronograma R. Financiero'!$C$5:$C$1000,$N48),INDEX('Cronograma R. Financiero'!$C$5:$C$1000,$N48)&amp;""))</f>
        <v/>
      </c>
      <c r="C48" s="77">
        <f>IF($N48="","",IF(INDEX('Cronograma R. Financiero'!$D$5:$D$1000,$N48)="","",INDEX('Cronograma R. Financiero'!$D$5:$D$1000,$N48)))</f>
        <v/>
      </c>
      <c r="D48" s="77">
        <f>IF($N48="","",IF(INDEX('Cronograma R. Financiero'!$E$5:$E$1000,$N48)="","",INDEX('Cronograma R. Financiero'!$E$5:$E$1000,$N48)))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Financiero'!$Y$5:$Y$1000,$N48),""),IF(INDEX('Cronograma R. Financiero'!$G$5:$G$1000,$N48)="","",INDEX('Cronograma R. Financiero'!$G$5:$G$1000,$N48))))</f>
        <v/>
      </c>
      <c r="G48" s="68">
        <f>IF($N48="","",IF($P48&gt;0,IF(2&lt;=SemanaActual,INDEX('Cronograma R. Financiero'!$Z$5:$Z$1000,$N48),""),IF(INDEX('Cronograma R. Financiero'!$H$5:$H$1000,$N48)="","",INDEX('Cronograma R. Financiero'!$H$5:$H$1000,$N48))))</f>
        <v/>
      </c>
      <c r="H48" s="68">
        <f>IF($N48="","",IF($P48&gt;0,IF(3&lt;=SemanaActual,INDEX('Cronograma R. Financiero'!$AA$5:$AA$1000,$N48),""),IF(INDEX('Cronograma R. Financiero'!$I$5:$I$1000,$N48)="","",INDEX('Cronograma R. Financiero'!$I$5:$I$1000,$N48))))</f>
        <v/>
      </c>
      <c r="I48" s="68">
        <f>IF($N48="","",IF($P48&gt;0,IF(4&lt;=SemanaActual,INDEX('Cronograma R. Financiero'!$AB$5:$AB$1000,$N48),""),IF(INDEX('Cronograma R. Financiero'!$J$5:$J$1000,$N48)="","",INDEX('Cronograma R. Financiero'!$J$5:$J$1000,$N48))))</f>
        <v/>
      </c>
      <c r="J48" s="68">
        <f>IF($N48="","",INDEX('Cronograma R. Financiero'!$K$5:$K$1000,$N48))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Financiero'!$M$5:$M$1000,$N48)&amp;"")</f>
        <v/>
      </c>
      <c r="M48" s="71">
        <f>IF($N48="","",INDEX('Cronograma R. Financiero'!$N$5:$N$1000,$N48)&amp;"")</f>
        <v/>
      </c>
      <c r="N48">
        <f>IFERROR(MATCH(ROW()-4,rOrden_RF,0),"")</f>
        <v/>
      </c>
      <c r="O48">
        <f>IF($N48="","",INDEX('Cronograma R. Financiero'!$S$5:$S$1000,$N48))</f>
        <v/>
      </c>
      <c r="P48">
        <f>IF($N48="","",N(INDEX('Cronograma R. Financiero'!$T$5:$T$1000,$N48)))</f>
        <v/>
      </c>
    </row>
    <row r="49">
      <c r="A49" s="62">
        <f>IF($N49="","",INDEX('Cronograma R. Financiero'!$A$5:$A$1000,$N49))</f>
        <v/>
      </c>
      <c r="B49" s="71">
        <f>IF($N49="","",IF($O49="Sub","      ↳  "&amp;INDEX('Cronograma R. Financiero'!$C$5:$C$1000,$N49),INDEX('Cronograma R. Financiero'!$C$5:$C$1000,$N49)&amp;""))</f>
        <v/>
      </c>
      <c r="C49" s="77">
        <f>IF($N49="","",IF(INDEX('Cronograma R. Financiero'!$D$5:$D$1000,$N49)="","",INDEX('Cronograma R. Financiero'!$D$5:$D$1000,$N49)))</f>
        <v/>
      </c>
      <c r="D49" s="77">
        <f>IF($N49="","",IF(INDEX('Cronograma R. Financiero'!$E$5:$E$1000,$N49)="","",INDEX('Cronograma R. Financiero'!$E$5:$E$1000,$N49)))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Financiero'!$Y$5:$Y$1000,$N49),""),IF(INDEX('Cronograma R. Financiero'!$G$5:$G$1000,$N49)="","",INDEX('Cronograma R. Financiero'!$G$5:$G$1000,$N49))))</f>
        <v/>
      </c>
      <c r="G49" s="68">
        <f>IF($N49="","",IF($P49&gt;0,IF(2&lt;=SemanaActual,INDEX('Cronograma R. Financiero'!$Z$5:$Z$1000,$N49),""),IF(INDEX('Cronograma R. Financiero'!$H$5:$H$1000,$N49)="","",INDEX('Cronograma R. Financiero'!$H$5:$H$1000,$N49))))</f>
        <v/>
      </c>
      <c r="H49" s="68">
        <f>IF($N49="","",IF($P49&gt;0,IF(3&lt;=SemanaActual,INDEX('Cronograma R. Financiero'!$AA$5:$AA$1000,$N49),""),IF(INDEX('Cronograma R. Financiero'!$I$5:$I$1000,$N49)="","",INDEX('Cronograma R. Financiero'!$I$5:$I$1000,$N49))))</f>
        <v/>
      </c>
      <c r="I49" s="68">
        <f>IF($N49="","",IF($P49&gt;0,IF(4&lt;=SemanaActual,INDEX('Cronograma R. Financiero'!$AB$5:$AB$1000,$N49),""),IF(INDEX('Cronograma R. Financiero'!$J$5:$J$1000,$N49)="","",INDEX('Cronograma R. Financiero'!$J$5:$J$1000,$N49))))</f>
        <v/>
      </c>
      <c r="J49" s="68">
        <f>IF($N49="","",INDEX('Cronograma R. Financiero'!$K$5:$K$1000,$N49))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Financiero'!$M$5:$M$1000,$N49)&amp;"")</f>
        <v/>
      </c>
      <c r="M49" s="71">
        <f>IF($N49="","",INDEX('Cronograma R. Financiero'!$N$5:$N$1000,$N49)&amp;"")</f>
        <v/>
      </c>
      <c r="N49">
        <f>IFERROR(MATCH(ROW()-4,rOrden_RF,0),"")</f>
        <v/>
      </c>
      <c r="O49">
        <f>IF($N49="","",INDEX('Cronograma R. Financiero'!$S$5:$S$1000,$N49))</f>
        <v/>
      </c>
      <c r="P49">
        <f>IF($N49="","",N(INDEX('Cronograma R. Financiero'!$T$5:$T$1000,$N49)))</f>
        <v/>
      </c>
    </row>
    <row r="50">
      <c r="A50" s="62">
        <f>IF($N50="","",INDEX('Cronograma R. Financiero'!$A$5:$A$1000,$N50))</f>
        <v/>
      </c>
      <c r="B50" s="71">
        <f>IF($N50="","",IF($O50="Sub","      ↳  "&amp;INDEX('Cronograma R. Financiero'!$C$5:$C$1000,$N50),INDEX('Cronograma R. Financiero'!$C$5:$C$1000,$N50)&amp;""))</f>
        <v/>
      </c>
      <c r="C50" s="77">
        <f>IF($N50="","",IF(INDEX('Cronograma R. Financiero'!$D$5:$D$1000,$N50)="","",INDEX('Cronograma R. Financiero'!$D$5:$D$1000,$N50)))</f>
        <v/>
      </c>
      <c r="D50" s="77">
        <f>IF($N50="","",IF(INDEX('Cronograma R. Financiero'!$E$5:$E$1000,$N50)="","",INDEX('Cronograma R. Financiero'!$E$5:$E$1000,$N50)))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Financiero'!$Y$5:$Y$1000,$N50),""),IF(INDEX('Cronograma R. Financiero'!$G$5:$G$1000,$N50)="","",INDEX('Cronograma R. Financiero'!$G$5:$G$1000,$N50))))</f>
        <v/>
      </c>
      <c r="G50" s="68">
        <f>IF($N50="","",IF($P50&gt;0,IF(2&lt;=SemanaActual,INDEX('Cronograma R. Financiero'!$Z$5:$Z$1000,$N50),""),IF(INDEX('Cronograma R. Financiero'!$H$5:$H$1000,$N50)="","",INDEX('Cronograma R. Financiero'!$H$5:$H$1000,$N50))))</f>
        <v/>
      </c>
      <c r="H50" s="68">
        <f>IF($N50="","",IF($P50&gt;0,IF(3&lt;=SemanaActual,INDEX('Cronograma R. Financiero'!$AA$5:$AA$1000,$N50),""),IF(INDEX('Cronograma R. Financiero'!$I$5:$I$1000,$N50)="","",INDEX('Cronograma R. Financiero'!$I$5:$I$1000,$N50))))</f>
        <v/>
      </c>
      <c r="I50" s="68">
        <f>IF($N50="","",IF($P50&gt;0,IF(4&lt;=SemanaActual,INDEX('Cronograma R. Financiero'!$AB$5:$AB$1000,$N50),""),IF(INDEX('Cronograma R. Financiero'!$J$5:$J$1000,$N50)="","",INDEX('Cronograma R. Financiero'!$J$5:$J$1000,$N50))))</f>
        <v/>
      </c>
      <c r="J50" s="68">
        <f>IF($N50="","",INDEX('Cronograma R. Financiero'!$K$5:$K$1000,$N50))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Financiero'!$M$5:$M$1000,$N50)&amp;"")</f>
        <v/>
      </c>
      <c r="M50" s="71">
        <f>IF($N50="","",INDEX('Cronograma R. Financiero'!$N$5:$N$1000,$N50)&amp;"")</f>
        <v/>
      </c>
      <c r="N50">
        <f>IFERROR(MATCH(ROW()-4,rOrden_RF,0),"")</f>
        <v/>
      </c>
      <c r="O50">
        <f>IF($N50="","",INDEX('Cronograma R. Financiero'!$S$5:$S$1000,$N50))</f>
        <v/>
      </c>
      <c r="P50">
        <f>IF($N50="","",N(INDEX('Cronograma R. Financiero'!$T$5:$T$1000,$N50)))</f>
        <v/>
      </c>
    </row>
    <row r="51">
      <c r="A51" s="62">
        <f>IF($N51="","",INDEX('Cronograma R. Financiero'!$A$5:$A$1000,$N51))</f>
        <v/>
      </c>
      <c r="B51" s="71">
        <f>IF($N51="","",IF($O51="Sub","      ↳  "&amp;INDEX('Cronograma R. Financiero'!$C$5:$C$1000,$N51),INDEX('Cronograma R. Financiero'!$C$5:$C$1000,$N51)&amp;""))</f>
        <v/>
      </c>
      <c r="C51" s="77">
        <f>IF($N51="","",IF(INDEX('Cronograma R. Financiero'!$D$5:$D$1000,$N51)="","",INDEX('Cronograma R. Financiero'!$D$5:$D$1000,$N51)))</f>
        <v/>
      </c>
      <c r="D51" s="77">
        <f>IF($N51="","",IF(INDEX('Cronograma R. Financiero'!$E$5:$E$1000,$N51)="","",INDEX('Cronograma R. Financiero'!$E$5:$E$1000,$N51)))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Financiero'!$Y$5:$Y$1000,$N51),""),IF(INDEX('Cronograma R. Financiero'!$G$5:$G$1000,$N51)="","",INDEX('Cronograma R. Financiero'!$G$5:$G$1000,$N51))))</f>
        <v/>
      </c>
      <c r="G51" s="68">
        <f>IF($N51="","",IF($P51&gt;0,IF(2&lt;=SemanaActual,INDEX('Cronograma R. Financiero'!$Z$5:$Z$1000,$N51),""),IF(INDEX('Cronograma R. Financiero'!$H$5:$H$1000,$N51)="","",INDEX('Cronograma R. Financiero'!$H$5:$H$1000,$N51))))</f>
        <v/>
      </c>
      <c r="H51" s="68">
        <f>IF($N51="","",IF($P51&gt;0,IF(3&lt;=SemanaActual,INDEX('Cronograma R. Financiero'!$AA$5:$AA$1000,$N51),""),IF(INDEX('Cronograma R. Financiero'!$I$5:$I$1000,$N51)="","",INDEX('Cronograma R. Financiero'!$I$5:$I$1000,$N51))))</f>
        <v/>
      </c>
      <c r="I51" s="68">
        <f>IF($N51="","",IF($P51&gt;0,IF(4&lt;=SemanaActual,INDEX('Cronograma R. Financiero'!$AB$5:$AB$1000,$N51),""),IF(INDEX('Cronograma R. Financiero'!$J$5:$J$1000,$N51)="","",INDEX('Cronograma R. Financiero'!$J$5:$J$1000,$N51))))</f>
        <v/>
      </c>
      <c r="J51" s="68">
        <f>IF($N51="","",INDEX('Cronograma R. Financiero'!$K$5:$K$1000,$N51))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Financiero'!$M$5:$M$1000,$N51)&amp;"")</f>
        <v/>
      </c>
      <c r="M51" s="71">
        <f>IF($N51="","",INDEX('Cronograma R. Financiero'!$N$5:$N$1000,$N51)&amp;"")</f>
        <v/>
      </c>
      <c r="N51">
        <f>IFERROR(MATCH(ROW()-4,rOrden_RF,0),"")</f>
        <v/>
      </c>
      <c r="O51">
        <f>IF($N51="","",INDEX('Cronograma R. Financiero'!$S$5:$S$1000,$N51))</f>
        <v/>
      </c>
      <c r="P51">
        <f>IF($N51="","",N(INDEX('Cronograma R. Financiero'!$T$5:$T$1000,$N51)))</f>
        <v/>
      </c>
    </row>
    <row r="52">
      <c r="A52" s="62">
        <f>IF($N52="","",INDEX('Cronograma R. Financiero'!$A$5:$A$1000,$N52))</f>
        <v/>
      </c>
      <c r="B52" s="71">
        <f>IF($N52="","",IF($O52="Sub","      ↳  "&amp;INDEX('Cronograma R. Financiero'!$C$5:$C$1000,$N52),INDEX('Cronograma R. Financiero'!$C$5:$C$1000,$N52)&amp;""))</f>
        <v/>
      </c>
      <c r="C52" s="77">
        <f>IF($N52="","",IF(INDEX('Cronograma R. Financiero'!$D$5:$D$1000,$N52)="","",INDEX('Cronograma R. Financiero'!$D$5:$D$1000,$N52)))</f>
        <v/>
      </c>
      <c r="D52" s="77">
        <f>IF($N52="","",IF(INDEX('Cronograma R. Financiero'!$E$5:$E$1000,$N52)="","",INDEX('Cronograma R. Financiero'!$E$5:$E$1000,$N52)))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Financiero'!$Y$5:$Y$1000,$N52),""),IF(INDEX('Cronograma R. Financiero'!$G$5:$G$1000,$N52)="","",INDEX('Cronograma R. Financiero'!$G$5:$G$1000,$N52))))</f>
        <v/>
      </c>
      <c r="G52" s="68">
        <f>IF($N52="","",IF($P52&gt;0,IF(2&lt;=SemanaActual,INDEX('Cronograma R. Financiero'!$Z$5:$Z$1000,$N52),""),IF(INDEX('Cronograma R. Financiero'!$H$5:$H$1000,$N52)="","",INDEX('Cronograma R. Financiero'!$H$5:$H$1000,$N52))))</f>
        <v/>
      </c>
      <c r="H52" s="68">
        <f>IF($N52="","",IF($P52&gt;0,IF(3&lt;=SemanaActual,INDEX('Cronograma R. Financiero'!$AA$5:$AA$1000,$N52),""),IF(INDEX('Cronograma R. Financiero'!$I$5:$I$1000,$N52)="","",INDEX('Cronograma R. Financiero'!$I$5:$I$1000,$N52))))</f>
        <v/>
      </c>
      <c r="I52" s="68">
        <f>IF($N52="","",IF($P52&gt;0,IF(4&lt;=SemanaActual,INDEX('Cronograma R. Financiero'!$AB$5:$AB$1000,$N52),""),IF(INDEX('Cronograma R. Financiero'!$J$5:$J$1000,$N52)="","",INDEX('Cronograma R. Financiero'!$J$5:$J$1000,$N52))))</f>
        <v/>
      </c>
      <c r="J52" s="68">
        <f>IF($N52="","",INDEX('Cronograma R. Financiero'!$K$5:$K$1000,$N52))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Financiero'!$M$5:$M$1000,$N52)&amp;"")</f>
        <v/>
      </c>
      <c r="M52" s="71">
        <f>IF($N52="","",INDEX('Cronograma R. Financiero'!$N$5:$N$1000,$N52)&amp;"")</f>
        <v/>
      </c>
      <c r="N52">
        <f>IFERROR(MATCH(ROW()-4,rOrden_RF,0),"")</f>
        <v/>
      </c>
      <c r="O52">
        <f>IF($N52="","",INDEX('Cronograma R. Financiero'!$S$5:$S$1000,$N52))</f>
        <v/>
      </c>
      <c r="P52">
        <f>IF($N52="","",N(INDEX('Cronograma R. Financiero'!$T$5:$T$1000,$N52)))</f>
        <v/>
      </c>
    </row>
    <row r="53">
      <c r="A53" s="62">
        <f>IF($N53="","",INDEX('Cronograma R. Financiero'!$A$5:$A$1000,$N53))</f>
        <v/>
      </c>
      <c r="B53" s="71">
        <f>IF($N53="","",IF($O53="Sub","      ↳  "&amp;INDEX('Cronograma R. Financiero'!$C$5:$C$1000,$N53),INDEX('Cronograma R. Financiero'!$C$5:$C$1000,$N53)&amp;""))</f>
        <v/>
      </c>
      <c r="C53" s="77">
        <f>IF($N53="","",IF(INDEX('Cronograma R. Financiero'!$D$5:$D$1000,$N53)="","",INDEX('Cronograma R. Financiero'!$D$5:$D$1000,$N53)))</f>
        <v/>
      </c>
      <c r="D53" s="77">
        <f>IF($N53="","",IF(INDEX('Cronograma R. Financiero'!$E$5:$E$1000,$N53)="","",INDEX('Cronograma R. Financiero'!$E$5:$E$1000,$N53)))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Financiero'!$Y$5:$Y$1000,$N53),""),IF(INDEX('Cronograma R. Financiero'!$G$5:$G$1000,$N53)="","",INDEX('Cronograma R. Financiero'!$G$5:$G$1000,$N53))))</f>
        <v/>
      </c>
      <c r="G53" s="68">
        <f>IF($N53="","",IF($P53&gt;0,IF(2&lt;=SemanaActual,INDEX('Cronograma R. Financiero'!$Z$5:$Z$1000,$N53),""),IF(INDEX('Cronograma R. Financiero'!$H$5:$H$1000,$N53)="","",INDEX('Cronograma R. Financiero'!$H$5:$H$1000,$N53))))</f>
        <v/>
      </c>
      <c r="H53" s="68">
        <f>IF($N53="","",IF($P53&gt;0,IF(3&lt;=SemanaActual,INDEX('Cronograma R. Financiero'!$AA$5:$AA$1000,$N53),""),IF(INDEX('Cronograma R. Financiero'!$I$5:$I$1000,$N53)="","",INDEX('Cronograma R. Financiero'!$I$5:$I$1000,$N53))))</f>
        <v/>
      </c>
      <c r="I53" s="68">
        <f>IF($N53="","",IF($P53&gt;0,IF(4&lt;=SemanaActual,INDEX('Cronograma R. Financiero'!$AB$5:$AB$1000,$N53),""),IF(INDEX('Cronograma R. Financiero'!$J$5:$J$1000,$N53)="","",INDEX('Cronograma R. Financiero'!$J$5:$J$1000,$N53))))</f>
        <v/>
      </c>
      <c r="J53" s="68">
        <f>IF($N53="","",INDEX('Cronograma R. Financiero'!$K$5:$K$1000,$N53))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Financiero'!$M$5:$M$1000,$N53)&amp;"")</f>
        <v/>
      </c>
      <c r="M53" s="71">
        <f>IF($N53="","",INDEX('Cronograma R. Financiero'!$N$5:$N$1000,$N53)&amp;"")</f>
        <v/>
      </c>
      <c r="N53">
        <f>IFERROR(MATCH(ROW()-4,rOrden_RF,0),"")</f>
        <v/>
      </c>
      <c r="O53">
        <f>IF($N53="","",INDEX('Cronograma R. Financiero'!$S$5:$S$1000,$N53))</f>
        <v/>
      </c>
      <c r="P53">
        <f>IF($N53="","",N(INDEX('Cronograma R. Financiero'!$T$5:$T$1000,$N53)))</f>
        <v/>
      </c>
    </row>
    <row r="54">
      <c r="A54" s="62">
        <f>IF($N54="","",INDEX('Cronograma R. Financiero'!$A$5:$A$1000,$N54))</f>
        <v/>
      </c>
      <c r="B54" s="71">
        <f>IF($N54="","",IF($O54="Sub","      ↳  "&amp;INDEX('Cronograma R. Financiero'!$C$5:$C$1000,$N54),INDEX('Cronograma R. Financiero'!$C$5:$C$1000,$N54)&amp;""))</f>
        <v/>
      </c>
      <c r="C54" s="77">
        <f>IF($N54="","",IF(INDEX('Cronograma R. Financiero'!$D$5:$D$1000,$N54)="","",INDEX('Cronograma R. Financiero'!$D$5:$D$1000,$N54)))</f>
        <v/>
      </c>
      <c r="D54" s="77">
        <f>IF($N54="","",IF(INDEX('Cronograma R. Financiero'!$E$5:$E$1000,$N54)="","",INDEX('Cronograma R. Financiero'!$E$5:$E$1000,$N54)))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Financiero'!$Y$5:$Y$1000,$N54),""),IF(INDEX('Cronograma R. Financiero'!$G$5:$G$1000,$N54)="","",INDEX('Cronograma R. Financiero'!$G$5:$G$1000,$N54))))</f>
        <v/>
      </c>
      <c r="G54" s="68">
        <f>IF($N54="","",IF($P54&gt;0,IF(2&lt;=SemanaActual,INDEX('Cronograma R. Financiero'!$Z$5:$Z$1000,$N54),""),IF(INDEX('Cronograma R. Financiero'!$H$5:$H$1000,$N54)="","",INDEX('Cronograma R. Financiero'!$H$5:$H$1000,$N54))))</f>
        <v/>
      </c>
      <c r="H54" s="68">
        <f>IF($N54="","",IF($P54&gt;0,IF(3&lt;=SemanaActual,INDEX('Cronograma R. Financiero'!$AA$5:$AA$1000,$N54),""),IF(INDEX('Cronograma R. Financiero'!$I$5:$I$1000,$N54)="","",INDEX('Cronograma R. Financiero'!$I$5:$I$1000,$N54))))</f>
        <v/>
      </c>
      <c r="I54" s="68">
        <f>IF($N54="","",IF($P54&gt;0,IF(4&lt;=SemanaActual,INDEX('Cronograma R. Financiero'!$AB$5:$AB$1000,$N54),""),IF(INDEX('Cronograma R. Financiero'!$J$5:$J$1000,$N54)="","",INDEX('Cronograma R. Financiero'!$J$5:$J$1000,$N54))))</f>
        <v/>
      </c>
      <c r="J54" s="68">
        <f>IF($N54="","",INDEX('Cronograma R. Financiero'!$K$5:$K$1000,$N54))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Financiero'!$M$5:$M$1000,$N54)&amp;"")</f>
        <v/>
      </c>
      <c r="M54" s="71">
        <f>IF($N54="","",INDEX('Cronograma R. Financiero'!$N$5:$N$1000,$N54)&amp;"")</f>
        <v/>
      </c>
      <c r="N54">
        <f>IFERROR(MATCH(ROW()-4,rOrden_RF,0),"")</f>
        <v/>
      </c>
      <c r="O54">
        <f>IF($N54="","",INDEX('Cronograma R. Financiero'!$S$5:$S$1000,$N54))</f>
        <v/>
      </c>
      <c r="P54">
        <f>IF($N54="","",N(INDEX('Cronograma R. Financiero'!$T$5:$T$1000,$N54)))</f>
        <v/>
      </c>
    </row>
    <row r="55">
      <c r="A55" s="62">
        <f>IF($N55="","",INDEX('Cronograma R. Financiero'!$A$5:$A$1000,$N55))</f>
        <v/>
      </c>
      <c r="B55" s="71">
        <f>IF($N55="","",IF($O55="Sub","      ↳  "&amp;INDEX('Cronograma R. Financiero'!$C$5:$C$1000,$N55),INDEX('Cronograma R. Financiero'!$C$5:$C$1000,$N55)&amp;""))</f>
        <v/>
      </c>
      <c r="C55" s="77">
        <f>IF($N55="","",IF(INDEX('Cronograma R. Financiero'!$D$5:$D$1000,$N55)="","",INDEX('Cronograma R. Financiero'!$D$5:$D$1000,$N55)))</f>
        <v/>
      </c>
      <c r="D55" s="77">
        <f>IF($N55="","",IF(INDEX('Cronograma R. Financiero'!$E$5:$E$1000,$N55)="","",INDEX('Cronograma R. Financiero'!$E$5:$E$1000,$N55)))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Financiero'!$Y$5:$Y$1000,$N55),""),IF(INDEX('Cronograma R. Financiero'!$G$5:$G$1000,$N55)="","",INDEX('Cronograma R. Financiero'!$G$5:$G$1000,$N55))))</f>
        <v/>
      </c>
      <c r="G55" s="68">
        <f>IF($N55="","",IF($P55&gt;0,IF(2&lt;=SemanaActual,INDEX('Cronograma R. Financiero'!$Z$5:$Z$1000,$N55),""),IF(INDEX('Cronograma R. Financiero'!$H$5:$H$1000,$N55)="","",INDEX('Cronograma R. Financiero'!$H$5:$H$1000,$N55))))</f>
        <v/>
      </c>
      <c r="H55" s="68">
        <f>IF($N55="","",IF($P55&gt;0,IF(3&lt;=SemanaActual,INDEX('Cronograma R. Financiero'!$AA$5:$AA$1000,$N55),""),IF(INDEX('Cronograma R. Financiero'!$I$5:$I$1000,$N55)="","",INDEX('Cronograma R. Financiero'!$I$5:$I$1000,$N55))))</f>
        <v/>
      </c>
      <c r="I55" s="68">
        <f>IF($N55="","",IF($P55&gt;0,IF(4&lt;=SemanaActual,INDEX('Cronograma R. Financiero'!$AB$5:$AB$1000,$N55),""),IF(INDEX('Cronograma R. Financiero'!$J$5:$J$1000,$N55)="","",INDEX('Cronograma R. Financiero'!$J$5:$J$1000,$N55))))</f>
        <v/>
      </c>
      <c r="J55" s="68">
        <f>IF($N55="","",INDEX('Cronograma R. Financiero'!$K$5:$K$1000,$N55))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Financiero'!$M$5:$M$1000,$N55)&amp;"")</f>
        <v/>
      </c>
      <c r="M55" s="71">
        <f>IF($N55="","",INDEX('Cronograma R. Financiero'!$N$5:$N$1000,$N55)&amp;"")</f>
        <v/>
      </c>
      <c r="N55">
        <f>IFERROR(MATCH(ROW()-4,rOrden_RF,0),"")</f>
        <v/>
      </c>
      <c r="O55">
        <f>IF($N55="","",INDEX('Cronograma R. Financiero'!$S$5:$S$1000,$N55))</f>
        <v/>
      </c>
      <c r="P55">
        <f>IF($N55="","",N(INDEX('Cronograma R. Financiero'!$T$5:$T$1000,$N55)))</f>
        <v/>
      </c>
    </row>
    <row r="56">
      <c r="A56" s="62">
        <f>IF($N56="","",INDEX('Cronograma R. Financiero'!$A$5:$A$1000,$N56))</f>
        <v/>
      </c>
      <c r="B56" s="71">
        <f>IF($N56="","",IF($O56="Sub","      ↳  "&amp;INDEX('Cronograma R. Financiero'!$C$5:$C$1000,$N56),INDEX('Cronograma R. Financiero'!$C$5:$C$1000,$N56)&amp;""))</f>
        <v/>
      </c>
      <c r="C56" s="77">
        <f>IF($N56="","",IF(INDEX('Cronograma R. Financiero'!$D$5:$D$1000,$N56)="","",INDEX('Cronograma R. Financiero'!$D$5:$D$1000,$N56)))</f>
        <v/>
      </c>
      <c r="D56" s="77">
        <f>IF($N56="","",IF(INDEX('Cronograma R. Financiero'!$E$5:$E$1000,$N56)="","",INDEX('Cronograma R. Financiero'!$E$5:$E$1000,$N56)))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Financiero'!$Y$5:$Y$1000,$N56),""),IF(INDEX('Cronograma R. Financiero'!$G$5:$G$1000,$N56)="","",INDEX('Cronograma R. Financiero'!$G$5:$G$1000,$N56))))</f>
        <v/>
      </c>
      <c r="G56" s="68">
        <f>IF($N56="","",IF($P56&gt;0,IF(2&lt;=SemanaActual,INDEX('Cronograma R. Financiero'!$Z$5:$Z$1000,$N56),""),IF(INDEX('Cronograma R. Financiero'!$H$5:$H$1000,$N56)="","",INDEX('Cronograma R. Financiero'!$H$5:$H$1000,$N56))))</f>
        <v/>
      </c>
      <c r="H56" s="68">
        <f>IF($N56="","",IF($P56&gt;0,IF(3&lt;=SemanaActual,INDEX('Cronograma R. Financiero'!$AA$5:$AA$1000,$N56),""),IF(INDEX('Cronograma R. Financiero'!$I$5:$I$1000,$N56)="","",INDEX('Cronograma R. Financiero'!$I$5:$I$1000,$N56))))</f>
        <v/>
      </c>
      <c r="I56" s="68">
        <f>IF($N56="","",IF($P56&gt;0,IF(4&lt;=SemanaActual,INDEX('Cronograma R. Financiero'!$AB$5:$AB$1000,$N56),""),IF(INDEX('Cronograma R. Financiero'!$J$5:$J$1000,$N56)="","",INDEX('Cronograma R. Financiero'!$J$5:$J$1000,$N56))))</f>
        <v/>
      </c>
      <c r="J56" s="68">
        <f>IF($N56="","",INDEX('Cronograma R. Financiero'!$K$5:$K$1000,$N56))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Financiero'!$M$5:$M$1000,$N56)&amp;"")</f>
        <v/>
      </c>
      <c r="M56" s="71">
        <f>IF($N56="","",INDEX('Cronograma R. Financiero'!$N$5:$N$1000,$N56)&amp;"")</f>
        <v/>
      </c>
      <c r="N56">
        <f>IFERROR(MATCH(ROW()-4,rOrden_RF,0),"")</f>
        <v/>
      </c>
      <c r="O56">
        <f>IF($N56="","",INDEX('Cronograma R. Financiero'!$S$5:$S$1000,$N56))</f>
        <v/>
      </c>
      <c r="P56">
        <f>IF($N56="","",N(INDEX('Cronograma R. Financiero'!$T$5:$T$1000,$N56)))</f>
        <v/>
      </c>
    </row>
    <row r="57">
      <c r="A57" s="62">
        <f>IF($N57="","",INDEX('Cronograma R. Financiero'!$A$5:$A$1000,$N57))</f>
        <v/>
      </c>
      <c r="B57" s="71">
        <f>IF($N57="","",IF($O57="Sub","      ↳  "&amp;INDEX('Cronograma R. Financiero'!$C$5:$C$1000,$N57),INDEX('Cronograma R. Financiero'!$C$5:$C$1000,$N57)&amp;""))</f>
        <v/>
      </c>
      <c r="C57" s="77">
        <f>IF($N57="","",IF(INDEX('Cronograma R. Financiero'!$D$5:$D$1000,$N57)="","",INDEX('Cronograma R. Financiero'!$D$5:$D$1000,$N57)))</f>
        <v/>
      </c>
      <c r="D57" s="77">
        <f>IF($N57="","",IF(INDEX('Cronograma R. Financiero'!$E$5:$E$1000,$N57)="","",INDEX('Cronograma R. Financiero'!$E$5:$E$1000,$N57)))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Financiero'!$Y$5:$Y$1000,$N57),""),IF(INDEX('Cronograma R. Financiero'!$G$5:$G$1000,$N57)="","",INDEX('Cronograma R. Financiero'!$G$5:$G$1000,$N57))))</f>
        <v/>
      </c>
      <c r="G57" s="68">
        <f>IF($N57="","",IF($P57&gt;0,IF(2&lt;=SemanaActual,INDEX('Cronograma R. Financiero'!$Z$5:$Z$1000,$N57),""),IF(INDEX('Cronograma R. Financiero'!$H$5:$H$1000,$N57)="","",INDEX('Cronograma R. Financiero'!$H$5:$H$1000,$N57))))</f>
        <v/>
      </c>
      <c r="H57" s="68">
        <f>IF($N57="","",IF($P57&gt;0,IF(3&lt;=SemanaActual,INDEX('Cronograma R. Financiero'!$AA$5:$AA$1000,$N57),""),IF(INDEX('Cronograma R. Financiero'!$I$5:$I$1000,$N57)="","",INDEX('Cronograma R. Financiero'!$I$5:$I$1000,$N57))))</f>
        <v/>
      </c>
      <c r="I57" s="68">
        <f>IF($N57="","",IF($P57&gt;0,IF(4&lt;=SemanaActual,INDEX('Cronograma R. Financiero'!$AB$5:$AB$1000,$N57),""),IF(INDEX('Cronograma R. Financiero'!$J$5:$J$1000,$N57)="","",INDEX('Cronograma R. Financiero'!$J$5:$J$1000,$N57))))</f>
        <v/>
      </c>
      <c r="J57" s="68">
        <f>IF($N57="","",INDEX('Cronograma R. Financiero'!$K$5:$K$1000,$N57))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Financiero'!$M$5:$M$1000,$N57)&amp;"")</f>
        <v/>
      </c>
      <c r="M57" s="71">
        <f>IF($N57="","",INDEX('Cronograma R. Financiero'!$N$5:$N$1000,$N57)&amp;"")</f>
        <v/>
      </c>
      <c r="N57">
        <f>IFERROR(MATCH(ROW()-4,rOrden_RF,0),"")</f>
        <v/>
      </c>
      <c r="O57">
        <f>IF($N57="","",INDEX('Cronograma R. Financiero'!$S$5:$S$1000,$N57))</f>
        <v/>
      </c>
      <c r="P57">
        <f>IF($N57="","",N(INDEX('Cronograma R. Financiero'!$T$5:$T$1000,$N57)))</f>
        <v/>
      </c>
    </row>
    <row r="58">
      <c r="A58" s="62">
        <f>IF($N58="","",INDEX('Cronograma R. Financiero'!$A$5:$A$1000,$N58))</f>
        <v/>
      </c>
      <c r="B58" s="71">
        <f>IF($N58="","",IF($O58="Sub","      ↳  "&amp;INDEX('Cronograma R. Financiero'!$C$5:$C$1000,$N58),INDEX('Cronograma R. Financiero'!$C$5:$C$1000,$N58)&amp;""))</f>
        <v/>
      </c>
      <c r="C58" s="77">
        <f>IF($N58="","",IF(INDEX('Cronograma R. Financiero'!$D$5:$D$1000,$N58)="","",INDEX('Cronograma R. Financiero'!$D$5:$D$1000,$N58)))</f>
        <v/>
      </c>
      <c r="D58" s="77">
        <f>IF($N58="","",IF(INDEX('Cronograma R. Financiero'!$E$5:$E$1000,$N58)="","",INDEX('Cronograma R. Financiero'!$E$5:$E$1000,$N58)))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Financiero'!$Y$5:$Y$1000,$N58),""),IF(INDEX('Cronograma R. Financiero'!$G$5:$G$1000,$N58)="","",INDEX('Cronograma R. Financiero'!$G$5:$G$1000,$N58))))</f>
        <v/>
      </c>
      <c r="G58" s="68">
        <f>IF($N58="","",IF($P58&gt;0,IF(2&lt;=SemanaActual,INDEX('Cronograma R. Financiero'!$Z$5:$Z$1000,$N58),""),IF(INDEX('Cronograma R. Financiero'!$H$5:$H$1000,$N58)="","",INDEX('Cronograma R. Financiero'!$H$5:$H$1000,$N58))))</f>
        <v/>
      </c>
      <c r="H58" s="68">
        <f>IF($N58="","",IF($P58&gt;0,IF(3&lt;=SemanaActual,INDEX('Cronograma R. Financiero'!$AA$5:$AA$1000,$N58),""),IF(INDEX('Cronograma R. Financiero'!$I$5:$I$1000,$N58)="","",INDEX('Cronograma R. Financiero'!$I$5:$I$1000,$N58))))</f>
        <v/>
      </c>
      <c r="I58" s="68">
        <f>IF($N58="","",IF($P58&gt;0,IF(4&lt;=SemanaActual,INDEX('Cronograma R. Financiero'!$AB$5:$AB$1000,$N58),""),IF(INDEX('Cronograma R. Financiero'!$J$5:$J$1000,$N58)="","",INDEX('Cronograma R. Financiero'!$J$5:$J$1000,$N58))))</f>
        <v/>
      </c>
      <c r="J58" s="68">
        <f>IF($N58="","",INDEX('Cronograma R. Financiero'!$K$5:$K$1000,$N58))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Financiero'!$M$5:$M$1000,$N58)&amp;"")</f>
        <v/>
      </c>
      <c r="M58" s="71">
        <f>IF($N58="","",INDEX('Cronograma R. Financiero'!$N$5:$N$1000,$N58)&amp;"")</f>
        <v/>
      </c>
      <c r="N58">
        <f>IFERROR(MATCH(ROW()-4,rOrden_RF,0),"")</f>
        <v/>
      </c>
      <c r="O58">
        <f>IF($N58="","",INDEX('Cronograma R. Financiero'!$S$5:$S$1000,$N58))</f>
        <v/>
      </c>
      <c r="P58">
        <f>IF($N58="","",N(INDEX('Cronograma R. Financiero'!$T$5:$T$1000,$N58)))</f>
        <v/>
      </c>
    </row>
    <row r="59">
      <c r="A59" s="62">
        <f>IF($N59="","",INDEX('Cronograma R. Financiero'!$A$5:$A$1000,$N59))</f>
        <v/>
      </c>
      <c r="B59" s="71">
        <f>IF($N59="","",IF($O59="Sub","      ↳  "&amp;INDEX('Cronograma R. Financiero'!$C$5:$C$1000,$N59),INDEX('Cronograma R. Financiero'!$C$5:$C$1000,$N59)&amp;""))</f>
        <v/>
      </c>
      <c r="C59" s="77">
        <f>IF($N59="","",IF(INDEX('Cronograma R. Financiero'!$D$5:$D$1000,$N59)="","",INDEX('Cronograma R. Financiero'!$D$5:$D$1000,$N59)))</f>
        <v/>
      </c>
      <c r="D59" s="77">
        <f>IF($N59="","",IF(INDEX('Cronograma R. Financiero'!$E$5:$E$1000,$N59)="","",INDEX('Cronograma R. Financiero'!$E$5:$E$1000,$N59)))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Financiero'!$Y$5:$Y$1000,$N59),""),IF(INDEX('Cronograma R. Financiero'!$G$5:$G$1000,$N59)="","",INDEX('Cronograma R. Financiero'!$G$5:$G$1000,$N59))))</f>
        <v/>
      </c>
      <c r="G59" s="68">
        <f>IF($N59="","",IF($P59&gt;0,IF(2&lt;=SemanaActual,INDEX('Cronograma R. Financiero'!$Z$5:$Z$1000,$N59),""),IF(INDEX('Cronograma R. Financiero'!$H$5:$H$1000,$N59)="","",INDEX('Cronograma R. Financiero'!$H$5:$H$1000,$N59))))</f>
        <v/>
      </c>
      <c r="H59" s="68">
        <f>IF($N59="","",IF($P59&gt;0,IF(3&lt;=SemanaActual,INDEX('Cronograma R. Financiero'!$AA$5:$AA$1000,$N59),""),IF(INDEX('Cronograma R. Financiero'!$I$5:$I$1000,$N59)="","",INDEX('Cronograma R. Financiero'!$I$5:$I$1000,$N59))))</f>
        <v/>
      </c>
      <c r="I59" s="68">
        <f>IF($N59="","",IF($P59&gt;0,IF(4&lt;=SemanaActual,INDEX('Cronograma R. Financiero'!$AB$5:$AB$1000,$N59),""),IF(INDEX('Cronograma R. Financiero'!$J$5:$J$1000,$N59)="","",INDEX('Cronograma R. Financiero'!$J$5:$J$1000,$N59))))</f>
        <v/>
      </c>
      <c r="J59" s="68">
        <f>IF($N59="","",INDEX('Cronograma R. Financiero'!$K$5:$K$1000,$N59))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Financiero'!$M$5:$M$1000,$N59)&amp;"")</f>
        <v/>
      </c>
      <c r="M59" s="71">
        <f>IF($N59="","",INDEX('Cronograma R. Financiero'!$N$5:$N$1000,$N59)&amp;"")</f>
        <v/>
      </c>
      <c r="N59">
        <f>IFERROR(MATCH(ROW()-4,rOrden_RF,0),"")</f>
        <v/>
      </c>
      <c r="O59">
        <f>IF($N59="","",INDEX('Cronograma R. Financiero'!$S$5:$S$1000,$N59))</f>
        <v/>
      </c>
      <c r="P59">
        <f>IF($N59="","",N(INDEX('Cronograma R. Financiero'!$T$5:$T$1000,$N59)))</f>
        <v/>
      </c>
    </row>
    <row r="60">
      <c r="A60" s="62">
        <f>IF($N60="","",INDEX('Cronograma R. Financiero'!$A$5:$A$1000,$N60))</f>
        <v/>
      </c>
      <c r="B60" s="71">
        <f>IF($N60="","",IF($O60="Sub","      ↳  "&amp;INDEX('Cronograma R. Financiero'!$C$5:$C$1000,$N60),INDEX('Cronograma R. Financiero'!$C$5:$C$1000,$N60)&amp;""))</f>
        <v/>
      </c>
      <c r="C60" s="77">
        <f>IF($N60="","",IF(INDEX('Cronograma R. Financiero'!$D$5:$D$1000,$N60)="","",INDEX('Cronograma R. Financiero'!$D$5:$D$1000,$N60)))</f>
        <v/>
      </c>
      <c r="D60" s="77">
        <f>IF($N60="","",IF(INDEX('Cronograma R. Financiero'!$E$5:$E$1000,$N60)="","",INDEX('Cronograma R. Financiero'!$E$5:$E$1000,$N60)))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Financiero'!$Y$5:$Y$1000,$N60),""),IF(INDEX('Cronograma R. Financiero'!$G$5:$G$1000,$N60)="","",INDEX('Cronograma R. Financiero'!$G$5:$G$1000,$N60))))</f>
        <v/>
      </c>
      <c r="G60" s="68">
        <f>IF($N60="","",IF($P60&gt;0,IF(2&lt;=SemanaActual,INDEX('Cronograma R. Financiero'!$Z$5:$Z$1000,$N60),""),IF(INDEX('Cronograma R. Financiero'!$H$5:$H$1000,$N60)="","",INDEX('Cronograma R. Financiero'!$H$5:$H$1000,$N60))))</f>
        <v/>
      </c>
      <c r="H60" s="68">
        <f>IF($N60="","",IF($P60&gt;0,IF(3&lt;=SemanaActual,INDEX('Cronograma R. Financiero'!$AA$5:$AA$1000,$N60),""),IF(INDEX('Cronograma R. Financiero'!$I$5:$I$1000,$N60)="","",INDEX('Cronograma R. Financiero'!$I$5:$I$1000,$N60))))</f>
        <v/>
      </c>
      <c r="I60" s="68">
        <f>IF($N60="","",IF($P60&gt;0,IF(4&lt;=SemanaActual,INDEX('Cronograma R. Financiero'!$AB$5:$AB$1000,$N60),""),IF(INDEX('Cronograma R. Financiero'!$J$5:$J$1000,$N60)="","",INDEX('Cronograma R. Financiero'!$J$5:$J$1000,$N60))))</f>
        <v/>
      </c>
      <c r="J60" s="68">
        <f>IF($N60="","",INDEX('Cronograma R. Financiero'!$K$5:$K$1000,$N60))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Financiero'!$M$5:$M$1000,$N60)&amp;"")</f>
        <v/>
      </c>
      <c r="M60" s="71">
        <f>IF($N60="","",INDEX('Cronograma R. Financiero'!$N$5:$N$1000,$N60)&amp;"")</f>
        <v/>
      </c>
      <c r="N60">
        <f>IFERROR(MATCH(ROW()-4,rOrden_RF,0),"")</f>
        <v/>
      </c>
      <c r="O60">
        <f>IF($N60="","",INDEX('Cronograma R. Financiero'!$S$5:$S$1000,$N60))</f>
        <v/>
      </c>
      <c r="P60">
        <f>IF($N60="","",N(INDEX('Cronograma R. Financiero'!$T$5:$T$1000,$N60)))</f>
        <v/>
      </c>
    </row>
    <row r="61">
      <c r="A61" s="62">
        <f>IF($N61="","",INDEX('Cronograma R. Financiero'!$A$5:$A$1000,$N61))</f>
        <v/>
      </c>
      <c r="B61" s="71">
        <f>IF($N61="","",IF($O61="Sub","      ↳  "&amp;INDEX('Cronograma R. Financiero'!$C$5:$C$1000,$N61),INDEX('Cronograma R. Financiero'!$C$5:$C$1000,$N61)&amp;""))</f>
        <v/>
      </c>
      <c r="C61" s="77">
        <f>IF($N61="","",IF(INDEX('Cronograma R. Financiero'!$D$5:$D$1000,$N61)="","",INDEX('Cronograma R. Financiero'!$D$5:$D$1000,$N61)))</f>
        <v/>
      </c>
      <c r="D61" s="77">
        <f>IF($N61="","",IF(INDEX('Cronograma R. Financiero'!$E$5:$E$1000,$N61)="","",INDEX('Cronograma R. Financiero'!$E$5:$E$1000,$N61)))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Financiero'!$Y$5:$Y$1000,$N61),""),IF(INDEX('Cronograma R. Financiero'!$G$5:$G$1000,$N61)="","",INDEX('Cronograma R. Financiero'!$G$5:$G$1000,$N61))))</f>
        <v/>
      </c>
      <c r="G61" s="68">
        <f>IF($N61="","",IF($P61&gt;0,IF(2&lt;=SemanaActual,INDEX('Cronograma R. Financiero'!$Z$5:$Z$1000,$N61),""),IF(INDEX('Cronograma R. Financiero'!$H$5:$H$1000,$N61)="","",INDEX('Cronograma R. Financiero'!$H$5:$H$1000,$N61))))</f>
        <v/>
      </c>
      <c r="H61" s="68">
        <f>IF($N61="","",IF($P61&gt;0,IF(3&lt;=SemanaActual,INDEX('Cronograma R. Financiero'!$AA$5:$AA$1000,$N61),""),IF(INDEX('Cronograma R. Financiero'!$I$5:$I$1000,$N61)="","",INDEX('Cronograma R. Financiero'!$I$5:$I$1000,$N61))))</f>
        <v/>
      </c>
      <c r="I61" s="68">
        <f>IF($N61="","",IF($P61&gt;0,IF(4&lt;=SemanaActual,INDEX('Cronograma R. Financiero'!$AB$5:$AB$1000,$N61),""),IF(INDEX('Cronograma R. Financiero'!$J$5:$J$1000,$N61)="","",INDEX('Cronograma R. Financiero'!$J$5:$J$1000,$N61))))</f>
        <v/>
      </c>
      <c r="J61" s="68">
        <f>IF($N61="","",INDEX('Cronograma R. Financiero'!$K$5:$K$1000,$N61))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Financiero'!$M$5:$M$1000,$N61)&amp;"")</f>
        <v/>
      </c>
      <c r="M61" s="71">
        <f>IF($N61="","",INDEX('Cronograma R. Financiero'!$N$5:$N$1000,$N61)&amp;"")</f>
        <v/>
      </c>
      <c r="N61">
        <f>IFERROR(MATCH(ROW()-4,rOrden_RF,0),"")</f>
        <v/>
      </c>
      <c r="O61">
        <f>IF($N61="","",INDEX('Cronograma R. Financiero'!$S$5:$S$1000,$N61))</f>
        <v/>
      </c>
      <c r="P61">
        <f>IF($N61="","",N(INDEX('Cronograma R. Financiero'!$T$5:$T$1000,$N61)))</f>
        <v/>
      </c>
    </row>
    <row r="62">
      <c r="A62" s="62">
        <f>IF($N62="","",INDEX('Cronograma R. Financiero'!$A$5:$A$1000,$N62))</f>
        <v/>
      </c>
      <c r="B62" s="71">
        <f>IF($N62="","",IF($O62="Sub","      ↳  "&amp;INDEX('Cronograma R. Financiero'!$C$5:$C$1000,$N62),INDEX('Cronograma R. Financiero'!$C$5:$C$1000,$N62)&amp;""))</f>
        <v/>
      </c>
      <c r="C62" s="77">
        <f>IF($N62="","",IF(INDEX('Cronograma R. Financiero'!$D$5:$D$1000,$N62)="","",INDEX('Cronograma R. Financiero'!$D$5:$D$1000,$N62)))</f>
        <v/>
      </c>
      <c r="D62" s="77">
        <f>IF($N62="","",IF(INDEX('Cronograma R. Financiero'!$E$5:$E$1000,$N62)="","",INDEX('Cronograma R. Financiero'!$E$5:$E$1000,$N62)))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Financiero'!$Y$5:$Y$1000,$N62),""),IF(INDEX('Cronograma R. Financiero'!$G$5:$G$1000,$N62)="","",INDEX('Cronograma R. Financiero'!$G$5:$G$1000,$N62))))</f>
        <v/>
      </c>
      <c r="G62" s="68">
        <f>IF($N62="","",IF($P62&gt;0,IF(2&lt;=SemanaActual,INDEX('Cronograma R. Financiero'!$Z$5:$Z$1000,$N62),""),IF(INDEX('Cronograma R. Financiero'!$H$5:$H$1000,$N62)="","",INDEX('Cronograma R. Financiero'!$H$5:$H$1000,$N62))))</f>
        <v/>
      </c>
      <c r="H62" s="68">
        <f>IF($N62="","",IF($P62&gt;0,IF(3&lt;=SemanaActual,INDEX('Cronograma R. Financiero'!$AA$5:$AA$1000,$N62),""),IF(INDEX('Cronograma R. Financiero'!$I$5:$I$1000,$N62)="","",INDEX('Cronograma R. Financiero'!$I$5:$I$1000,$N62))))</f>
        <v/>
      </c>
      <c r="I62" s="68">
        <f>IF($N62="","",IF($P62&gt;0,IF(4&lt;=SemanaActual,INDEX('Cronograma R. Financiero'!$AB$5:$AB$1000,$N62),""),IF(INDEX('Cronograma R. Financiero'!$J$5:$J$1000,$N62)="","",INDEX('Cronograma R. Financiero'!$J$5:$J$1000,$N62))))</f>
        <v/>
      </c>
      <c r="J62" s="68">
        <f>IF($N62="","",INDEX('Cronograma R. Financiero'!$K$5:$K$1000,$N62))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Financiero'!$M$5:$M$1000,$N62)&amp;"")</f>
        <v/>
      </c>
      <c r="M62" s="71">
        <f>IF($N62="","",INDEX('Cronograma R. Financiero'!$N$5:$N$1000,$N62)&amp;"")</f>
        <v/>
      </c>
      <c r="N62">
        <f>IFERROR(MATCH(ROW()-4,rOrden_RF,0),"")</f>
        <v/>
      </c>
      <c r="O62">
        <f>IF($N62="","",INDEX('Cronograma R. Financiero'!$S$5:$S$1000,$N62))</f>
        <v/>
      </c>
      <c r="P62">
        <f>IF($N62="","",N(INDEX('Cronograma R. Financiero'!$T$5:$T$1000,$N62)))</f>
        <v/>
      </c>
    </row>
    <row r="63">
      <c r="A63" s="62">
        <f>IF($N63="","",INDEX('Cronograma R. Financiero'!$A$5:$A$1000,$N63))</f>
        <v/>
      </c>
      <c r="B63" s="71">
        <f>IF($N63="","",IF($O63="Sub","      ↳  "&amp;INDEX('Cronograma R. Financiero'!$C$5:$C$1000,$N63),INDEX('Cronograma R. Financiero'!$C$5:$C$1000,$N63)&amp;""))</f>
        <v/>
      </c>
      <c r="C63" s="77">
        <f>IF($N63="","",IF(INDEX('Cronograma R. Financiero'!$D$5:$D$1000,$N63)="","",INDEX('Cronograma R. Financiero'!$D$5:$D$1000,$N63)))</f>
        <v/>
      </c>
      <c r="D63" s="77">
        <f>IF($N63="","",IF(INDEX('Cronograma R. Financiero'!$E$5:$E$1000,$N63)="","",INDEX('Cronograma R. Financiero'!$E$5:$E$1000,$N63)))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Financiero'!$Y$5:$Y$1000,$N63),""),IF(INDEX('Cronograma R. Financiero'!$G$5:$G$1000,$N63)="","",INDEX('Cronograma R. Financiero'!$G$5:$G$1000,$N63))))</f>
        <v/>
      </c>
      <c r="G63" s="68">
        <f>IF($N63="","",IF($P63&gt;0,IF(2&lt;=SemanaActual,INDEX('Cronograma R. Financiero'!$Z$5:$Z$1000,$N63),""),IF(INDEX('Cronograma R. Financiero'!$H$5:$H$1000,$N63)="","",INDEX('Cronograma R. Financiero'!$H$5:$H$1000,$N63))))</f>
        <v/>
      </c>
      <c r="H63" s="68">
        <f>IF($N63="","",IF($P63&gt;0,IF(3&lt;=SemanaActual,INDEX('Cronograma R. Financiero'!$AA$5:$AA$1000,$N63),""),IF(INDEX('Cronograma R. Financiero'!$I$5:$I$1000,$N63)="","",INDEX('Cronograma R. Financiero'!$I$5:$I$1000,$N63))))</f>
        <v/>
      </c>
      <c r="I63" s="68">
        <f>IF($N63="","",IF($P63&gt;0,IF(4&lt;=SemanaActual,INDEX('Cronograma R. Financiero'!$AB$5:$AB$1000,$N63),""),IF(INDEX('Cronograma R. Financiero'!$J$5:$J$1000,$N63)="","",INDEX('Cronograma R. Financiero'!$J$5:$J$1000,$N63))))</f>
        <v/>
      </c>
      <c r="J63" s="68">
        <f>IF($N63="","",INDEX('Cronograma R. Financiero'!$K$5:$K$1000,$N63))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Financiero'!$M$5:$M$1000,$N63)&amp;"")</f>
        <v/>
      </c>
      <c r="M63" s="71">
        <f>IF($N63="","",INDEX('Cronograma R. Financiero'!$N$5:$N$1000,$N63)&amp;"")</f>
        <v/>
      </c>
      <c r="N63">
        <f>IFERROR(MATCH(ROW()-4,rOrden_RF,0),"")</f>
        <v/>
      </c>
      <c r="O63">
        <f>IF($N63="","",INDEX('Cronograma R. Financiero'!$S$5:$S$1000,$N63))</f>
        <v/>
      </c>
      <c r="P63">
        <f>IF($N63="","",N(INDEX('Cronograma R. Financiero'!$T$5:$T$1000,$N63)))</f>
        <v/>
      </c>
    </row>
    <row r="64">
      <c r="A64" s="62">
        <f>IF($N64="","",INDEX('Cronograma R. Financiero'!$A$5:$A$1000,$N64))</f>
        <v/>
      </c>
      <c r="B64" s="71">
        <f>IF($N64="","",IF($O64="Sub","      ↳  "&amp;INDEX('Cronograma R. Financiero'!$C$5:$C$1000,$N64),INDEX('Cronograma R. Financiero'!$C$5:$C$1000,$N64)&amp;""))</f>
        <v/>
      </c>
      <c r="C64" s="77">
        <f>IF($N64="","",IF(INDEX('Cronograma R. Financiero'!$D$5:$D$1000,$N64)="","",INDEX('Cronograma R. Financiero'!$D$5:$D$1000,$N64)))</f>
        <v/>
      </c>
      <c r="D64" s="77">
        <f>IF($N64="","",IF(INDEX('Cronograma R. Financiero'!$E$5:$E$1000,$N64)="","",INDEX('Cronograma R. Financiero'!$E$5:$E$1000,$N64)))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Financiero'!$Y$5:$Y$1000,$N64),""),IF(INDEX('Cronograma R. Financiero'!$G$5:$G$1000,$N64)="","",INDEX('Cronograma R. Financiero'!$G$5:$G$1000,$N64))))</f>
        <v/>
      </c>
      <c r="G64" s="68">
        <f>IF($N64="","",IF($P64&gt;0,IF(2&lt;=SemanaActual,INDEX('Cronograma R. Financiero'!$Z$5:$Z$1000,$N64),""),IF(INDEX('Cronograma R. Financiero'!$H$5:$H$1000,$N64)="","",INDEX('Cronograma R. Financiero'!$H$5:$H$1000,$N64))))</f>
        <v/>
      </c>
      <c r="H64" s="68">
        <f>IF($N64="","",IF($P64&gt;0,IF(3&lt;=SemanaActual,INDEX('Cronograma R. Financiero'!$AA$5:$AA$1000,$N64),""),IF(INDEX('Cronograma R. Financiero'!$I$5:$I$1000,$N64)="","",INDEX('Cronograma R. Financiero'!$I$5:$I$1000,$N64))))</f>
        <v/>
      </c>
      <c r="I64" s="68">
        <f>IF($N64="","",IF($P64&gt;0,IF(4&lt;=SemanaActual,INDEX('Cronograma R. Financiero'!$AB$5:$AB$1000,$N64),""),IF(INDEX('Cronograma R. Financiero'!$J$5:$J$1000,$N64)="","",INDEX('Cronograma R. Financiero'!$J$5:$J$1000,$N64))))</f>
        <v/>
      </c>
      <c r="J64" s="68">
        <f>IF($N64="","",INDEX('Cronograma R. Financiero'!$K$5:$K$1000,$N64))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Financiero'!$M$5:$M$1000,$N64)&amp;"")</f>
        <v/>
      </c>
      <c r="M64" s="71">
        <f>IF($N64="","",INDEX('Cronograma R. Financiero'!$N$5:$N$1000,$N64)&amp;"")</f>
        <v/>
      </c>
      <c r="N64">
        <f>IFERROR(MATCH(ROW()-4,rOrden_RF,0),"")</f>
        <v/>
      </c>
      <c r="O64">
        <f>IF($N64="","",INDEX('Cronograma R. Financiero'!$S$5:$S$1000,$N64))</f>
        <v/>
      </c>
      <c r="P64">
        <f>IF($N64="","",N(INDEX('Cronograma R. Financiero'!$T$5:$T$1000,$N64)))</f>
        <v/>
      </c>
    </row>
    <row r="65">
      <c r="A65" s="62">
        <f>IF($N65="","",INDEX('Cronograma R. Financiero'!$A$5:$A$1000,$N65))</f>
        <v/>
      </c>
      <c r="B65" s="71">
        <f>IF($N65="","",IF($O65="Sub","      ↳  "&amp;INDEX('Cronograma R. Financiero'!$C$5:$C$1000,$N65),INDEX('Cronograma R. Financiero'!$C$5:$C$1000,$N65)&amp;""))</f>
        <v/>
      </c>
      <c r="C65" s="77">
        <f>IF($N65="","",IF(INDEX('Cronograma R. Financiero'!$D$5:$D$1000,$N65)="","",INDEX('Cronograma R. Financiero'!$D$5:$D$1000,$N65)))</f>
        <v/>
      </c>
      <c r="D65" s="77">
        <f>IF($N65="","",IF(INDEX('Cronograma R. Financiero'!$E$5:$E$1000,$N65)="","",INDEX('Cronograma R. Financiero'!$E$5:$E$1000,$N65)))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Financiero'!$Y$5:$Y$1000,$N65),""),IF(INDEX('Cronograma R. Financiero'!$G$5:$G$1000,$N65)="","",INDEX('Cronograma R. Financiero'!$G$5:$G$1000,$N65))))</f>
        <v/>
      </c>
      <c r="G65" s="68">
        <f>IF($N65="","",IF($P65&gt;0,IF(2&lt;=SemanaActual,INDEX('Cronograma R. Financiero'!$Z$5:$Z$1000,$N65),""),IF(INDEX('Cronograma R. Financiero'!$H$5:$H$1000,$N65)="","",INDEX('Cronograma R. Financiero'!$H$5:$H$1000,$N65))))</f>
        <v/>
      </c>
      <c r="H65" s="68">
        <f>IF($N65="","",IF($P65&gt;0,IF(3&lt;=SemanaActual,INDEX('Cronograma R. Financiero'!$AA$5:$AA$1000,$N65),""),IF(INDEX('Cronograma R. Financiero'!$I$5:$I$1000,$N65)="","",INDEX('Cronograma R. Financiero'!$I$5:$I$1000,$N65))))</f>
        <v/>
      </c>
      <c r="I65" s="68">
        <f>IF($N65="","",IF($P65&gt;0,IF(4&lt;=SemanaActual,INDEX('Cronograma R. Financiero'!$AB$5:$AB$1000,$N65),""),IF(INDEX('Cronograma R. Financiero'!$J$5:$J$1000,$N65)="","",INDEX('Cronograma R. Financiero'!$J$5:$J$1000,$N65))))</f>
        <v/>
      </c>
      <c r="J65" s="68">
        <f>IF($N65="","",INDEX('Cronograma R. Financiero'!$K$5:$K$1000,$N65))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Financiero'!$M$5:$M$1000,$N65)&amp;"")</f>
        <v/>
      </c>
      <c r="M65" s="71">
        <f>IF($N65="","",INDEX('Cronograma R. Financiero'!$N$5:$N$1000,$N65)&amp;"")</f>
        <v/>
      </c>
      <c r="N65">
        <f>IFERROR(MATCH(ROW()-4,rOrden_RF,0),"")</f>
        <v/>
      </c>
      <c r="O65">
        <f>IF($N65="","",INDEX('Cronograma R. Financiero'!$S$5:$S$1000,$N65))</f>
        <v/>
      </c>
      <c r="P65">
        <f>IF($N65="","",N(INDEX('Cronograma R. Financiero'!$T$5:$T$1000,$N65)))</f>
        <v/>
      </c>
    </row>
    <row r="66">
      <c r="A66" s="62">
        <f>IF($N66="","",INDEX('Cronograma R. Financiero'!$A$5:$A$1000,$N66))</f>
        <v/>
      </c>
      <c r="B66" s="71">
        <f>IF($N66="","",IF($O66="Sub","      ↳  "&amp;INDEX('Cronograma R. Financiero'!$C$5:$C$1000,$N66),INDEX('Cronograma R. Financiero'!$C$5:$C$1000,$N66)&amp;""))</f>
        <v/>
      </c>
      <c r="C66" s="77">
        <f>IF($N66="","",IF(INDEX('Cronograma R. Financiero'!$D$5:$D$1000,$N66)="","",INDEX('Cronograma R. Financiero'!$D$5:$D$1000,$N66)))</f>
        <v/>
      </c>
      <c r="D66" s="77">
        <f>IF($N66="","",IF(INDEX('Cronograma R. Financiero'!$E$5:$E$1000,$N66)="","",INDEX('Cronograma R. Financiero'!$E$5:$E$1000,$N66)))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Financiero'!$Y$5:$Y$1000,$N66),""),IF(INDEX('Cronograma R. Financiero'!$G$5:$G$1000,$N66)="","",INDEX('Cronograma R. Financiero'!$G$5:$G$1000,$N66))))</f>
        <v/>
      </c>
      <c r="G66" s="68">
        <f>IF($N66="","",IF($P66&gt;0,IF(2&lt;=SemanaActual,INDEX('Cronograma R. Financiero'!$Z$5:$Z$1000,$N66),""),IF(INDEX('Cronograma R. Financiero'!$H$5:$H$1000,$N66)="","",INDEX('Cronograma R. Financiero'!$H$5:$H$1000,$N66))))</f>
        <v/>
      </c>
      <c r="H66" s="68">
        <f>IF($N66="","",IF($P66&gt;0,IF(3&lt;=SemanaActual,INDEX('Cronograma R. Financiero'!$AA$5:$AA$1000,$N66),""),IF(INDEX('Cronograma R. Financiero'!$I$5:$I$1000,$N66)="","",INDEX('Cronograma R. Financiero'!$I$5:$I$1000,$N66))))</f>
        <v/>
      </c>
      <c r="I66" s="68">
        <f>IF($N66="","",IF($P66&gt;0,IF(4&lt;=SemanaActual,INDEX('Cronograma R. Financiero'!$AB$5:$AB$1000,$N66),""),IF(INDEX('Cronograma R. Financiero'!$J$5:$J$1000,$N66)="","",INDEX('Cronograma R. Financiero'!$J$5:$J$1000,$N66))))</f>
        <v/>
      </c>
      <c r="J66" s="68">
        <f>IF($N66="","",INDEX('Cronograma R. Financiero'!$K$5:$K$1000,$N66))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Financiero'!$M$5:$M$1000,$N66)&amp;"")</f>
        <v/>
      </c>
      <c r="M66" s="71">
        <f>IF($N66="","",INDEX('Cronograma R. Financiero'!$N$5:$N$1000,$N66)&amp;"")</f>
        <v/>
      </c>
      <c r="N66">
        <f>IFERROR(MATCH(ROW()-4,rOrden_RF,0),"")</f>
        <v/>
      </c>
      <c r="O66">
        <f>IF($N66="","",INDEX('Cronograma R. Financiero'!$S$5:$S$1000,$N66))</f>
        <v/>
      </c>
      <c r="P66">
        <f>IF($N66="","",N(INDEX('Cronograma R. Financiero'!$T$5:$T$1000,$N66)))</f>
        <v/>
      </c>
    </row>
    <row r="67">
      <c r="A67" s="62">
        <f>IF($N67="","",INDEX('Cronograma R. Financiero'!$A$5:$A$1000,$N67))</f>
        <v/>
      </c>
      <c r="B67" s="71">
        <f>IF($N67="","",IF($O67="Sub","      ↳  "&amp;INDEX('Cronograma R. Financiero'!$C$5:$C$1000,$N67),INDEX('Cronograma R. Financiero'!$C$5:$C$1000,$N67)&amp;""))</f>
        <v/>
      </c>
      <c r="C67" s="77">
        <f>IF($N67="","",IF(INDEX('Cronograma R. Financiero'!$D$5:$D$1000,$N67)="","",INDEX('Cronograma R. Financiero'!$D$5:$D$1000,$N67)))</f>
        <v/>
      </c>
      <c r="D67" s="77">
        <f>IF($N67="","",IF(INDEX('Cronograma R. Financiero'!$E$5:$E$1000,$N67)="","",INDEX('Cronograma R. Financiero'!$E$5:$E$1000,$N67)))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Financiero'!$Y$5:$Y$1000,$N67),""),IF(INDEX('Cronograma R. Financiero'!$G$5:$G$1000,$N67)="","",INDEX('Cronograma R. Financiero'!$G$5:$G$1000,$N67))))</f>
        <v/>
      </c>
      <c r="G67" s="68">
        <f>IF($N67="","",IF($P67&gt;0,IF(2&lt;=SemanaActual,INDEX('Cronograma R. Financiero'!$Z$5:$Z$1000,$N67),""),IF(INDEX('Cronograma R. Financiero'!$H$5:$H$1000,$N67)="","",INDEX('Cronograma R. Financiero'!$H$5:$H$1000,$N67))))</f>
        <v/>
      </c>
      <c r="H67" s="68">
        <f>IF($N67="","",IF($P67&gt;0,IF(3&lt;=SemanaActual,INDEX('Cronograma R. Financiero'!$AA$5:$AA$1000,$N67),""),IF(INDEX('Cronograma R. Financiero'!$I$5:$I$1000,$N67)="","",INDEX('Cronograma R. Financiero'!$I$5:$I$1000,$N67))))</f>
        <v/>
      </c>
      <c r="I67" s="68">
        <f>IF($N67="","",IF($P67&gt;0,IF(4&lt;=SemanaActual,INDEX('Cronograma R. Financiero'!$AB$5:$AB$1000,$N67),""),IF(INDEX('Cronograma R. Financiero'!$J$5:$J$1000,$N67)="","",INDEX('Cronograma R. Financiero'!$J$5:$J$1000,$N67))))</f>
        <v/>
      </c>
      <c r="J67" s="68">
        <f>IF($N67="","",INDEX('Cronograma R. Financiero'!$K$5:$K$1000,$N67))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Financiero'!$M$5:$M$1000,$N67)&amp;"")</f>
        <v/>
      </c>
      <c r="M67" s="71">
        <f>IF($N67="","",INDEX('Cronograma R. Financiero'!$N$5:$N$1000,$N67)&amp;"")</f>
        <v/>
      </c>
      <c r="N67">
        <f>IFERROR(MATCH(ROW()-4,rOrden_RF,0),"")</f>
        <v/>
      </c>
      <c r="O67">
        <f>IF($N67="","",INDEX('Cronograma R. Financiero'!$S$5:$S$1000,$N67))</f>
        <v/>
      </c>
      <c r="P67">
        <f>IF($N67="","",N(INDEX('Cronograma R. Financiero'!$T$5:$T$1000,$N67)))</f>
        <v/>
      </c>
    </row>
    <row r="68">
      <c r="A68" s="62">
        <f>IF($N68="","",INDEX('Cronograma R. Financiero'!$A$5:$A$1000,$N68))</f>
        <v/>
      </c>
      <c r="B68" s="71">
        <f>IF($N68="","",IF($O68="Sub","      ↳  "&amp;INDEX('Cronograma R. Financiero'!$C$5:$C$1000,$N68),INDEX('Cronograma R. Financiero'!$C$5:$C$1000,$N68)&amp;""))</f>
        <v/>
      </c>
      <c r="C68" s="77">
        <f>IF($N68="","",IF(INDEX('Cronograma R. Financiero'!$D$5:$D$1000,$N68)="","",INDEX('Cronograma R. Financiero'!$D$5:$D$1000,$N68)))</f>
        <v/>
      </c>
      <c r="D68" s="77">
        <f>IF($N68="","",IF(INDEX('Cronograma R. Financiero'!$E$5:$E$1000,$N68)="","",INDEX('Cronograma R. Financiero'!$E$5:$E$1000,$N68)))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Financiero'!$Y$5:$Y$1000,$N68),""),IF(INDEX('Cronograma R. Financiero'!$G$5:$G$1000,$N68)="","",INDEX('Cronograma R. Financiero'!$G$5:$G$1000,$N68))))</f>
        <v/>
      </c>
      <c r="G68" s="68">
        <f>IF($N68="","",IF($P68&gt;0,IF(2&lt;=SemanaActual,INDEX('Cronograma R. Financiero'!$Z$5:$Z$1000,$N68),""),IF(INDEX('Cronograma R. Financiero'!$H$5:$H$1000,$N68)="","",INDEX('Cronograma R. Financiero'!$H$5:$H$1000,$N68))))</f>
        <v/>
      </c>
      <c r="H68" s="68">
        <f>IF($N68="","",IF($P68&gt;0,IF(3&lt;=SemanaActual,INDEX('Cronograma R. Financiero'!$AA$5:$AA$1000,$N68),""),IF(INDEX('Cronograma R. Financiero'!$I$5:$I$1000,$N68)="","",INDEX('Cronograma R. Financiero'!$I$5:$I$1000,$N68))))</f>
        <v/>
      </c>
      <c r="I68" s="68">
        <f>IF($N68="","",IF($P68&gt;0,IF(4&lt;=SemanaActual,INDEX('Cronograma R. Financiero'!$AB$5:$AB$1000,$N68),""),IF(INDEX('Cronograma R. Financiero'!$J$5:$J$1000,$N68)="","",INDEX('Cronograma R. Financiero'!$J$5:$J$1000,$N68))))</f>
        <v/>
      </c>
      <c r="J68" s="68">
        <f>IF($N68="","",INDEX('Cronograma R. Financiero'!$K$5:$K$1000,$N68))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Financiero'!$M$5:$M$1000,$N68)&amp;"")</f>
        <v/>
      </c>
      <c r="M68" s="71">
        <f>IF($N68="","",INDEX('Cronograma R. Financiero'!$N$5:$N$1000,$N68)&amp;"")</f>
        <v/>
      </c>
      <c r="N68">
        <f>IFERROR(MATCH(ROW()-4,rOrden_RF,0),"")</f>
        <v/>
      </c>
      <c r="O68">
        <f>IF($N68="","",INDEX('Cronograma R. Financiero'!$S$5:$S$1000,$N68))</f>
        <v/>
      </c>
      <c r="P68">
        <f>IF($N68="","",N(INDEX('Cronograma R. Financiero'!$T$5:$T$1000,$N68)))</f>
        <v/>
      </c>
    </row>
    <row r="69">
      <c r="A69" s="62">
        <f>IF($N69="","",INDEX('Cronograma R. Financiero'!$A$5:$A$1000,$N69))</f>
        <v/>
      </c>
      <c r="B69" s="71">
        <f>IF($N69="","",IF($O69="Sub","      ↳  "&amp;INDEX('Cronograma R. Financiero'!$C$5:$C$1000,$N69),INDEX('Cronograma R. Financiero'!$C$5:$C$1000,$N69)&amp;""))</f>
        <v/>
      </c>
      <c r="C69" s="77">
        <f>IF($N69="","",IF(INDEX('Cronograma R. Financiero'!$D$5:$D$1000,$N69)="","",INDEX('Cronograma R. Financiero'!$D$5:$D$1000,$N69)))</f>
        <v/>
      </c>
      <c r="D69" s="77">
        <f>IF($N69="","",IF(INDEX('Cronograma R. Financiero'!$E$5:$E$1000,$N69)="","",INDEX('Cronograma R. Financiero'!$E$5:$E$1000,$N69)))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Financiero'!$Y$5:$Y$1000,$N69),""),IF(INDEX('Cronograma R. Financiero'!$G$5:$G$1000,$N69)="","",INDEX('Cronograma R. Financiero'!$G$5:$G$1000,$N69))))</f>
        <v/>
      </c>
      <c r="G69" s="68">
        <f>IF($N69="","",IF($P69&gt;0,IF(2&lt;=SemanaActual,INDEX('Cronograma R. Financiero'!$Z$5:$Z$1000,$N69),""),IF(INDEX('Cronograma R. Financiero'!$H$5:$H$1000,$N69)="","",INDEX('Cronograma R. Financiero'!$H$5:$H$1000,$N69))))</f>
        <v/>
      </c>
      <c r="H69" s="68">
        <f>IF($N69="","",IF($P69&gt;0,IF(3&lt;=SemanaActual,INDEX('Cronograma R. Financiero'!$AA$5:$AA$1000,$N69),""),IF(INDEX('Cronograma R. Financiero'!$I$5:$I$1000,$N69)="","",INDEX('Cronograma R. Financiero'!$I$5:$I$1000,$N69))))</f>
        <v/>
      </c>
      <c r="I69" s="68">
        <f>IF($N69="","",IF($P69&gt;0,IF(4&lt;=SemanaActual,INDEX('Cronograma R. Financiero'!$AB$5:$AB$1000,$N69),""),IF(INDEX('Cronograma R. Financiero'!$J$5:$J$1000,$N69)="","",INDEX('Cronograma R. Financiero'!$J$5:$J$1000,$N69))))</f>
        <v/>
      </c>
      <c r="J69" s="68">
        <f>IF($N69="","",INDEX('Cronograma R. Financiero'!$K$5:$K$1000,$N69))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Financiero'!$M$5:$M$1000,$N69)&amp;"")</f>
        <v/>
      </c>
      <c r="M69" s="71">
        <f>IF($N69="","",INDEX('Cronograma R. Financiero'!$N$5:$N$1000,$N69)&amp;"")</f>
        <v/>
      </c>
      <c r="N69">
        <f>IFERROR(MATCH(ROW()-4,rOrden_RF,0),"")</f>
        <v/>
      </c>
      <c r="O69">
        <f>IF($N69="","",INDEX('Cronograma R. Financiero'!$S$5:$S$1000,$N69))</f>
        <v/>
      </c>
      <c r="P69">
        <f>IF($N69="","",N(INDEX('Cronograma R. Financiero'!$T$5:$T$1000,$N69)))</f>
        <v/>
      </c>
    </row>
    <row r="70">
      <c r="A70" s="62">
        <f>IF($N70="","",INDEX('Cronograma R. Financiero'!$A$5:$A$1000,$N70))</f>
        <v/>
      </c>
      <c r="B70" s="71">
        <f>IF($N70="","",IF($O70="Sub","      ↳  "&amp;INDEX('Cronograma R. Financiero'!$C$5:$C$1000,$N70),INDEX('Cronograma R. Financiero'!$C$5:$C$1000,$N70)&amp;""))</f>
        <v/>
      </c>
      <c r="C70" s="77">
        <f>IF($N70="","",IF(INDEX('Cronograma R. Financiero'!$D$5:$D$1000,$N70)="","",INDEX('Cronograma R. Financiero'!$D$5:$D$1000,$N70)))</f>
        <v/>
      </c>
      <c r="D70" s="77">
        <f>IF($N70="","",IF(INDEX('Cronograma R. Financiero'!$E$5:$E$1000,$N70)="","",INDEX('Cronograma R. Financiero'!$E$5:$E$1000,$N70)))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Financiero'!$Y$5:$Y$1000,$N70),""),IF(INDEX('Cronograma R. Financiero'!$G$5:$G$1000,$N70)="","",INDEX('Cronograma R. Financiero'!$G$5:$G$1000,$N70))))</f>
        <v/>
      </c>
      <c r="G70" s="68">
        <f>IF($N70="","",IF($P70&gt;0,IF(2&lt;=SemanaActual,INDEX('Cronograma R. Financiero'!$Z$5:$Z$1000,$N70),""),IF(INDEX('Cronograma R. Financiero'!$H$5:$H$1000,$N70)="","",INDEX('Cronograma R. Financiero'!$H$5:$H$1000,$N70))))</f>
        <v/>
      </c>
      <c r="H70" s="68">
        <f>IF($N70="","",IF($P70&gt;0,IF(3&lt;=SemanaActual,INDEX('Cronograma R. Financiero'!$AA$5:$AA$1000,$N70),""),IF(INDEX('Cronograma R. Financiero'!$I$5:$I$1000,$N70)="","",INDEX('Cronograma R. Financiero'!$I$5:$I$1000,$N70))))</f>
        <v/>
      </c>
      <c r="I70" s="68">
        <f>IF($N70="","",IF($P70&gt;0,IF(4&lt;=SemanaActual,INDEX('Cronograma R. Financiero'!$AB$5:$AB$1000,$N70),""),IF(INDEX('Cronograma R. Financiero'!$J$5:$J$1000,$N70)="","",INDEX('Cronograma R. Financiero'!$J$5:$J$1000,$N70))))</f>
        <v/>
      </c>
      <c r="J70" s="68">
        <f>IF($N70="","",INDEX('Cronograma R. Financiero'!$K$5:$K$1000,$N70))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Financiero'!$M$5:$M$1000,$N70)&amp;"")</f>
        <v/>
      </c>
      <c r="M70" s="71">
        <f>IF($N70="","",INDEX('Cronograma R. Financiero'!$N$5:$N$1000,$N70)&amp;"")</f>
        <v/>
      </c>
      <c r="N70">
        <f>IFERROR(MATCH(ROW()-4,rOrden_RF,0),"")</f>
        <v/>
      </c>
      <c r="O70">
        <f>IF($N70="","",INDEX('Cronograma R. Financiero'!$S$5:$S$1000,$N70))</f>
        <v/>
      </c>
      <c r="P70">
        <f>IF($N70="","",N(INDEX('Cronograma R. Financiero'!$T$5:$T$1000,$N70)))</f>
        <v/>
      </c>
    </row>
    <row r="71">
      <c r="A71" s="62">
        <f>IF($N71="","",INDEX('Cronograma R. Financiero'!$A$5:$A$1000,$N71))</f>
        <v/>
      </c>
      <c r="B71" s="71">
        <f>IF($N71="","",IF($O71="Sub","      ↳  "&amp;INDEX('Cronograma R. Financiero'!$C$5:$C$1000,$N71),INDEX('Cronograma R. Financiero'!$C$5:$C$1000,$N71)&amp;""))</f>
        <v/>
      </c>
      <c r="C71" s="77">
        <f>IF($N71="","",IF(INDEX('Cronograma R. Financiero'!$D$5:$D$1000,$N71)="","",INDEX('Cronograma R. Financiero'!$D$5:$D$1000,$N71)))</f>
        <v/>
      </c>
      <c r="D71" s="77">
        <f>IF($N71="","",IF(INDEX('Cronograma R. Financiero'!$E$5:$E$1000,$N71)="","",INDEX('Cronograma R. Financiero'!$E$5:$E$1000,$N71)))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Financiero'!$Y$5:$Y$1000,$N71),""),IF(INDEX('Cronograma R. Financiero'!$G$5:$G$1000,$N71)="","",INDEX('Cronograma R. Financiero'!$G$5:$G$1000,$N71))))</f>
        <v/>
      </c>
      <c r="G71" s="68">
        <f>IF($N71="","",IF($P71&gt;0,IF(2&lt;=SemanaActual,INDEX('Cronograma R. Financiero'!$Z$5:$Z$1000,$N71),""),IF(INDEX('Cronograma R. Financiero'!$H$5:$H$1000,$N71)="","",INDEX('Cronograma R. Financiero'!$H$5:$H$1000,$N71))))</f>
        <v/>
      </c>
      <c r="H71" s="68">
        <f>IF($N71="","",IF($P71&gt;0,IF(3&lt;=SemanaActual,INDEX('Cronograma R. Financiero'!$AA$5:$AA$1000,$N71),""),IF(INDEX('Cronograma R. Financiero'!$I$5:$I$1000,$N71)="","",INDEX('Cronograma R. Financiero'!$I$5:$I$1000,$N71))))</f>
        <v/>
      </c>
      <c r="I71" s="68">
        <f>IF($N71="","",IF($P71&gt;0,IF(4&lt;=SemanaActual,INDEX('Cronograma R. Financiero'!$AB$5:$AB$1000,$N71),""),IF(INDEX('Cronograma R. Financiero'!$J$5:$J$1000,$N71)="","",INDEX('Cronograma R. Financiero'!$J$5:$J$1000,$N71))))</f>
        <v/>
      </c>
      <c r="J71" s="68">
        <f>IF($N71="","",INDEX('Cronograma R. Financiero'!$K$5:$K$1000,$N71))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Financiero'!$M$5:$M$1000,$N71)&amp;"")</f>
        <v/>
      </c>
      <c r="M71" s="71">
        <f>IF($N71="","",INDEX('Cronograma R. Financiero'!$N$5:$N$1000,$N71)&amp;"")</f>
        <v/>
      </c>
      <c r="N71">
        <f>IFERROR(MATCH(ROW()-4,rOrden_RF,0),"")</f>
        <v/>
      </c>
      <c r="O71">
        <f>IF($N71="","",INDEX('Cronograma R. Financiero'!$S$5:$S$1000,$N71))</f>
        <v/>
      </c>
      <c r="P71">
        <f>IF($N71="","",N(INDEX('Cronograma R. Financiero'!$T$5:$T$1000,$N71)))</f>
        <v/>
      </c>
    </row>
    <row r="72">
      <c r="A72" s="62">
        <f>IF($N72="","",INDEX('Cronograma R. Financiero'!$A$5:$A$1000,$N72))</f>
        <v/>
      </c>
      <c r="B72" s="71">
        <f>IF($N72="","",IF($O72="Sub","      ↳  "&amp;INDEX('Cronograma R. Financiero'!$C$5:$C$1000,$N72),INDEX('Cronograma R. Financiero'!$C$5:$C$1000,$N72)&amp;""))</f>
        <v/>
      </c>
      <c r="C72" s="77">
        <f>IF($N72="","",IF(INDEX('Cronograma R. Financiero'!$D$5:$D$1000,$N72)="","",INDEX('Cronograma R. Financiero'!$D$5:$D$1000,$N72)))</f>
        <v/>
      </c>
      <c r="D72" s="77">
        <f>IF($N72="","",IF(INDEX('Cronograma R. Financiero'!$E$5:$E$1000,$N72)="","",INDEX('Cronograma R. Financiero'!$E$5:$E$1000,$N72)))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Financiero'!$Y$5:$Y$1000,$N72),""),IF(INDEX('Cronograma R. Financiero'!$G$5:$G$1000,$N72)="","",INDEX('Cronograma R. Financiero'!$G$5:$G$1000,$N72))))</f>
        <v/>
      </c>
      <c r="G72" s="68">
        <f>IF($N72="","",IF($P72&gt;0,IF(2&lt;=SemanaActual,INDEX('Cronograma R. Financiero'!$Z$5:$Z$1000,$N72),""),IF(INDEX('Cronograma R. Financiero'!$H$5:$H$1000,$N72)="","",INDEX('Cronograma R. Financiero'!$H$5:$H$1000,$N72))))</f>
        <v/>
      </c>
      <c r="H72" s="68">
        <f>IF($N72="","",IF($P72&gt;0,IF(3&lt;=SemanaActual,INDEX('Cronograma R. Financiero'!$AA$5:$AA$1000,$N72),""),IF(INDEX('Cronograma R. Financiero'!$I$5:$I$1000,$N72)="","",INDEX('Cronograma R. Financiero'!$I$5:$I$1000,$N72))))</f>
        <v/>
      </c>
      <c r="I72" s="68">
        <f>IF($N72="","",IF($P72&gt;0,IF(4&lt;=SemanaActual,INDEX('Cronograma R. Financiero'!$AB$5:$AB$1000,$N72),""),IF(INDEX('Cronograma R. Financiero'!$J$5:$J$1000,$N72)="","",INDEX('Cronograma R. Financiero'!$J$5:$J$1000,$N72))))</f>
        <v/>
      </c>
      <c r="J72" s="68">
        <f>IF($N72="","",INDEX('Cronograma R. Financiero'!$K$5:$K$1000,$N72))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Financiero'!$M$5:$M$1000,$N72)&amp;"")</f>
        <v/>
      </c>
      <c r="M72" s="71">
        <f>IF($N72="","",INDEX('Cronograma R. Financiero'!$N$5:$N$1000,$N72)&amp;"")</f>
        <v/>
      </c>
      <c r="N72">
        <f>IFERROR(MATCH(ROW()-4,rOrden_RF,0),"")</f>
        <v/>
      </c>
      <c r="O72">
        <f>IF($N72="","",INDEX('Cronograma R. Financiero'!$S$5:$S$1000,$N72))</f>
        <v/>
      </c>
      <c r="P72">
        <f>IF($N72="","",N(INDEX('Cronograma R. Financiero'!$T$5:$T$1000,$N72)))</f>
        <v/>
      </c>
    </row>
    <row r="73">
      <c r="A73" s="62">
        <f>IF($N73="","",INDEX('Cronograma R. Financiero'!$A$5:$A$1000,$N73))</f>
        <v/>
      </c>
      <c r="B73" s="71">
        <f>IF($N73="","",IF($O73="Sub","      ↳  "&amp;INDEX('Cronograma R. Financiero'!$C$5:$C$1000,$N73),INDEX('Cronograma R. Financiero'!$C$5:$C$1000,$N73)&amp;""))</f>
        <v/>
      </c>
      <c r="C73" s="77">
        <f>IF($N73="","",IF(INDEX('Cronograma R. Financiero'!$D$5:$D$1000,$N73)="","",INDEX('Cronograma R. Financiero'!$D$5:$D$1000,$N73)))</f>
        <v/>
      </c>
      <c r="D73" s="77">
        <f>IF($N73="","",IF(INDEX('Cronograma R. Financiero'!$E$5:$E$1000,$N73)="","",INDEX('Cronograma R. Financiero'!$E$5:$E$1000,$N73)))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Financiero'!$Y$5:$Y$1000,$N73),""),IF(INDEX('Cronograma R. Financiero'!$G$5:$G$1000,$N73)="","",INDEX('Cronograma R. Financiero'!$G$5:$G$1000,$N73))))</f>
        <v/>
      </c>
      <c r="G73" s="68">
        <f>IF($N73="","",IF($P73&gt;0,IF(2&lt;=SemanaActual,INDEX('Cronograma R. Financiero'!$Z$5:$Z$1000,$N73),""),IF(INDEX('Cronograma R. Financiero'!$H$5:$H$1000,$N73)="","",INDEX('Cronograma R. Financiero'!$H$5:$H$1000,$N73))))</f>
        <v/>
      </c>
      <c r="H73" s="68">
        <f>IF($N73="","",IF($P73&gt;0,IF(3&lt;=SemanaActual,INDEX('Cronograma R. Financiero'!$AA$5:$AA$1000,$N73),""),IF(INDEX('Cronograma R. Financiero'!$I$5:$I$1000,$N73)="","",INDEX('Cronograma R. Financiero'!$I$5:$I$1000,$N73))))</f>
        <v/>
      </c>
      <c r="I73" s="68">
        <f>IF($N73="","",IF($P73&gt;0,IF(4&lt;=SemanaActual,INDEX('Cronograma R. Financiero'!$AB$5:$AB$1000,$N73),""),IF(INDEX('Cronograma R. Financiero'!$J$5:$J$1000,$N73)="","",INDEX('Cronograma R. Financiero'!$J$5:$J$1000,$N73))))</f>
        <v/>
      </c>
      <c r="J73" s="68">
        <f>IF($N73="","",INDEX('Cronograma R. Financiero'!$K$5:$K$1000,$N73))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Financiero'!$M$5:$M$1000,$N73)&amp;"")</f>
        <v/>
      </c>
      <c r="M73" s="71">
        <f>IF($N73="","",INDEX('Cronograma R. Financiero'!$N$5:$N$1000,$N73)&amp;"")</f>
        <v/>
      </c>
      <c r="N73">
        <f>IFERROR(MATCH(ROW()-4,rOrden_RF,0),"")</f>
        <v/>
      </c>
      <c r="O73">
        <f>IF($N73="","",INDEX('Cronograma R. Financiero'!$S$5:$S$1000,$N73))</f>
        <v/>
      </c>
      <c r="P73">
        <f>IF($N73="","",N(INDEX('Cronograma R. Financiero'!$T$5:$T$1000,$N73)))</f>
        <v/>
      </c>
    </row>
    <row r="74">
      <c r="A74" s="62">
        <f>IF($N74="","",INDEX('Cronograma R. Financiero'!$A$5:$A$1000,$N74))</f>
        <v/>
      </c>
      <c r="B74" s="71">
        <f>IF($N74="","",IF($O74="Sub","      ↳  "&amp;INDEX('Cronograma R. Financiero'!$C$5:$C$1000,$N74),INDEX('Cronograma R. Financiero'!$C$5:$C$1000,$N74)&amp;""))</f>
        <v/>
      </c>
      <c r="C74" s="77">
        <f>IF($N74="","",IF(INDEX('Cronograma R. Financiero'!$D$5:$D$1000,$N74)="","",INDEX('Cronograma R. Financiero'!$D$5:$D$1000,$N74)))</f>
        <v/>
      </c>
      <c r="D74" s="77">
        <f>IF($N74="","",IF(INDEX('Cronograma R. Financiero'!$E$5:$E$1000,$N74)="","",INDEX('Cronograma R. Financiero'!$E$5:$E$1000,$N74)))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Financiero'!$Y$5:$Y$1000,$N74),""),IF(INDEX('Cronograma R. Financiero'!$G$5:$G$1000,$N74)="","",INDEX('Cronograma R. Financiero'!$G$5:$G$1000,$N74))))</f>
        <v/>
      </c>
      <c r="G74" s="68">
        <f>IF($N74="","",IF($P74&gt;0,IF(2&lt;=SemanaActual,INDEX('Cronograma R. Financiero'!$Z$5:$Z$1000,$N74),""),IF(INDEX('Cronograma R. Financiero'!$H$5:$H$1000,$N74)="","",INDEX('Cronograma R. Financiero'!$H$5:$H$1000,$N74))))</f>
        <v/>
      </c>
      <c r="H74" s="68">
        <f>IF($N74="","",IF($P74&gt;0,IF(3&lt;=SemanaActual,INDEX('Cronograma R. Financiero'!$AA$5:$AA$1000,$N74),""),IF(INDEX('Cronograma R. Financiero'!$I$5:$I$1000,$N74)="","",INDEX('Cronograma R. Financiero'!$I$5:$I$1000,$N74))))</f>
        <v/>
      </c>
      <c r="I74" s="68">
        <f>IF($N74="","",IF($P74&gt;0,IF(4&lt;=SemanaActual,INDEX('Cronograma R. Financiero'!$AB$5:$AB$1000,$N74),""),IF(INDEX('Cronograma R. Financiero'!$J$5:$J$1000,$N74)="","",INDEX('Cronograma R. Financiero'!$J$5:$J$1000,$N74))))</f>
        <v/>
      </c>
      <c r="J74" s="68">
        <f>IF($N74="","",INDEX('Cronograma R. Financiero'!$K$5:$K$1000,$N74))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Financiero'!$M$5:$M$1000,$N74)&amp;"")</f>
        <v/>
      </c>
      <c r="M74" s="71">
        <f>IF($N74="","",INDEX('Cronograma R. Financiero'!$N$5:$N$1000,$N74)&amp;"")</f>
        <v/>
      </c>
      <c r="N74">
        <f>IFERROR(MATCH(ROW()-4,rOrden_RF,0),"")</f>
        <v/>
      </c>
      <c r="O74">
        <f>IF($N74="","",INDEX('Cronograma R. Financiero'!$S$5:$S$1000,$N74))</f>
        <v/>
      </c>
      <c r="P74">
        <f>IF($N74="","",N(INDEX('Cronograma R. Financiero'!$T$5:$T$1000,$N74)))</f>
        <v/>
      </c>
    </row>
    <row r="75">
      <c r="A75" s="62">
        <f>IF($N75="","",INDEX('Cronograma R. Financiero'!$A$5:$A$1000,$N75))</f>
        <v/>
      </c>
      <c r="B75" s="71">
        <f>IF($N75="","",IF($O75="Sub","      ↳  "&amp;INDEX('Cronograma R. Financiero'!$C$5:$C$1000,$N75),INDEX('Cronograma R. Financiero'!$C$5:$C$1000,$N75)&amp;""))</f>
        <v/>
      </c>
      <c r="C75" s="77">
        <f>IF($N75="","",IF(INDEX('Cronograma R. Financiero'!$D$5:$D$1000,$N75)="","",INDEX('Cronograma R. Financiero'!$D$5:$D$1000,$N75)))</f>
        <v/>
      </c>
      <c r="D75" s="77">
        <f>IF($N75="","",IF(INDEX('Cronograma R. Financiero'!$E$5:$E$1000,$N75)="","",INDEX('Cronograma R. Financiero'!$E$5:$E$1000,$N75)))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Financiero'!$Y$5:$Y$1000,$N75),""),IF(INDEX('Cronograma R. Financiero'!$G$5:$G$1000,$N75)="","",INDEX('Cronograma R. Financiero'!$G$5:$G$1000,$N75))))</f>
        <v/>
      </c>
      <c r="G75" s="68">
        <f>IF($N75="","",IF($P75&gt;0,IF(2&lt;=SemanaActual,INDEX('Cronograma R. Financiero'!$Z$5:$Z$1000,$N75),""),IF(INDEX('Cronograma R. Financiero'!$H$5:$H$1000,$N75)="","",INDEX('Cronograma R. Financiero'!$H$5:$H$1000,$N75))))</f>
        <v/>
      </c>
      <c r="H75" s="68">
        <f>IF($N75="","",IF($P75&gt;0,IF(3&lt;=SemanaActual,INDEX('Cronograma R. Financiero'!$AA$5:$AA$1000,$N75),""),IF(INDEX('Cronograma R. Financiero'!$I$5:$I$1000,$N75)="","",INDEX('Cronograma R. Financiero'!$I$5:$I$1000,$N75))))</f>
        <v/>
      </c>
      <c r="I75" s="68">
        <f>IF($N75="","",IF($P75&gt;0,IF(4&lt;=SemanaActual,INDEX('Cronograma R. Financiero'!$AB$5:$AB$1000,$N75),""),IF(INDEX('Cronograma R. Financiero'!$J$5:$J$1000,$N75)="","",INDEX('Cronograma R. Financiero'!$J$5:$J$1000,$N75))))</f>
        <v/>
      </c>
      <c r="J75" s="68">
        <f>IF($N75="","",INDEX('Cronograma R. Financiero'!$K$5:$K$1000,$N75))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Financiero'!$M$5:$M$1000,$N75)&amp;"")</f>
        <v/>
      </c>
      <c r="M75" s="71">
        <f>IF($N75="","",INDEX('Cronograma R. Financiero'!$N$5:$N$1000,$N75)&amp;"")</f>
        <v/>
      </c>
      <c r="N75">
        <f>IFERROR(MATCH(ROW()-4,rOrden_RF,0),"")</f>
        <v/>
      </c>
      <c r="O75">
        <f>IF($N75="","",INDEX('Cronograma R. Financiero'!$S$5:$S$1000,$N75))</f>
        <v/>
      </c>
      <c r="P75">
        <f>IF($N75="","",N(INDEX('Cronograma R. Financiero'!$T$5:$T$1000,$N75)))</f>
        <v/>
      </c>
    </row>
    <row r="76">
      <c r="A76" s="62">
        <f>IF($N76="","",INDEX('Cronograma R. Financiero'!$A$5:$A$1000,$N76))</f>
        <v/>
      </c>
      <c r="B76" s="71">
        <f>IF($N76="","",IF($O76="Sub","      ↳  "&amp;INDEX('Cronograma R. Financiero'!$C$5:$C$1000,$N76),INDEX('Cronograma R. Financiero'!$C$5:$C$1000,$N76)&amp;""))</f>
        <v/>
      </c>
      <c r="C76" s="77">
        <f>IF($N76="","",IF(INDEX('Cronograma R. Financiero'!$D$5:$D$1000,$N76)="","",INDEX('Cronograma R. Financiero'!$D$5:$D$1000,$N76)))</f>
        <v/>
      </c>
      <c r="D76" s="77">
        <f>IF($N76="","",IF(INDEX('Cronograma R. Financiero'!$E$5:$E$1000,$N76)="","",INDEX('Cronograma R. Financiero'!$E$5:$E$1000,$N76)))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Financiero'!$Y$5:$Y$1000,$N76),""),IF(INDEX('Cronograma R. Financiero'!$G$5:$G$1000,$N76)="","",INDEX('Cronograma R. Financiero'!$G$5:$G$1000,$N76))))</f>
        <v/>
      </c>
      <c r="G76" s="68">
        <f>IF($N76="","",IF($P76&gt;0,IF(2&lt;=SemanaActual,INDEX('Cronograma R. Financiero'!$Z$5:$Z$1000,$N76),""),IF(INDEX('Cronograma R. Financiero'!$H$5:$H$1000,$N76)="","",INDEX('Cronograma R. Financiero'!$H$5:$H$1000,$N76))))</f>
        <v/>
      </c>
      <c r="H76" s="68">
        <f>IF($N76="","",IF($P76&gt;0,IF(3&lt;=SemanaActual,INDEX('Cronograma R. Financiero'!$AA$5:$AA$1000,$N76),""),IF(INDEX('Cronograma R. Financiero'!$I$5:$I$1000,$N76)="","",INDEX('Cronograma R. Financiero'!$I$5:$I$1000,$N76))))</f>
        <v/>
      </c>
      <c r="I76" s="68">
        <f>IF($N76="","",IF($P76&gt;0,IF(4&lt;=SemanaActual,INDEX('Cronograma R. Financiero'!$AB$5:$AB$1000,$N76),""),IF(INDEX('Cronograma R. Financiero'!$J$5:$J$1000,$N76)="","",INDEX('Cronograma R. Financiero'!$J$5:$J$1000,$N76))))</f>
        <v/>
      </c>
      <c r="J76" s="68">
        <f>IF($N76="","",INDEX('Cronograma R. Financiero'!$K$5:$K$1000,$N76))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Financiero'!$M$5:$M$1000,$N76)&amp;"")</f>
        <v/>
      </c>
      <c r="M76" s="71">
        <f>IF($N76="","",INDEX('Cronograma R. Financiero'!$N$5:$N$1000,$N76)&amp;"")</f>
        <v/>
      </c>
      <c r="N76">
        <f>IFERROR(MATCH(ROW()-4,rOrden_RF,0),"")</f>
        <v/>
      </c>
      <c r="O76">
        <f>IF($N76="","",INDEX('Cronograma R. Financiero'!$S$5:$S$1000,$N76))</f>
        <v/>
      </c>
      <c r="P76">
        <f>IF($N76="","",N(INDEX('Cronograma R. Financiero'!$T$5:$T$1000,$N76)))</f>
        <v/>
      </c>
    </row>
    <row r="77">
      <c r="A77" s="62">
        <f>IF($N77="","",INDEX('Cronograma R. Financiero'!$A$5:$A$1000,$N77))</f>
        <v/>
      </c>
      <c r="B77" s="71">
        <f>IF($N77="","",IF($O77="Sub","      ↳  "&amp;INDEX('Cronograma R. Financiero'!$C$5:$C$1000,$N77),INDEX('Cronograma R. Financiero'!$C$5:$C$1000,$N77)&amp;""))</f>
        <v/>
      </c>
      <c r="C77" s="77">
        <f>IF($N77="","",IF(INDEX('Cronograma R. Financiero'!$D$5:$D$1000,$N77)="","",INDEX('Cronograma R. Financiero'!$D$5:$D$1000,$N77)))</f>
        <v/>
      </c>
      <c r="D77" s="77">
        <f>IF($N77="","",IF(INDEX('Cronograma R. Financiero'!$E$5:$E$1000,$N77)="","",INDEX('Cronograma R. Financiero'!$E$5:$E$1000,$N77)))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Financiero'!$Y$5:$Y$1000,$N77),""),IF(INDEX('Cronograma R. Financiero'!$G$5:$G$1000,$N77)="","",INDEX('Cronograma R. Financiero'!$G$5:$G$1000,$N77))))</f>
        <v/>
      </c>
      <c r="G77" s="68">
        <f>IF($N77="","",IF($P77&gt;0,IF(2&lt;=SemanaActual,INDEX('Cronograma R. Financiero'!$Z$5:$Z$1000,$N77),""),IF(INDEX('Cronograma R. Financiero'!$H$5:$H$1000,$N77)="","",INDEX('Cronograma R. Financiero'!$H$5:$H$1000,$N77))))</f>
        <v/>
      </c>
      <c r="H77" s="68">
        <f>IF($N77="","",IF($P77&gt;0,IF(3&lt;=SemanaActual,INDEX('Cronograma R. Financiero'!$AA$5:$AA$1000,$N77),""),IF(INDEX('Cronograma R. Financiero'!$I$5:$I$1000,$N77)="","",INDEX('Cronograma R. Financiero'!$I$5:$I$1000,$N77))))</f>
        <v/>
      </c>
      <c r="I77" s="68">
        <f>IF($N77="","",IF($P77&gt;0,IF(4&lt;=SemanaActual,INDEX('Cronograma R. Financiero'!$AB$5:$AB$1000,$N77),""),IF(INDEX('Cronograma R. Financiero'!$J$5:$J$1000,$N77)="","",INDEX('Cronograma R. Financiero'!$J$5:$J$1000,$N77))))</f>
        <v/>
      </c>
      <c r="J77" s="68">
        <f>IF($N77="","",INDEX('Cronograma R. Financiero'!$K$5:$K$1000,$N77))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Financiero'!$M$5:$M$1000,$N77)&amp;"")</f>
        <v/>
      </c>
      <c r="M77" s="71">
        <f>IF($N77="","",INDEX('Cronograma R. Financiero'!$N$5:$N$1000,$N77)&amp;"")</f>
        <v/>
      </c>
      <c r="N77">
        <f>IFERROR(MATCH(ROW()-4,rOrden_RF,0),"")</f>
        <v/>
      </c>
      <c r="O77">
        <f>IF($N77="","",INDEX('Cronograma R. Financiero'!$S$5:$S$1000,$N77))</f>
        <v/>
      </c>
      <c r="P77">
        <f>IF($N77="","",N(INDEX('Cronograma R. Financiero'!$T$5:$T$1000,$N77)))</f>
        <v/>
      </c>
    </row>
    <row r="78">
      <c r="A78" s="62">
        <f>IF($N78="","",INDEX('Cronograma R. Financiero'!$A$5:$A$1000,$N78))</f>
        <v/>
      </c>
      <c r="B78" s="71">
        <f>IF($N78="","",IF($O78="Sub","      ↳  "&amp;INDEX('Cronograma R. Financiero'!$C$5:$C$1000,$N78),INDEX('Cronograma R. Financiero'!$C$5:$C$1000,$N78)&amp;""))</f>
        <v/>
      </c>
      <c r="C78" s="77">
        <f>IF($N78="","",IF(INDEX('Cronograma R. Financiero'!$D$5:$D$1000,$N78)="","",INDEX('Cronograma R. Financiero'!$D$5:$D$1000,$N78)))</f>
        <v/>
      </c>
      <c r="D78" s="77">
        <f>IF($N78="","",IF(INDEX('Cronograma R. Financiero'!$E$5:$E$1000,$N78)="","",INDEX('Cronograma R. Financiero'!$E$5:$E$1000,$N78)))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Financiero'!$Y$5:$Y$1000,$N78),""),IF(INDEX('Cronograma R. Financiero'!$G$5:$G$1000,$N78)="","",INDEX('Cronograma R. Financiero'!$G$5:$G$1000,$N78))))</f>
        <v/>
      </c>
      <c r="G78" s="68">
        <f>IF($N78="","",IF($P78&gt;0,IF(2&lt;=SemanaActual,INDEX('Cronograma R. Financiero'!$Z$5:$Z$1000,$N78),""),IF(INDEX('Cronograma R. Financiero'!$H$5:$H$1000,$N78)="","",INDEX('Cronograma R. Financiero'!$H$5:$H$1000,$N78))))</f>
        <v/>
      </c>
      <c r="H78" s="68">
        <f>IF($N78="","",IF($P78&gt;0,IF(3&lt;=SemanaActual,INDEX('Cronograma R. Financiero'!$AA$5:$AA$1000,$N78),""),IF(INDEX('Cronograma R. Financiero'!$I$5:$I$1000,$N78)="","",INDEX('Cronograma R. Financiero'!$I$5:$I$1000,$N78))))</f>
        <v/>
      </c>
      <c r="I78" s="68">
        <f>IF($N78="","",IF($P78&gt;0,IF(4&lt;=SemanaActual,INDEX('Cronograma R. Financiero'!$AB$5:$AB$1000,$N78),""),IF(INDEX('Cronograma R. Financiero'!$J$5:$J$1000,$N78)="","",INDEX('Cronograma R. Financiero'!$J$5:$J$1000,$N78))))</f>
        <v/>
      </c>
      <c r="J78" s="68">
        <f>IF($N78="","",INDEX('Cronograma R. Financiero'!$K$5:$K$1000,$N78))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Financiero'!$M$5:$M$1000,$N78)&amp;"")</f>
        <v/>
      </c>
      <c r="M78" s="71">
        <f>IF($N78="","",INDEX('Cronograma R. Financiero'!$N$5:$N$1000,$N78)&amp;"")</f>
        <v/>
      </c>
      <c r="N78">
        <f>IFERROR(MATCH(ROW()-4,rOrden_RF,0),"")</f>
        <v/>
      </c>
      <c r="O78">
        <f>IF($N78="","",INDEX('Cronograma R. Financiero'!$S$5:$S$1000,$N78))</f>
        <v/>
      </c>
      <c r="P78">
        <f>IF($N78="","",N(INDEX('Cronograma R. Financiero'!$T$5:$T$1000,$N78)))</f>
        <v/>
      </c>
    </row>
    <row r="79">
      <c r="A79" s="62">
        <f>IF($N79="","",INDEX('Cronograma R. Financiero'!$A$5:$A$1000,$N79))</f>
        <v/>
      </c>
      <c r="B79" s="71">
        <f>IF($N79="","",IF($O79="Sub","      ↳  "&amp;INDEX('Cronograma R. Financiero'!$C$5:$C$1000,$N79),INDEX('Cronograma R. Financiero'!$C$5:$C$1000,$N79)&amp;""))</f>
        <v/>
      </c>
      <c r="C79" s="77">
        <f>IF($N79="","",IF(INDEX('Cronograma R. Financiero'!$D$5:$D$1000,$N79)="","",INDEX('Cronograma R. Financiero'!$D$5:$D$1000,$N79)))</f>
        <v/>
      </c>
      <c r="D79" s="77">
        <f>IF($N79="","",IF(INDEX('Cronograma R. Financiero'!$E$5:$E$1000,$N79)="","",INDEX('Cronograma R. Financiero'!$E$5:$E$1000,$N79)))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Financiero'!$Y$5:$Y$1000,$N79),""),IF(INDEX('Cronograma R. Financiero'!$G$5:$G$1000,$N79)="","",INDEX('Cronograma R. Financiero'!$G$5:$G$1000,$N79))))</f>
        <v/>
      </c>
      <c r="G79" s="68">
        <f>IF($N79="","",IF($P79&gt;0,IF(2&lt;=SemanaActual,INDEX('Cronograma R. Financiero'!$Z$5:$Z$1000,$N79),""),IF(INDEX('Cronograma R. Financiero'!$H$5:$H$1000,$N79)="","",INDEX('Cronograma R. Financiero'!$H$5:$H$1000,$N79))))</f>
        <v/>
      </c>
      <c r="H79" s="68">
        <f>IF($N79="","",IF($P79&gt;0,IF(3&lt;=SemanaActual,INDEX('Cronograma R. Financiero'!$AA$5:$AA$1000,$N79),""),IF(INDEX('Cronograma R. Financiero'!$I$5:$I$1000,$N79)="","",INDEX('Cronograma R. Financiero'!$I$5:$I$1000,$N79))))</f>
        <v/>
      </c>
      <c r="I79" s="68">
        <f>IF($N79="","",IF($P79&gt;0,IF(4&lt;=SemanaActual,INDEX('Cronograma R. Financiero'!$AB$5:$AB$1000,$N79),""),IF(INDEX('Cronograma R. Financiero'!$J$5:$J$1000,$N79)="","",INDEX('Cronograma R. Financiero'!$J$5:$J$1000,$N79))))</f>
        <v/>
      </c>
      <c r="J79" s="68">
        <f>IF($N79="","",INDEX('Cronograma R. Financiero'!$K$5:$K$1000,$N79))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Financiero'!$M$5:$M$1000,$N79)&amp;"")</f>
        <v/>
      </c>
      <c r="M79" s="71">
        <f>IF($N79="","",INDEX('Cronograma R. Financiero'!$N$5:$N$1000,$N79)&amp;"")</f>
        <v/>
      </c>
      <c r="N79">
        <f>IFERROR(MATCH(ROW()-4,rOrden_RF,0),"")</f>
        <v/>
      </c>
      <c r="O79">
        <f>IF($N79="","",INDEX('Cronograma R. Financiero'!$S$5:$S$1000,$N79))</f>
        <v/>
      </c>
      <c r="P79">
        <f>IF($N79="","",N(INDEX('Cronograma R. Financiero'!$T$5:$T$1000,$N79)))</f>
        <v/>
      </c>
    </row>
    <row r="80">
      <c r="A80" s="62">
        <f>IF($N80="","",INDEX('Cronograma R. Financiero'!$A$5:$A$1000,$N80))</f>
        <v/>
      </c>
      <c r="B80" s="71">
        <f>IF($N80="","",IF($O80="Sub","      ↳  "&amp;INDEX('Cronograma R. Financiero'!$C$5:$C$1000,$N80),INDEX('Cronograma R. Financiero'!$C$5:$C$1000,$N80)&amp;""))</f>
        <v/>
      </c>
      <c r="C80" s="77">
        <f>IF($N80="","",IF(INDEX('Cronograma R. Financiero'!$D$5:$D$1000,$N80)="","",INDEX('Cronograma R. Financiero'!$D$5:$D$1000,$N80)))</f>
        <v/>
      </c>
      <c r="D80" s="77">
        <f>IF($N80="","",IF(INDEX('Cronograma R. Financiero'!$E$5:$E$1000,$N80)="","",INDEX('Cronograma R. Financiero'!$E$5:$E$1000,$N80)))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Financiero'!$Y$5:$Y$1000,$N80),""),IF(INDEX('Cronograma R. Financiero'!$G$5:$G$1000,$N80)="","",INDEX('Cronograma R. Financiero'!$G$5:$G$1000,$N80))))</f>
        <v/>
      </c>
      <c r="G80" s="68">
        <f>IF($N80="","",IF($P80&gt;0,IF(2&lt;=SemanaActual,INDEX('Cronograma R. Financiero'!$Z$5:$Z$1000,$N80),""),IF(INDEX('Cronograma R. Financiero'!$H$5:$H$1000,$N80)="","",INDEX('Cronograma R. Financiero'!$H$5:$H$1000,$N80))))</f>
        <v/>
      </c>
      <c r="H80" s="68">
        <f>IF($N80="","",IF($P80&gt;0,IF(3&lt;=SemanaActual,INDEX('Cronograma R. Financiero'!$AA$5:$AA$1000,$N80),""),IF(INDEX('Cronograma R. Financiero'!$I$5:$I$1000,$N80)="","",INDEX('Cronograma R. Financiero'!$I$5:$I$1000,$N80))))</f>
        <v/>
      </c>
      <c r="I80" s="68">
        <f>IF($N80="","",IF($P80&gt;0,IF(4&lt;=SemanaActual,INDEX('Cronograma R. Financiero'!$AB$5:$AB$1000,$N80),""),IF(INDEX('Cronograma R. Financiero'!$J$5:$J$1000,$N80)="","",INDEX('Cronograma R. Financiero'!$J$5:$J$1000,$N80))))</f>
        <v/>
      </c>
      <c r="J80" s="68">
        <f>IF($N80="","",INDEX('Cronograma R. Financiero'!$K$5:$K$1000,$N80))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Financiero'!$M$5:$M$1000,$N80)&amp;"")</f>
        <v/>
      </c>
      <c r="M80" s="71">
        <f>IF($N80="","",INDEX('Cronograma R. Financiero'!$N$5:$N$1000,$N80)&amp;"")</f>
        <v/>
      </c>
      <c r="N80">
        <f>IFERROR(MATCH(ROW()-4,rOrden_RF,0),"")</f>
        <v/>
      </c>
      <c r="O80">
        <f>IF($N80="","",INDEX('Cronograma R. Financiero'!$S$5:$S$1000,$N80))</f>
        <v/>
      </c>
      <c r="P80">
        <f>IF($N80="","",N(INDEX('Cronograma R. Financiero'!$T$5:$T$1000,$N80)))</f>
        <v/>
      </c>
    </row>
    <row r="81">
      <c r="A81" s="62">
        <f>IF($N81="","",INDEX('Cronograma R. Financiero'!$A$5:$A$1000,$N81))</f>
        <v/>
      </c>
      <c r="B81" s="71">
        <f>IF($N81="","",IF($O81="Sub","      ↳  "&amp;INDEX('Cronograma R. Financiero'!$C$5:$C$1000,$N81),INDEX('Cronograma R. Financiero'!$C$5:$C$1000,$N81)&amp;""))</f>
        <v/>
      </c>
      <c r="C81" s="77">
        <f>IF($N81="","",IF(INDEX('Cronograma R. Financiero'!$D$5:$D$1000,$N81)="","",INDEX('Cronograma R. Financiero'!$D$5:$D$1000,$N81)))</f>
        <v/>
      </c>
      <c r="D81" s="77">
        <f>IF($N81="","",IF(INDEX('Cronograma R. Financiero'!$E$5:$E$1000,$N81)="","",INDEX('Cronograma R. Financiero'!$E$5:$E$1000,$N81)))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Financiero'!$Y$5:$Y$1000,$N81),""),IF(INDEX('Cronograma R. Financiero'!$G$5:$G$1000,$N81)="","",INDEX('Cronograma R. Financiero'!$G$5:$G$1000,$N81))))</f>
        <v/>
      </c>
      <c r="G81" s="68">
        <f>IF($N81="","",IF($P81&gt;0,IF(2&lt;=SemanaActual,INDEX('Cronograma R. Financiero'!$Z$5:$Z$1000,$N81),""),IF(INDEX('Cronograma R. Financiero'!$H$5:$H$1000,$N81)="","",INDEX('Cronograma R. Financiero'!$H$5:$H$1000,$N81))))</f>
        <v/>
      </c>
      <c r="H81" s="68">
        <f>IF($N81="","",IF($P81&gt;0,IF(3&lt;=SemanaActual,INDEX('Cronograma R. Financiero'!$AA$5:$AA$1000,$N81),""),IF(INDEX('Cronograma R. Financiero'!$I$5:$I$1000,$N81)="","",INDEX('Cronograma R. Financiero'!$I$5:$I$1000,$N81))))</f>
        <v/>
      </c>
      <c r="I81" s="68">
        <f>IF($N81="","",IF($P81&gt;0,IF(4&lt;=SemanaActual,INDEX('Cronograma R. Financiero'!$AB$5:$AB$1000,$N81),""),IF(INDEX('Cronograma R. Financiero'!$J$5:$J$1000,$N81)="","",INDEX('Cronograma R. Financiero'!$J$5:$J$1000,$N81))))</f>
        <v/>
      </c>
      <c r="J81" s="68">
        <f>IF($N81="","",INDEX('Cronograma R. Financiero'!$K$5:$K$1000,$N81))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Financiero'!$M$5:$M$1000,$N81)&amp;"")</f>
        <v/>
      </c>
      <c r="M81" s="71">
        <f>IF($N81="","",INDEX('Cronograma R. Financiero'!$N$5:$N$1000,$N81)&amp;"")</f>
        <v/>
      </c>
      <c r="N81">
        <f>IFERROR(MATCH(ROW()-4,rOrden_RF,0),"")</f>
        <v/>
      </c>
      <c r="O81">
        <f>IF($N81="","",INDEX('Cronograma R. Financiero'!$S$5:$S$1000,$N81))</f>
        <v/>
      </c>
      <c r="P81">
        <f>IF($N81="","",N(INDEX('Cronograma R. Financiero'!$T$5:$T$1000,$N81)))</f>
        <v/>
      </c>
    </row>
    <row r="82">
      <c r="A82" s="62">
        <f>IF($N82="","",INDEX('Cronograma R. Financiero'!$A$5:$A$1000,$N82))</f>
        <v/>
      </c>
      <c r="B82" s="71">
        <f>IF($N82="","",IF($O82="Sub","      ↳  "&amp;INDEX('Cronograma R. Financiero'!$C$5:$C$1000,$N82),INDEX('Cronograma R. Financiero'!$C$5:$C$1000,$N82)&amp;""))</f>
        <v/>
      </c>
      <c r="C82" s="77">
        <f>IF($N82="","",IF(INDEX('Cronograma R. Financiero'!$D$5:$D$1000,$N82)="","",INDEX('Cronograma R. Financiero'!$D$5:$D$1000,$N82)))</f>
        <v/>
      </c>
      <c r="D82" s="77">
        <f>IF($N82="","",IF(INDEX('Cronograma R. Financiero'!$E$5:$E$1000,$N82)="","",INDEX('Cronograma R. Financiero'!$E$5:$E$1000,$N82)))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Financiero'!$Y$5:$Y$1000,$N82),""),IF(INDEX('Cronograma R. Financiero'!$G$5:$G$1000,$N82)="","",INDEX('Cronograma R. Financiero'!$G$5:$G$1000,$N82))))</f>
        <v/>
      </c>
      <c r="G82" s="68">
        <f>IF($N82="","",IF($P82&gt;0,IF(2&lt;=SemanaActual,INDEX('Cronograma R. Financiero'!$Z$5:$Z$1000,$N82),""),IF(INDEX('Cronograma R. Financiero'!$H$5:$H$1000,$N82)="","",INDEX('Cronograma R. Financiero'!$H$5:$H$1000,$N82))))</f>
        <v/>
      </c>
      <c r="H82" s="68">
        <f>IF($N82="","",IF($P82&gt;0,IF(3&lt;=SemanaActual,INDEX('Cronograma R. Financiero'!$AA$5:$AA$1000,$N82),""),IF(INDEX('Cronograma R. Financiero'!$I$5:$I$1000,$N82)="","",INDEX('Cronograma R. Financiero'!$I$5:$I$1000,$N82))))</f>
        <v/>
      </c>
      <c r="I82" s="68">
        <f>IF($N82="","",IF($P82&gt;0,IF(4&lt;=SemanaActual,INDEX('Cronograma R. Financiero'!$AB$5:$AB$1000,$N82),""),IF(INDEX('Cronograma R. Financiero'!$J$5:$J$1000,$N82)="","",INDEX('Cronograma R. Financiero'!$J$5:$J$1000,$N82))))</f>
        <v/>
      </c>
      <c r="J82" s="68">
        <f>IF($N82="","",INDEX('Cronograma R. Financiero'!$K$5:$K$1000,$N82))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Financiero'!$M$5:$M$1000,$N82)&amp;"")</f>
        <v/>
      </c>
      <c r="M82" s="71">
        <f>IF($N82="","",INDEX('Cronograma R. Financiero'!$N$5:$N$1000,$N82)&amp;"")</f>
        <v/>
      </c>
      <c r="N82">
        <f>IFERROR(MATCH(ROW()-4,rOrden_RF,0),"")</f>
        <v/>
      </c>
      <c r="O82">
        <f>IF($N82="","",INDEX('Cronograma R. Financiero'!$S$5:$S$1000,$N82))</f>
        <v/>
      </c>
      <c r="P82">
        <f>IF($N82="","",N(INDEX('Cronograma R. Financiero'!$T$5:$T$1000,$N82)))</f>
        <v/>
      </c>
    </row>
    <row r="83">
      <c r="A83" s="62">
        <f>IF($N83="","",INDEX('Cronograma R. Financiero'!$A$5:$A$1000,$N83))</f>
        <v/>
      </c>
      <c r="B83" s="71">
        <f>IF($N83="","",IF($O83="Sub","      ↳  "&amp;INDEX('Cronograma R. Financiero'!$C$5:$C$1000,$N83),INDEX('Cronograma R. Financiero'!$C$5:$C$1000,$N83)&amp;""))</f>
        <v/>
      </c>
      <c r="C83" s="77">
        <f>IF($N83="","",IF(INDEX('Cronograma R. Financiero'!$D$5:$D$1000,$N83)="","",INDEX('Cronograma R. Financiero'!$D$5:$D$1000,$N83)))</f>
        <v/>
      </c>
      <c r="D83" s="77">
        <f>IF($N83="","",IF(INDEX('Cronograma R. Financiero'!$E$5:$E$1000,$N83)="","",INDEX('Cronograma R. Financiero'!$E$5:$E$1000,$N83)))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Financiero'!$Y$5:$Y$1000,$N83),""),IF(INDEX('Cronograma R. Financiero'!$G$5:$G$1000,$N83)="","",INDEX('Cronograma R. Financiero'!$G$5:$G$1000,$N83))))</f>
        <v/>
      </c>
      <c r="G83" s="68">
        <f>IF($N83="","",IF($P83&gt;0,IF(2&lt;=SemanaActual,INDEX('Cronograma R. Financiero'!$Z$5:$Z$1000,$N83),""),IF(INDEX('Cronograma R. Financiero'!$H$5:$H$1000,$N83)="","",INDEX('Cronograma R. Financiero'!$H$5:$H$1000,$N83))))</f>
        <v/>
      </c>
      <c r="H83" s="68">
        <f>IF($N83="","",IF($P83&gt;0,IF(3&lt;=SemanaActual,INDEX('Cronograma R. Financiero'!$AA$5:$AA$1000,$N83),""),IF(INDEX('Cronograma R. Financiero'!$I$5:$I$1000,$N83)="","",INDEX('Cronograma R. Financiero'!$I$5:$I$1000,$N83))))</f>
        <v/>
      </c>
      <c r="I83" s="68">
        <f>IF($N83="","",IF($P83&gt;0,IF(4&lt;=SemanaActual,INDEX('Cronograma R. Financiero'!$AB$5:$AB$1000,$N83),""),IF(INDEX('Cronograma R. Financiero'!$J$5:$J$1000,$N83)="","",INDEX('Cronograma R. Financiero'!$J$5:$J$1000,$N83))))</f>
        <v/>
      </c>
      <c r="J83" s="68">
        <f>IF($N83="","",INDEX('Cronograma R. Financiero'!$K$5:$K$1000,$N83))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Financiero'!$M$5:$M$1000,$N83)&amp;"")</f>
        <v/>
      </c>
      <c r="M83" s="71">
        <f>IF($N83="","",INDEX('Cronograma R. Financiero'!$N$5:$N$1000,$N83)&amp;"")</f>
        <v/>
      </c>
      <c r="N83">
        <f>IFERROR(MATCH(ROW()-4,rOrden_RF,0),"")</f>
        <v/>
      </c>
      <c r="O83">
        <f>IF($N83="","",INDEX('Cronograma R. Financiero'!$S$5:$S$1000,$N83))</f>
        <v/>
      </c>
      <c r="P83">
        <f>IF($N83="","",N(INDEX('Cronograma R. Financiero'!$T$5:$T$1000,$N83)))</f>
        <v/>
      </c>
    </row>
    <row r="84">
      <c r="A84" s="62">
        <f>IF($N84="","",INDEX('Cronograma R. Financiero'!$A$5:$A$1000,$N84))</f>
        <v/>
      </c>
      <c r="B84" s="71">
        <f>IF($N84="","",IF($O84="Sub","      ↳  "&amp;INDEX('Cronograma R. Financiero'!$C$5:$C$1000,$N84),INDEX('Cronograma R. Financiero'!$C$5:$C$1000,$N84)&amp;""))</f>
        <v/>
      </c>
      <c r="C84" s="77">
        <f>IF($N84="","",IF(INDEX('Cronograma R. Financiero'!$D$5:$D$1000,$N84)="","",INDEX('Cronograma R. Financiero'!$D$5:$D$1000,$N84)))</f>
        <v/>
      </c>
      <c r="D84" s="77">
        <f>IF($N84="","",IF(INDEX('Cronograma R. Financiero'!$E$5:$E$1000,$N84)="","",INDEX('Cronograma R. Financiero'!$E$5:$E$1000,$N84)))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Financiero'!$Y$5:$Y$1000,$N84),""),IF(INDEX('Cronograma R. Financiero'!$G$5:$G$1000,$N84)="","",INDEX('Cronograma R. Financiero'!$G$5:$G$1000,$N84))))</f>
        <v/>
      </c>
      <c r="G84" s="68">
        <f>IF($N84="","",IF($P84&gt;0,IF(2&lt;=SemanaActual,INDEX('Cronograma R. Financiero'!$Z$5:$Z$1000,$N84),""),IF(INDEX('Cronograma R. Financiero'!$H$5:$H$1000,$N84)="","",INDEX('Cronograma R. Financiero'!$H$5:$H$1000,$N84))))</f>
        <v/>
      </c>
      <c r="H84" s="68">
        <f>IF($N84="","",IF($P84&gt;0,IF(3&lt;=SemanaActual,INDEX('Cronograma R. Financiero'!$AA$5:$AA$1000,$N84),""),IF(INDEX('Cronograma R. Financiero'!$I$5:$I$1000,$N84)="","",INDEX('Cronograma R. Financiero'!$I$5:$I$1000,$N84))))</f>
        <v/>
      </c>
      <c r="I84" s="68">
        <f>IF($N84="","",IF($P84&gt;0,IF(4&lt;=SemanaActual,INDEX('Cronograma R. Financiero'!$AB$5:$AB$1000,$N84),""),IF(INDEX('Cronograma R. Financiero'!$J$5:$J$1000,$N84)="","",INDEX('Cronograma R. Financiero'!$J$5:$J$1000,$N84))))</f>
        <v/>
      </c>
      <c r="J84" s="68">
        <f>IF($N84="","",INDEX('Cronograma R. Financiero'!$K$5:$K$1000,$N84))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Financiero'!$M$5:$M$1000,$N84)&amp;"")</f>
        <v/>
      </c>
      <c r="M84" s="71">
        <f>IF($N84="","",INDEX('Cronograma R. Financiero'!$N$5:$N$1000,$N84)&amp;"")</f>
        <v/>
      </c>
      <c r="N84">
        <f>IFERROR(MATCH(ROW()-4,rOrden_RF,0),"")</f>
        <v/>
      </c>
      <c r="O84">
        <f>IF($N84="","",INDEX('Cronograma R. Financiero'!$S$5:$S$1000,$N84))</f>
        <v/>
      </c>
      <c r="P84">
        <f>IF($N84="","",N(INDEX('Cronograma R. Financiero'!$T$5:$T$1000,$N84)))</f>
        <v/>
      </c>
    </row>
    <row r="85">
      <c r="A85" s="62">
        <f>IF($N85="","",INDEX('Cronograma R. Financiero'!$A$5:$A$1000,$N85))</f>
        <v/>
      </c>
      <c r="B85" s="71">
        <f>IF($N85="","",IF($O85="Sub","      ↳  "&amp;INDEX('Cronograma R. Financiero'!$C$5:$C$1000,$N85),INDEX('Cronograma R. Financiero'!$C$5:$C$1000,$N85)&amp;""))</f>
        <v/>
      </c>
      <c r="C85" s="77">
        <f>IF($N85="","",IF(INDEX('Cronograma R. Financiero'!$D$5:$D$1000,$N85)="","",INDEX('Cronograma R. Financiero'!$D$5:$D$1000,$N85)))</f>
        <v/>
      </c>
      <c r="D85" s="77">
        <f>IF($N85="","",IF(INDEX('Cronograma R. Financiero'!$E$5:$E$1000,$N85)="","",INDEX('Cronograma R. Financiero'!$E$5:$E$1000,$N85)))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Financiero'!$Y$5:$Y$1000,$N85),""),IF(INDEX('Cronograma R. Financiero'!$G$5:$G$1000,$N85)="","",INDEX('Cronograma R. Financiero'!$G$5:$G$1000,$N85))))</f>
        <v/>
      </c>
      <c r="G85" s="68">
        <f>IF($N85="","",IF($P85&gt;0,IF(2&lt;=SemanaActual,INDEX('Cronograma R. Financiero'!$Z$5:$Z$1000,$N85),""),IF(INDEX('Cronograma R. Financiero'!$H$5:$H$1000,$N85)="","",INDEX('Cronograma R. Financiero'!$H$5:$H$1000,$N85))))</f>
        <v/>
      </c>
      <c r="H85" s="68">
        <f>IF($N85="","",IF($P85&gt;0,IF(3&lt;=SemanaActual,INDEX('Cronograma R. Financiero'!$AA$5:$AA$1000,$N85),""),IF(INDEX('Cronograma R. Financiero'!$I$5:$I$1000,$N85)="","",INDEX('Cronograma R. Financiero'!$I$5:$I$1000,$N85))))</f>
        <v/>
      </c>
      <c r="I85" s="68">
        <f>IF($N85="","",IF($P85&gt;0,IF(4&lt;=SemanaActual,INDEX('Cronograma R. Financiero'!$AB$5:$AB$1000,$N85),""),IF(INDEX('Cronograma R. Financiero'!$J$5:$J$1000,$N85)="","",INDEX('Cronograma R. Financiero'!$J$5:$J$1000,$N85))))</f>
        <v/>
      </c>
      <c r="J85" s="68">
        <f>IF($N85="","",INDEX('Cronograma R. Financiero'!$K$5:$K$1000,$N85))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Financiero'!$M$5:$M$1000,$N85)&amp;"")</f>
        <v/>
      </c>
      <c r="M85" s="71">
        <f>IF($N85="","",INDEX('Cronograma R. Financiero'!$N$5:$N$1000,$N85)&amp;"")</f>
        <v/>
      </c>
      <c r="N85">
        <f>IFERROR(MATCH(ROW()-4,rOrden_RF,0),"")</f>
        <v/>
      </c>
      <c r="O85">
        <f>IF($N85="","",INDEX('Cronograma R. Financiero'!$S$5:$S$1000,$N85))</f>
        <v/>
      </c>
      <c r="P85">
        <f>IF($N85="","",N(INDEX('Cronograma R. Financiero'!$T$5:$T$1000,$N85)))</f>
        <v/>
      </c>
    </row>
    <row r="86">
      <c r="A86" s="62">
        <f>IF($N86="","",INDEX('Cronograma R. Financiero'!$A$5:$A$1000,$N86))</f>
        <v/>
      </c>
      <c r="B86" s="71">
        <f>IF($N86="","",IF($O86="Sub","      ↳  "&amp;INDEX('Cronograma R. Financiero'!$C$5:$C$1000,$N86),INDEX('Cronograma R. Financiero'!$C$5:$C$1000,$N86)&amp;""))</f>
        <v/>
      </c>
      <c r="C86" s="77">
        <f>IF($N86="","",IF(INDEX('Cronograma R. Financiero'!$D$5:$D$1000,$N86)="","",INDEX('Cronograma R. Financiero'!$D$5:$D$1000,$N86)))</f>
        <v/>
      </c>
      <c r="D86" s="77">
        <f>IF($N86="","",IF(INDEX('Cronograma R. Financiero'!$E$5:$E$1000,$N86)="","",INDEX('Cronograma R. Financiero'!$E$5:$E$1000,$N86)))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Financiero'!$Y$5:$Y$1000,$N86),""),IF(INDEX('Cronograma R. Financiero'!$G$5:$G$1000,$N86)="","",INDEX('Cronograma R. Financiero'!$G$5:$G$1000,$N86))))</f>
        <v/>
      </c>
      <c r="G86" s="68">
        <f>IF($N86="","",IF($P86&gt;0,IF(2&lt;=SemanaActual,INDEX('Cronograma R. Financiero'!$Z$5:$Z$1000,$N86),""),IF(INDEX('Cronograma R. Financiero'!$H$5:$H$1000,$N86)="","",INDEX('Cronograma R. Financiero'!$H$5:$H$1000,$N86))))</f>
        <v/>
      </c>
      <c r="H86" s="68">
        <f>IF($N86="","",IF($P86&gt;0,IF(3&lt;=SemanaActual,INDEX('Cronograma R. Financiero'!$AA$5:$AA$1000,$N86),""),IF(INDEX('Cronograma R. Financiero'!$I$5:$I$1000,$N86)="","",INDEX('Cronograma R. Financiero'!$I$5:$I$1000,$N86))))</f>
        <v/>
      </c>
      <c r="I86" s="68">
        <f>IF($N86="","",IF($P86&gt;0,IF(4&lt;=SemanaActual,INDEX('Cronograma R. Financiero'!$AB$5:$AB$1000,$N86),""),IF(INDEX('Cronograma R. Financiero'!$J$5:$J$1000,$N86)="","",INDEX('Cronograma R. Financiero'!$J$5:$J$1000,$N86))))</f>
        <v/>
      </c>
      <c r="J86" s="68">
        <f>IF($N86="","",INDEX('Cronograma R. Financiero'!$K$5:$K$1000,$N86))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Financiero'!$M$5:$M$1000,$N86)&amp;"")</f>
        <v/>
      </c>
      <c r="M86" s="71">
        <f>IF($N86="","",INDEX('Cronograma R. Financiero'!$N$5:$N$1000,$N86)&amp;"")</f>
        <v/>
      </c>
      <c r="N86">
        <f>IFERROR(MATCH(ROW()-4,rOrden_RF,0),"")</f>
        <v/>
      </c>
      <c r="O86">
        <f>IF($N86="","",INDEX('Cronograma R. Financiero'!$S$5:$S$1000,$N86))</f>
        <v/>
      </c>
      <c r="P86">
        <f>IF($N86="","",N(INDEX('Cronograma R. Financiero'!$T$5:$T$1000,$N86)))</f>
        <v/>
      </c>
    </row>
    <row r="87">
      <c r="A87" s="62">
        <f>IF($N87="","",INDEX('Cronograma R. Financiero'!$A$5:$A$1000,$N87))</f>
        <v/>
      </c>
      <c r="B87" s="71">
        <f>IF($N87="","",IF($O87="Sub","      ↳  "&amp;INDEX('Cronograma R. Financiero'!$C$5:$C$1000,$N87),INDEX('Cronograma R. Financiero'!$C$5:$C$1000,$N87)&amp;""))</f>
        <v/>
      </c>
      <c r="C87" s="77">
        <f>IF($N87="","",IF(INDEX('Cronograma R. Financiero'!$D$5:$D$1000,$N87)="","",INDEX('Cronograma R. Financiero'!$D$5:$D$1000,$N87)))</f>
        <v/>
      </c>
      <c r="D87" s="77">
        <f>IF($N87="","",IF(INDEX('Cronograma R. Financiero'!$E$5:$E$1000,$N87)="","",INDEX('Cronograma R. Financiero'!$E$5:$E$1000,$N87)))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Financiero'!$Y$5:$Y$1000,$N87),""),IF(INDEX('Cronograma R. Financiero'!$G$5:$G$1000,$N87)="","",INDEX('Cronograma R. Financiero'!$G$5:$G$1000,$N87))))</f>
        <v/>
      </c>
      <c r="G87" s="68">
        <f>IF($N87="","",IF($P87&gt;0,IF(2&lt;=SemanaActual,INDEX('Cronograma R. Financiero'!$Z$5:$Z$1000,$N87),""),IF(INDEX('Cronograma R. Financiero'!$H$5:$H$1000,$N87)="","",INDEX('Cronograma R. Financiero'!$H$5:$H$1000,$N87))))</f>
        <v/>
      </c>
      <c r="H87" s="68">
        <f>IF($N87="","",IF($P87&gt;0,IF(3&lt;=SemanaActual,INDEX('Cronograma R. Financiero'!$AA$5:$AA$1000,$N87),""),IF(INDEX('Cronograma R. Financiero'!$I$5:$I$1000,$N87)="","",INDEX('Cronograma R. Financiero'!$I$5:$I$1000,$N87))))</f>
        <v/>
      </c>
      <c r="I87" s="68">
        <f>IF($N87="","",IF($P87&gt;0,IF(4&lt;=SemanaActual,INDEX('Cronograma R. Financiero'!$AB$5:$AB$1000,$N87),""),IF(INDEX('Cronograma R. Financiero'!$J$5:$J$1000,$N87)="","",INDEX('Cronograma R. Financiero'!$J$5:$J$1000,$N87))))</f>
        <v/>
      </c>
      <c r="J87" s="68">
        <f>IF($N87="","",INDEX('Cronograma R. Financiero'!$K$5:$K$1000,$N87))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Financiero'!$M$5:$M$1000,$N87)&amp;"")</f>
        <v/>
      </c>
      <c r="M87" s="71">
        <f>IF($N87="","",INDEX('Cronograma R. Financiero'!$N$5:$N$1000,$N87)&amp;"")</f>
        <v/>
      </c>
      <c r="N87">
        <f>IFERROR(MATCH(ROW()-4,rOrden_RF,0),"")</f>
        <v/>
      </c>
      <c r="O87">
        <f>IF($N87="","",INDEX('Cronograma R. Financiero'!$S$5:$S$1000,$N87))</f>
        <v/>
      </c>
      <c r="P87">
        <f>IF($N87="","",N(INDEX('Cronograma R. Financiero'!$T$5:$T$1000,$N87)))</f>
        <v/>
      </c>
    </row>
    <row r="88">
      <c r="A88" s="62">
        <f>IF($N88="","",INDEX('Cronograma R. Financiero'!$A$5:$A$1000,$N88))</f>
        <v/>
      </c>
      <c r="B88" s="71">
        <f>IF($N88="","",IF($O88="Sub","      ↳  "&amp;INDEX('Cronograma R. Financiero'!$C$5:$C$1000,$N88),INDEX('Cronograma R. Financiero'!$C$5:$C$1000,$N88)&amp;""))</f>
        <v/>
      </c>
      <c r="C88" s="77">
        <f>IF($N88="","",IF(INDEX('Cronograma R. Financiero'!$D$5:$D$1000,$N88)="","",INDEX('Cronograma R. Financiero'!$D$5:$D$1000,$N88)))</f>
        <v/>
      </c>
      <c r="D88" s="77">
        <f>IF($N88="","",IF(INDEX('Cronograma R. Financiero'!$E$5:$E$1000,$N88)="","",INDEX('Cronograma R. Financiero'!$E$5:$E$1000,$N88)))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Financiero'!$Y$5:$Y$1000,$N88),""),IF(INDEX('Cronograma R. Financiero'!$G$5:$G$1000,$N88)="","",INDEX('Cronograma R. Financiero'!$G$5:$G$1000,$N88))))</f>
        <v/>
      </c>
      <c r="G88" s="68">
        <f>IF($N88="","",IF($P88&gt;0,IF(2&lt;=SemanaActual,INDEX('Cronograma R. Financiero'!$Z$5:$Z$1000,$N88),""),IF(INDEX('Cronograma R. Financiero'!$H$5:$H$1000,$N88)="","",INDEX('Cronograma R. Financiero'!$H$5:$H$1000,$N88))))</f>
        <v/>
      </c>
      <c r="H88" s="68">
        <f>IF($N88="","",IF($P88&gt;0,IF(3&lt;=SemanaActual,INDEX('Cronograma R. Financiero'!$AA$5:$AA$1000,$N88),""),IF(INDEX('Cronograma R. Financiero'!$I$5:$I$1000,$N88)="","",INDEX('Cronograma R. Financiero'!$I$5:$I$1000,$N88))))</f>
        <v/>
      </c>
      <c r="I88" s="68">
        <f>IF($N88="","",IF($P88&gt;0,IF(4&lt;=SemanaActual,INDEX('Cronograma R. Financiero'!$AB$5:$AB$1000,$N88),""),IF(INDEX('Cronograma R. Financiero'!$J$5:$J$1000,$N88)="","",INDEX('Cronograma R. Financiero'!$J$5:$J$1000,$N88))))</f>
        <v/>
      </c>
      <c r="J88" s="68">
        <f>IF($N88="","",INDEX('Cronograma R. Financiero'!$K$5:$K$1000,$N88))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Financiero'!$M$5:$M$1000,$N88)&amp;"")</f>
        <v/>
      </c>
      <c r="M88" s="71">
        <f>IF($N88="","",INDEX('Cronograma R. Financiero'!$N$5:$N$1000,$N88)&amp;"")</f>
        <v/>
      </c>
      <c r="N88">
        <f>IFERROR(MATCH(ROW()-4,rOrden_RF,0),"")</f>
        <v/>
      </c>
      <c r="O88">
        <f>IF($N88="","",INDEX('Cronograma R. Financiero'!$S$5:$S$1000,$N88))</f>
        <v/>
      </c>
      <c r="P88">
        <f>IF($N88="","",N(INDEX('Cronograma R. Financiero'!$T$5:$T$1000,$N88)))</f>
        <v/>
      </c>
    </row>
    <row r="89">
      <c r="A89" s="62">
        <f>IF($N89="","",INDEX('Cronograma R. Financiero'!$A$5:$A$1000,$N89))</f>
        <v/>
      </c>
      <c r="B89" s="71">
        <f>IF($N89="","",IF($O89="Sub","      ↳  "&amp;INDEX('Cronograma R. Financiero'!$C$5:$C$1000,$N89),INDEX('Cronograma R. Financiero'!$C$5:$C$1000,$N89)&amp;""))</f>
        <v/>
      </c>
      <c r="C89" s="77">
        <f>IF($N89="","",IF(INDEX('Cronograma R. Financiero'!$D$5:$D$1000,$N89)="","",INDEX('Cronograma R. Financiero'!$D$5:$D$1000,$N89)))</f>
        <v/>
      </c>
      <c r="D89" s="77">
        <f>IF($N89="","",IF(INDEX('Cronograma R. Financiero'!$E$5:$E$1000,$N89)="","",INDEX('Cronograma R. Financiero'!$E$5:$E$1000,$N89)))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Financiero'!$Y$5:$Y$1000,$N89),""),IF(INDEX('Cronograma R. Financiero'!$G$5:$G$1000,$N89)="","",INDEX('Cronograma R. Financiero'!$G$5:$G$1000,$N89))))</f>
        <v/>
      </c>
      <c r="G89" s="68">
        <f>IF($N89="","",IF($P89&gt;0,IF(2&lt;=SemanaActual,INDEX('Cronograma R. Financiero'!$Z$5:$Z$1000,$N89),""),IF(INDEX('Cronograma R. Financiero'!$H$5:$H$1000,$N89)="","",INDEX('Cronograma R. Financiero'!$H$5:$H$1000,$N89))))</f>
        <v/>
      </c>
      <c r="H89" s="68">
        <f>IF($N89="","",IF($P89&gt;0,IF(3&lt;=SemanaActual,INDEX('Cronograma R. Financiero'!$AA$5:$AA$1000,$N89),""),IF(INDEX('Cronograma R. Financiero'!$I$5:$I$1000,$N89)="","",INDEX('Cronograma R. Financiero'!$I$5:$I$1000,$N89))))</f>
        <v/>
      </c>
      <c r="I89" s="68">
        <f>IF($N89="","",IF($P89&gt;0,IF(4&lt;=SemanaActual,INDEX('Cronograma R. Financiero'!$AB$5:$AB$1000,$N89),""),IF(INDEX('Cronograma R. Financiero'!$J$5:$J$1000,$N89)="","",INDEX('Cronograma R. Financiero'!$J$5:$J$1000,$N89))))</f>
        <v/>
      </c>
      <c r="J89" s="68">
        <f>IF($N89="","",INDEX('Cronograma R. Financiero'!$K$5:$K$1000,$N89))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Financiero'!$M$5:$M$1000,$N89)&amp;"")</f>
        <v/>
      </c>
      <c r="M89" s="71">
        <f>IF($N89="","",INDEX('Cronograma R. Financiero'!$N$5:$N$1000,$N89)&amp;"")</f>
        <v/>
      </c>
      <c r="N89">
        <f>IFERROR(MATCH(ROW()-4,rOrden_RF,0),"")</f>
        <v/>
      </c>
      <c r="O89">
        <f>IF($N89="","",INDEX('Cronograma R. Financiero'!$S$5:$S$1000,$N89))</f>
        <v/>
      </c>
      <c r="P89">
        <f>IF($N89="","",N(INDEX('Cronograma R. Financiero'!$T$5:$T$1000,$N89)))</f>
        <v/>
      </c>
    </row>
    <row r="90">
      <c r="A90" s="62">
        <f>IF($N90="","",INDEX('Cronograma R. Financiero'!$A$5:$A$1000,$N90))</f>
        <v/>
      </c>
      <c r="B90" s="71">
        <f>IF($N90="","",IF($O90="Sub","      ↳  "&amp;INDEX('Cronograma R. Financiero'!$C$5:$C$1000,$N90),INDEX('Cronograma R. Financiero'!$C$5:$C$1000,$N90)&amp;""))</f>
        <v/>
      </c>
      <c r="C90" s="77">
        <f>IF($N90="","",IF(INDEX('Cronograma R. Financiero'!$D$5:$D$1000,$N90)="","",INDEX('Cronograma R. Financiero'!$D$5:$D$1000,$N90)))</f>
        <v/>
      </c>
      <c r="D90" s="77">
        <f>IF($N90="","",IF(INDEX('Cronograma R. Financiero'!$E$5:$E$1000,$N90)="","",INDEX('Cronograma R. Financiero'!$E$5:$E$1000,$N90)))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Financiero'!$Y$5:$Y$1000,$N90),""),IF(INDEX('Cronograma R. Financiero'!$G$5:$G$1000,$N90)="","",INDEX('Cronograma R. Financiero'!$G$5:$G$1000,$N90))))</f>
        <v/>
      </c>
      <c r="G90" s="68">
        <f>IF($N90="","",IF($P90&gt;0,IF(2&lt;=SemanaActual,INDEX('Cronograma R. Financiero'!$Z$5:$Z$1000,$N90),""),IF(INDEX('Cronograma R. Financiero'!$H$5:$H$1000,$N90)="","",INDEX('Cronograma R. Financiero'!$H$5:$H$1000,$N90))))</f>
        <v/>
      </c>
      <c r="H90" s="68">
        <f>IF($N90="","",IF($P90&gt;0,IF(3&lt;=SemanaActual,INDEX('Cronograma R. Financiero'!$AA$5:$AA$1000,$N90),""),IF(INDEX('Cronograma R. Financiero'!$I$5:$I$1000,$N90)="","",INDEX('Cronograma R. Financiero'!$I$5:$I$1000,$N90))))</f>
        <v/>
      </c>
      <c r="I90" s="68">
        <f>IF($N90="","",IF($P90&gt;0,IF(4&lt;=SemanaActual,INDEX('Cronograma R. Financiero'!$AB$5:$AB$1000,$N90),""),IF(INDEX('Cronograma R. Financiero'!$J$5:$J$1000,$N90)="","",INDEX('Cronograma R. Financiero'!$J$5:$J$1000,$N90))))</f>
        <v/>
      </c>
      <c r="J90" s="68">
        <f>IF($N90="","",INDEX('Cronograma R. Financiero'!$K$5:$K$1000,$N90))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Financiero'!$M$5:$M$1000,$N90)&amp;"")</f>
        <v/>
      </c>
      <c r="M90" s="71">
        <f>IF($N90="","",INDEX('Cronograma R. Financiero'!$N$5:$N$1000,$N90)&amp;"")</f>
        <v/>
      </c>
      <c r="N90">
        <f>IFERROR(MATCH(ROW()-4,rOrden_RF,0),"")</f>
        <v/>
      </c>
      <c r="O90">
        <f>IF($N90="","",INDEX('Cronograma R. Financiero'!$S$5:$S$1000,$N90))</f>
        <v/>
      </c>
      <c r="P90">
        <f>IF($N90="","",N(INDEX('Cronograma R. Financiero'!$T$5:$T$1000,$N90)))</f>
        <v/>
      </c>
    </row>
    <row r="91">
      <c r="A91" s="62">
        <f>IF($N91="","",INDEX('Cronograma R. Financiero'!$A$5:$A$1000,$N91))</f>
        <v/>
      </c>
      <c r="B91" s="71">
        <f>IF($N91="","",IF($O91="Sub","      ↳  "&amp;INDEX('Cronograma R. Financiero'!$C$5:$C$1000,$N91),INDEX('Cronograma R. Financiero'!$C$5:$C$1000,$N91)&amp;""))</f>
        <v/>
      </c>
      <c r="C91" s="77">
        <f>IF($N91="","",IF(INDEX('Cronograma R. Financiero'!$D$5:$D$1000,$N91)="","",INDEX('Cronograma R. Financiero'!$D$5:$D$1000,$N91)))</f>
        <v/>
      </c>
      <c r="D91" s="77">
        <f>IF($N91="","",IF(INDEX('Cronograma R. Financiero'!$E$5:$E$1000,$N91)="","",INDEX('Cronograma R. Financiero'!$E$5:$E$1000,$N91)))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Financiero'!$Y$5:$Y$1000,$N91),""),IF(INDEX('Cronograma R. Financiero'!$G$5:$G$1000,$N91)="","",INDEX('Cronograma R. Financiero'!$G$5:$G$1000,$N91))))</f>
        <v/>
      </c>
      <c r="G91" s="68">
        <f>IF($N91="","",IF($P91&gt;0,IF(2&lt;=SemanaActual,INDEX('Cronograma R. Financiero'!$Z$5:$Z$1000,$N91),""),IF(INDEX('Cronograma R. Financiero'!$H$5:$H$1000,$N91)="","",INDEX('Cronograma R. Financiero'!$H$5:$H$1000,$N91))))</f>
        <v/>
      </c>
      <c r="H91" s="68">
        <f>IF($N91="","",IF($P91&gt;0,IF(3&lt;=SemanaActual,INDEX('Cronograma R. Financiero'!$AA$5:$AA$1000,$N91),""),IF(INDEX('Cronograma R. Financiero'!$I$5:$I$1000,$N91)="","",INDEX('Cronograma R. Financiero'!$I$5:$I$1000,$N91))))</f>
        <v/>
      </c>
      <c r="I91" s="68">
        <f>IF($N91="","",IF($P91&gt;0,IF(4&lt;=SemanaActual,INDEX('Cronograma R. Financiero'!$AB$5:$AB$1000,$N91),""),IF(INDEX('Cronograma R. Financiero'!$J$5:$J$1000,$N91)="","",INDEX('Cronograma R. Financiero'!$J$5:$J$1000,$N91))))</f>
        <v/>
      </c>
      <c r="J91" s="68">
        <f>IF($N91="","",INDEX('Cronograma R. Financiero'!$K$5:$K$1000,$N91))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Financiero'!$M$5:$M$1000,$N91)&amp;"")</f>
        <v/>
      </c>
      <c r="M91" s="71">
        <f>IF($N91="","",INDEX('Cronograma R. Financiero'!$N$5:$N$1000,$N91)&amp;"")</f>
        <v/>
      </c>
      <c r="N91">
        <f>IFERROR(MATCH(ROW()-4,rOrden_RF,0),"")</f>
        <v/>
      </c>
      <c r="O91">
        <f>IF($N91="","",INDEX('Cronograma R. Financiero'!$S$5:$S$1000,$N91))</f>
        <v/>
      </c>
      <c r="P91">
        <f>IF($N91="","",N(INDEX('Cronograma R. Financiero'!$T$5:$T$1000,$N91)))</f>
        <v/>
      </c>
    </row>
    <row r="92">
      <c r="A92" s="62">
        <f>IF($N92="","",INDEX('Cronograma R. Financiero'!$A$5:$A$1000,$N92))</f>
        <v/>
      </c>
      <c r="B92" s="71">
        <f>IF($N92="","",IF($O92="Sub","      ↳  "&amp;INDEX('Cronograma R. Financiero'!$C$5:$C$1000,$N92),INDEX('Cronograma R. Financiero'!$C$5:$C$1000,$N92)&amp;""))</f>
        <v/>
      </c>
      <c r="C92" s="77">
        <f>IF($N92="","",IF(INDEX('Cronograma R. Financiero'!$D$5:$D$1000,$N92)="","",INDEX('Cronograma R. Financiero'!$D$5:$D$1000,$N92)))</f>
        <v/>
      </c>
      <c r="D92" s="77">
        <f>IF($N92="","",IF(INDEX('Cronograma R. Financiero'!$E$5:$E$1000,$N92)="","",INDEX('Cronograma R. Financiero'!$E$5:$E$1000,$N92)))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Financiero'!$Y$5:$Y$1000,$N92),""),IF(INDEX('Cronograma R. Financiero'!$G$5:$G$1000,$N92)="","",INDEX('Cronograma R. Financiero'!$G$5:$G$1000,$N92))))</f>
        <v/>
      </c>
      <c r="G92" s="68">
        <f>IF($N92="","",IF($P92&gt;0,IF(2&lt;=SemanaActual,INDEX('Cronograma R. Financiero'!$Z$5:$Z$1000,$N92),""),IF(INDEX('Cronograma R. Financiero'!$H$5:$H$1000,$N92)="","",INDEX('Cronograma R. Financiero'!$H$5:$H$1000,$N92))))</f>
        <v/>
      </c>
      <c r="H92" s="68">
        <f>IF($N92="","",IF($P92&gt;0,IF(3&lt;=SemanaActual,INDEX('Cronograma R. Financiero'!$AA$5:$AA$1000,$N92),""),IF(INDEX('Cronograma R. Financiero'!$I$5:$I$1000,$N92)="","",INDEX('Cronograma R. Financiero'!$I$5:$I$1000,$N92))))</f>
        <v/>
      </c>
      <c r="I92" s="68">
        <f>IF($N92="","",IF($P92&gt;0,IF(4&lt;=SemanaActual,INDEX('Cronograma R. Financiero'!$AB$5:$AB$1000,$N92),""),IF(INDEX('Cronograma R. Financiero'!$J$5:$J$1000,$N92)="","",INDEX('Cronograma R. Financiero'!$J$5:$J$1000,$N92))))</f>
        <v/>
      </c>
      <c r="J92" s="68">
        <f>IF($N92="","",INDEX('Cronograma R. Financiero'!$K$5:$K$1000,$N92))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Financiero'!$M$5:$M$1000,$N92)&amp;"")</f>
        <v/>
      </c>
      <c r="M92" s="71">
        <f>IF($N92="","",INDEX('Cronograma R. Financiero'!$N$5:$N$1000,$N92)&amp;"")</f>
        <v/>
      </c>
      <c r="N92">
        <f>IFERROR(MATCH(ROW()-4,rOrden_RF,0),"")</f>
        <v/>
      </c>
      <c r="O92">
        <f>IF($N92="","",INDEX('Cronograma R. Financiero'!$S$5:$S$1000,$N92))</f>
        <v/>
      </c>
      <c r="P92">
        <f>IF($N92="","",N(INDEX('Cronograma R. Financiero'!$T$5:$T$1000,$N92)))</f>
        <v/>
      </c>
    </row>
    <row r="93">
      <c r="A93" s="62">
        <f>IF($N93="","",INDEX('Cronograma R. Financiero'!$A$5:$A$1000,$N93))</f>
        <v/>
      </c>
      <c r="B93" s="71">
        <f>IF($N93="","",IF($O93="Sub","      ↳  "&amp;INDEX('Cronograma R. Financiero'!$C$5:$C$1000,$N93),INDEX('Cronograma R. Financiero'!$C$5:$C$1000,$N93)&amp;""))</f>
        <v/>
      </c>
      <c r="C93" s="77">
        <f>IF($N93="","",IF(INDEX('Cronograma R. Financiero'!$D$5:$D$1000,$N93)="","",INDEX('Cronograma R. Financiero'!$D$5:$D$1000,$N93)))</f>
        <v/>
      </c>
      <c r="D93" s="77">
        <f>IF($N93="","",IF(INDEX('Cronograma R. Financiero'!$E$5:$E$1000,$N93)="","",INDEX('Cronograma R. Financiero'!$E$5:$E$1000,$N93)))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Financiero'!$Y$5:$Y$1000,$N93),""),IF(INDEX('Cronograma R. Financiero'!$G$5:$G$1000,$N93)="","",INDEX('Cronograma R. Financiero'!$G$5:$G$1000,$N93))))</f>
        <v/>
      </c>
      <c r="G93" s="68">
        <f>IF($N93="","",IF($P93&gt;0,IF(2&lt;=SemanaActual,INDEX('Cronograma R. Financiero'!$Z$5:$Z$1000,$N93),""),IF(INDEX('Cronograma R. Financiero'!$H$5:$H$1000,$N93)="","",INDEX('Cronograma R. Financiero'!$H$5:$H$1000,$N93))))</f>
        <v/>
      </c>
      <c r="H93" s="68">
        <f>IF($N93="","",IF($P93&gt;0,IF(3&lt;=SemanaActual,INDEX('Cronograma R. Financiero'!$AA$5:$AA$1000,$N93),""),IF(INDEX('Cronograma R. Financiero'!$I$5:$I$1000,$N93)="","",INDEX('Cronograma R. Financiero'!$I$5:$I$1000,$N93))))</f>
        <v/>
      </c>
      <c r="I93" s="68">
        <f>IF($N93="","",IF($P93&gt;0,IF(4&lt;=SemanaActual,INDEX('Cronograma R. Financiero'!$AB$5:$AB$1000,$N93),""),IF(INDEX('Cronograma R. Financiero'!$J$5:$J$1000,$N93)="","",INDEX('Cronograma R. Financiero'!$J$5:$J$1000,$N93))))</f>
        <v/>
      </c>
      <c r="J93" s="68">
        <f>IF($N93="","",INDEX('Cronograma R. Financiero'!$K$5:$K$1000,$N93))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Financiero'!$M$5:$M$1000,$N93)&amp;"")</f>
        <v/>
      </c>
      <c r="M93" s="71">
        <f>IF($N93="","",INDEX('Cronograma R. Financiero'!$N$5:$N$1000,$N93)&amp;"")</f>
        <v/>
      </c>
      <c r="N93">
        <f>IFERROR(MATCH(ROW()-4,rOrden_RF,0),"")</f>
        <v/>
      </c>
      <c r="O93">
        <f>IF($N93="","",INDEX('Cronograma R. Financiero'!$S$5:$S$1000,$N93))</f>
        <v/>
      </c>
      <c r="P93">
        <f>IF($N93="","",N(INDEX('Cronograma R. Financiero'!$T$5:$T$1000,$N93)))</f>
        <v/>
      </c>
    </row>
    <row r="94">
      <c r="A94" s="62">
        <f>IF($N94="","",INDEX('Cronograma R. Financiero'!$A$5:$A$1000,$N94))</f>
        <v/>
      </c>
      <c r="B94" s="71">
        <f>IF($N94="","",IF($O94="Sub","      ↳  "&amp;INDEX('Cronograma R. Financiero'!$C$5:$C$1000,$N94),INDEX('Cronograma R. Financiero'!$C$5:$C$1000,$N94)&amp;""))</f>
        <v/>
      </c>
      <c r="C94" s="77">
        <f>IF($N94="","",IF(INDEX('Cronograma R. Financiero'!$D$5:$D$1000,$N94)="","",INDEX('Cronograma R. Financiero'!$D$5:$D$1000,$N94)))</f>
        <v/>
      </c>
      <c r="D94" s="77">
        <f>IF($N94="","",IF(INDEX('Cronograma R. Financiero'!$E$5:$E$1000,$N94)="","",INDEX('Cronograma R. Financiero'!$E$5:$E$1000,$N94)))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Financiero'!$Y$5:$Y$1000,$N94),""),IF(INDEX('Cronograma R. Financiero'!$G$5:$G$1000,$N94)="","",INDEX('Cronograma R. Financiero'!$G$5:$G$1000,$N94))))</f>
        <v/>
      </c>
      <c r="G94" s="68">
        <f>IF($N94="","",IF($P94&gt;0,IF(2&lt;=SemanaActual,INDEX('Cronograma R. Financiero'!$Z$5:$Z$1000,$N94),""),IF(INDEX('Cronograma R. Financiero'!$H$5:$H$1000,$N94)="","",INDEX('Cronograma R. Financiero'!$H$5:$H$1000,$N94))))</f>
        <v/>
      </c>
      <c r="H94" s="68">
        <f>IF($N94="","",IF($P94&gt;0,IF(3&lt;=SemanaActual,INDEX('Cronograma R. Financiero'!$AA$5:$AA$1000,$N94),""),IF(INDEX('Cronograma R. Financiero'!$I$5:$I$1000,$N94)="","",INDEX('Cronograma R. Financiero'!$I$5:$I$1000,$N94))))</f>
        <v/>
      </c>
      <c r="I94" s="68">
        <f>IF($N94="","",IF($P94&gt;0,IF(4&lt;=SemanaActual,INDEX('Cronograma R. Financiero'!$AB$5:$AB$1000,$N94),""),IF(INDEX('Cronograma R. Financiero'!$J$5:$J$1000,$N94)="","",INDEX('Cronograma R. Financiero'!$J$5:$J$1000,$N94))))</f>
        <v/>
      </c>
      <c r="J94" s="68">
        <f>IF($N94="","",INDEX('Cronograma R. Financiero'!$K$5:$K$1000,$N94))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Financiero'!$M$5:$M$1000,$N94)&amp;"")</f>
        <v/>
      </c>
      <c r="M94" s="71">
        <f>IF($N94="","",INDEX('Cronograma R. Financiero'!$N$5:$N$1000,$N94)&amp;"")</f>
        <v/>
      </c>
      <c r="N94">
        <f>IFERROR(MATCH(ROW()-4,rOrden_RF,0),"")</f>
        <v/>
      </c>
      <c r="O94">
        <f>IF($N94="","",INDEX('Cronograma R. Financiero'!$S$5:$S$1000,$N94))</f>
        <v/>
      </c>
      <c r="P94">
        <f>IF($N94="","",N(INDEX('Cronograma R. Financiero'!$T$5:$T$1000,$N94)))</f>
        <v/>
      </c>
    </row>
    <row r="95">
      <c r="A95" s="62">
        <f>IF($N95="","",INDEX('Cronograma R. Financiero'!$A$5:$A$1000,$N95))</f>
        <v/>
      </c>
      <c r="B95" s="71">
        <f>IF($N95="","",IF($O95="Sub","      ↳  "&amp;INDEX('Cronograma R. Financiero'!$C$5:$C$1000,$N95),INDEX('Cronograma R. Financiero'!$C$5:$C$1000,$N95)&amp;""))</f>
        <v/>
      </c>
      <c r="C95" s="77">
        <f>IF($N95="","",IF(INDEX('Cronograma R. Financiero'!$D$5:$D$1000,$N95)="","",INDEX('Cronograma R. Financiero'!$D$5:$D$1000,$N95)))</f>
        <v/>
      </c>
      <c r="D95" s="77">
        <f>IF($N95="","",IF(INDEX('Cronograma R. Financiero'!$E$5:$E$1000,$N95)="","",INDEX('Cronograma R. Financiero'!$E$5:$E$1000,$N95)))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Financiero'!$Y$5:$Y$1000,$N95),""),IF(INDEX('Cronograma R. Financiero'!$G$5:$G$1000,$N95)="","",INDEX('Cronograma R. Financiero'!$G$5:$G$1000,$N95))))</f>
        <v/>
      </c>
      <c r="G95" s="68">
        <f>IF($N95="","",IF($P95&gt;0,IF(2&lt;=SemanaActual,INDEX('Cronograma R. Financiero'!$Z$5:$Z$1000,$N95),""),IF(INDEX('Cronograma R. Financiero'!$H$5:$H$1000,$N95)="","",INDEX('Cronograma R. Financiero'!$H$5:$H$1000,$N95))))</f>
        <v/>
      </c>
      <c r="H95" s="68">
        <f>IF($N95="","",IF($P95&gt;0,IF(3&lt;=SemanaActual,INDEX('Cronograma R. Financiero'!$AA$5:$AA$1000,$N95),""),IF(INDEX('Cronograma R. Financiero'!$I$5:$I$1000,$N95)="","",INDEX('Cronograma R. Financiero'!$I$5:$I$1000,$N95))))</f>
        <v/>
      </c>
      <c r="I95" s="68">
        <f>IF($N95="","",IF($P95&gt;0,IF(4&lt;=SemanaActual,INDEX('Cronograma R. Financiero'!$AB$5:$AB$1000,$N95),""),IF(INDEX('Cronograma R. Financiero'!$J$5:$J$1000,$N95)="","",INDEX('Cronograma R. Financiero'!$J$5:$J$1000,$N95))))</f>
        <v/>
      </c>
      <c r="J95" s="68">
        <f>IF($N95="","",INDEX('Cronograma R. Financiero'!$K$5:$K$1000,$N95))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Financiero'!$M$5:$M$1000,$N95)&amp;"")</f>
        <v/>
      </c>
      <c r="M95" s="71">
        <f>IF($N95="","",INDEX('Cronograma R. Financiero'!$N$5:$N$1000,$N95)&amp;"")</f>
        <v/>
      </c>
      <c r="N95">
        <f>IFERROR(MATCH(ROW()-4,rOrden_RF,0),"")</f>
        <v/>
      </c>
      <c r="O95">
        <f>IF($N95="","",INDEX('Cronograma R. Financiero'!$S$5:$S$1000,$N95))</f>
        <v/>
      </c>
      <c r="P95">
        <f>IF($N95="","",N(INDEX('Cronograma R. Financiero'!$T$5:$T$1000,$N95)))</f>
        <v/>
      </c>
    </row>
    <row r="96">
      <c r="A96" s="62">
        <f>IF($N96="","",INDEX('Cronograma R. Financiero'!$A$5:$A$1000,$N96))</f>
        <v/>
      </c>
      <c r="B96" s="71">
        <f>IF($N96="","",IF($O96="Sub","      ↳  "&amp;INDEX('Cronograma R. Financiero'!$C$5:$C$1000,$N96),INDEX('Cronograma R. Financiero'!$C$5:$C$1000,$N96)&amp;""))</f>
        <v/>
      </c>
      <c r="C96" s="77">
        <f>IF($N96="","",IF(INDEX('Cronograma R. Financiero'!$D$5:$D$1000,$N96)="","",INDEX('Cronograma R. Financiero'!$D$5:$D$1000,$N96)))</f>
        <v/>
      </c>
      <c r="D96" s="77">
        <f>IF($N96="","",IF(INDEX('Cronograma R. Financiero'!$E$5:$E$1000,$N96)="","",INDEX('Cronograma R. Financiero'!$E$5:$E$1000,$N96)))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Financiero'!$Y$5:$Y$1000,$N96),""),IF(INDEX('Cronograma R. Financiero'!$G$5:$G$1000,$N96)="","",INDEX('Cronograma R. Financiero'!$G$5:$G$1000,$N96))))</f>
        <v/>
      </c>
      <c r="G96" s="68">
        <f>IF($N96="","",IF($P96&gt;0,IF(2&lt;=SemanaActual,INDEX('Cronograma R. Financiero'!$Z$5:$Z$1000,$N96),""),IF(INDEX('Cronograma R. Financiero'!$H$5:$H$1000,$N96)="","",INDEX('Cronograma R. Financiero'!$H$5:$H$1000,$N96))))</f>
        <v/>
      </c>
      <c r="H96" s="68">
        <f>IF($N96="","",IF($P96&gt;0,IF(3&lt;=SemanaActual,INDEX('Cronograma R. Financiero'!$AA$5:$AA$1000,$N96),""),IF(INDEX('Cronograma R. Financiero'!$I$5:$I$1000,$N96)="","",INDEX('Cronograma R. Financiero'!$I$5:$I$1000,$N96))))</f>
        <v/>
      </c>
      <c r="I96" s="68">
        <f>IF($N96="","",IF($P96&gt;0,IF(4&lt;=SemanaActual,INDEX('Cronograma R. Financiero'!$AB$5:$AB$1000,$N96),""),IF(INDEX('Cronograma R. Financiero'!$J$5:$J$1000,$N96)="","",INDEX('Cronograma R. Financiero'!$J$5:$J$1000,$N96))))</f>
        <v/>
      </c>
      <c r="J96" s="68">
        <f>IF($N96="","",INDEX('Cronograma R. Financiero'!$K$5:$K$1000,$N96))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Financiero'!$M$5:$M$1000,$N96)&amp;"")</f>
        <v/>
      </c>
      <c r="M96" s="71">
        <f>IF($N96="","",INDEX('Cronograma R. Financiero'!$N$5:$N$1000,$N96)&amp;"")</f>
        <v/>
      </c>
      <c r="N96">
        <f>IFERROR(MATCH(ROW()-4,rOrden_RF,0),"")</f>
        <v/>
      </c>
      <c r="O96">
        <f>IF($N96="","",INDEX('Cronograma R. Financiero'!$S$5:$S$1000,$N96))</f>
        <v/>
      </c>
      <c r="P96">
        <f>IF($N96="","",N(INDEX('Cronograma R. Financiero'!$T$5:$T$1000,$N96)))</f>
        <v/>
      </c>
    </row>
    <row r="97">
      <c r="A97" s="62">
        <f>IF($N97="","",INDEX('Cronograma R. Financiero'!$A$5:$A$1000,$N97))</f>
        <v/>
      </c>
      <c r="B97" s="71">
        <f>IF($N97="","",IF($O97="Sub","      ↳  "&amp;INDEX('Cronograma R. Financiero'!$C$5:$C$1000,$N97),INDEX('Cronograma R. Financiero'!$C$5:$C$1000,$N97)&amp;""))</f>
        <v/>
      </c>
      <c r="C97" s="77">
        <f>IF($N97="","",IF(INDEX('Cronograma R. Financiero'!$D$5:$D$1000,$N97)="","",INDEX('Cronograma R. Financiero'!$D$5:$D$1000,$N97)))</f>
        <v/>
      </c>
      <c r="D97" s="77">
        <f>IF($N97="","",IF(INDEX('Cronograma R. Financiero'!$E$5:$E$1000,$N97)="","",INDEX('Cronograma R. Financiero'!$E$5:$E$1000,$N97)))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Financiero'!$Y$5:$Y$1000,$N97),""),IF(INDEX('Cronograma R. Financiero'!$G$5:$G$1000,$N97)="","",INDEX('Cronograma R. Financiero'!$G$5:$G$1000,$N97))))</f>
        <v/>
      </c>
      <c r="G97" s="68">
        <f>IF($N97="","",IF($P97&gt;0,IF(2&lt;=SemanaActual,INDEX('Cronograma R. Financiero'!$Z$5:$Z$1000,$N97),""),IF(INDEX('Cronograma R. Financiero'!$H$5:$H$1000,$N97)="","",INDEX('Cronograma R. Financiero'!$H$5:$H$1000,$N97))))</f>
        <v/>
      </c>
      <c r="H97" s="68">
        <f>IF($N97="","",IF($P97&gt;0,IF(3&lt;=SemanaActual,INDEX('Cronograma R. Financiero'!$AA$5:$AA$1000,$N97),""),IF(INDEX('Cronograma R. Financiero'!$I$5:$I$1000,$N97)="","",INDEX('Cronograma R. Financiero'!$I$5:$I$1000,$N97))))</f>
        <v/>
      </c>
      <c r="I97" s="68">
        <f>IF($N97="","",IF($P97&gt;0,IF(4&lt;=SemanaActual,INDEX('Cronograma R. Financiero'!$AB$5:$AB$1000,$N97),""),IF(INDEX('Cronograma R. Financiero'!$J$5:$J$1000,$N97)="","",INDEX('Cronograma R. Financiero'!$J$5:$J$1000,$N97))))</f>
        <v/>
      </c>
      <c r="J97" s="68">
        <f>IF($N97="","",INDEX('Cronograma R. Financiero'!$K$5:$K$1000,$N97))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Financiero'!$M$5:$M$1000,$N97)&amp;"")</f>
        <v/>
      </c>
      <c r="M97" s="71">
        <f>IF($N97="","",INDEX('Cronograma R. Financiero'!$N$5:$N$1000,$N97)&amp;"")</f>
        <v/>
      </c>
      <c r="N97">
        <f>IFERROR(MATCH(ROW()-4,rOrden_RF,0),"")</f>
        <v/>
      </c>
      <c r="O97">
        <f>IF($N97="","",INDEX('Cronograma R. Financiero'!$S$5:$S$1000,$N97))</f>
        <v/>
      </c>
      <c r="P97">
        <f>IF($N97="","",N(INDEX('Cronograma R. Financiero'!$T$5:$T$1000,$N97)))</f>
        <v/>
      </c>
    </row>
    <row r="98">
      <c r="A98" s="62">
        <f>IF($N98="","",INDEX('Cronograma R. Financiero'!$A$5:$A$1000,$N98))</f>
        <v/>
      </c>
      <c r="B98" s="71">
        <f>IF($N98="","",IF($O98="Sub","      ↳  "&amp;INDEX('Cronograma R. Financiero'!$C$5:$C$1000,$N98),INDEX('Cronograma R. Financiero'!$C$5:$C$1000,$N98)&amp;""))</f>
        <v/>
      </c>
      <c r="C98" s="77">
        <f>IF($N98="","",IF(INDEX('Cronograma R. Financiero'!$D$5:$D$1000,$N98)="","",INDEX('Cronograma R. Financiero'!$D$5:$D$1000,$N98)))</f>
        <v/>
      </c>
      <c r="D98" s="77">
        <f>IF($N98="","",IF(INDEX('Cronograma R. Financiero'!$E$5:$E$1000,$N98)="","",INDEX('Cronograma R. Financiero'!$E$5:$E$1000,$N98)))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Financiero'!$Y$5:$Y$1000,$N98),""),IF(INDEX('Cronograma R. Financiero'!$G$5:$G$1000,$N98)="","",INDEX('Cronograma R. Financiero'!$G$5:$G$1000,$N98))))</f>
        <v/>
      </c>
      <c r="G98" s="68">
        <f>IF($N98="","",IF($P98&gt;0,IF(2&lt;=SemanaActual,INDEX('Cronograma R. Financiero'!$Z$5:$Z$1000,$N98),""),IF(INDEX('Cronograma R. Financiero'!$H$5:$H$1000,$N98)="","",INDEX('Cronograma R. Financiero'!$H$5:$H$1000,$N98))))</f>
        <v/>
      </c>
      <c r="H98" s="68">
        <f>IF($N98="","",IF($P98&gt;0,IF(3&lt;=SemanaActual,INDEX('Cronograma R. Financiero'!$AA$5:$AA$1000,$N98),""),IF(INDEX('Cronograma R. Financiero'!$I$5:$I$1000,$N98)="","",INDEX('Cronograma R. Financiero'!$I$5:$I$1000,$N98))))</f>
        <v/>
      </c>
      <c r="I98" s="68">
        <f>IF($N98="","",IF($P98&gt;0,IF(4&lt;=SemanaActual,INDEX('Cronograma R. Financiero'!$AB$5:$AB$1000,$N98),""),IF(INDEX('Cronograma R. Financiero'!$J$5:$J$1000,$N98)="","",INDEX('Cronograma R. Financiero'!$J$5:$J$1000,$N98))))</f>
        <v/>
      </c>
      <c r="J98" s="68">
        <f>IF($N98="","",INDEX('Cronograma R. Financiero'!$K$5:$K$1000,$N98))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Financiero'!$M$5:$M$1000,$N98)&amp;"")</f>
        <v/>
      </c>
      <c r="M98" s="71">
        <f>IF($N98="","",INDEX('Cronograma R. Financiero'!$N$5:$N$1000,$N98)&amp;"")</f>
        <v/>
      </c>
      <c r="N98">
        <f>IFERROR(MATCH(ROW()-4,rOrden_RF,0),"")</f>
        <v/>
      </c>
      <c r="O98">
        <f>IF($N98="","",INDEX('Cronograma R. Financiero'!$S$5:$S$1000,$N98))</f>
        <v/>
      </c>
      <c r="P98">
        <f>IF($N98="","",N(INDEX('Cronograma R. Financiero'!$T$5:$T$1000,$N98)))</f>
        <v/>
      </c>
    </row>
    <row r="99">
      <c r="A99" s="62">
        <f>IF($N99="","",INDEX('Cronograma R. Financiero'!$A$5:$A$1000,$N99))</f>
        <v/>
      </c>
      <c r="B99" s="71">
        <f>IF($N99="","",IF($O99="Sub","      ↳  "&amp;INDEX('Cronograma R. Financiero'!$C$5:$C$1000,$N99),INDEX('Cronograma R. Financiero'!$C$5:$C$1000,$N99)&amp;""))</f>
        <v/>
      </c>
      <c r="C99" s="77">
        <f>IF($N99="","",IF(INDEX('Cronograma R. Financiero'!$D$5:$D$1000,$N99)="","",INDEX('Cronograma R. Financiero'!$D$5:$D$1000,$N99)))</f>
        <v/>
      </c>
      <c r="D99" s="77">
        <f>IF($N99="","",IF(INDEX('Cronograma R. Financiero'!$E$5:$E$1000,$N99)="","",INDEX('Cronograma R. Financiero'!$E$5:$E$1000,$N99)))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Financiero'!$Y$5:$Y$1000,$N99),""),IF(INDEX('Cronograma R. Financiero'!$G$5:$G$1000,$N99)="","",INDEX('Cronograma R. Financiero'!$G$5:$G$1000,$N99))))</f>
        <v/>
      </c>
      <c r="G99" s="68">
        <f>IF($N99="","",IF($P99&gt;0,IF(2&lt;=SemanaActual,INDEX('Cronograma R. Financiero'!$Z$5:$Z$1000,$N99),""),IF(INDEX('Cronograma R. Financiero'!$H$5:$H$1000,$N99)="","",INDEX('Cronograma R. Financiero'!$H$5:$H$1000,$N99))))</f>
        <v/>
      </c>
      <c r="H99" s="68">
        <f>IF($N99="","",IF($P99&gt;0,IF(3&lt;=SemanaActual,INDEX('Cronograma R. Financiero'!$AA$5:$AA$1000,$N99),""),IF(INDEX('Cronograma R. Financiero'!$I$5:$I$1000,$N99)="","",INDEX('Cronograma R. Financiero'!$I$5:$I$1000,$N99))))</f>
        <v/>
      </c>
      <c r="I99" s="68">
        <f>IF($N99="","",IF($P99&gt;0,IF(4&lt;=SemanaActual,INDEX('Cronograma R. Financiero'!$AB$5:$AB$1000,$N99),""),IF(INDEX('Cronograma R. Financiero'!$J$5:$J$1000,$N99)="","",INDEX('Cronograma R. Financiero'!$J$5:$J$1000,$N99))))</f>
        <v/>
      </c>
      <c r="J99" s="68">
        <f>IF($N99="","",INDEX('Cronograma R. Financiero'!$K$5:$K$1000,$N99))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Financiero'!$M$5:$M$1000,$N99)&amp;"")</f>
        <v/>
      </c>
      <c r="M99" s="71">
        <f>IF($N99="","",INDEX('Cronograma R. Financiero'!$N$5:$N$1000,$N99)&amp;"")</f>
        <v/>
      </c>
      <c r="N99">
        <f>IFERROR(MATCH(ROW()-4,rOrden_RF,0),"")</f>
        <v/>
      </c>
      <c r="O99">
        <f>IF($N99="","",INDEX('Cronograma R. Financiero'!$S$5:$S$1000,$N99))</f>
        <v/>
      </c>
      <c r="P99">
        <f>IF($N99="","",N(INDEX('Cronograma R. Financiero'!$T$5:$T$1000,$N99)))</f>
        <v/>
      </c>
    </row>
    <row r="100">
      <c r="A100" s="62">
        <f>IF($N100="","",INDEX('Cronograma R. Financiero'!$A$5:$A$1000,$N100))</f>
        <v/>
      </c>
      <c r="B100" s="71">
        <f>IF($N100="","",IF($O100="Sub","      ↳  "&amp;INDEX('Cronograma R. Financiero'!$C$5:$C$1000,$N100),INDEX('Cronograma R. Financiero'!$C$5:$C$1000,$N100)&amp;""))</f>
        <v/>
      </c>
      <c r="C100" s="77">
        <f>IF($N100="","",IF(INDEX('Cronograma R. Financiero'!$D$5:$D$1000,$N100)="","",INDEX('Cronograma R. Financiero'!$D$5:$D$1000,$N100)))</f>
        <v/>
      </c>
      <c r="D100" s="77">
        <f>IF($N100="","",IF(INDEX('Cronograma R. Financiero'!$E$5:$E$1000,$N100)="","",INDEX('Cronograma R. Financiero'!$E$5:$E$1000,$N100)))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Financiero'!$Y$5:$Y$1000,$N100),""),IF(INDEX('Cronograma R. Financiero'!$G$5:$G$1000,$N100)="","",INDEX('Cronograma R. Financiero'!$G$5:$G$1000,$N100))))</f>
        <v/>
      </c>
      <c r="G100" s="68">
        <f>IF($N100="","",IF($P100&gt;0,IF(2&lt;=SemanaActual,INDEX('Cronograma R. Financiero'!$Z$5:$Z$1000,$N100),""),IF(INDEX('Cronograma R. Financiero'!$H$5:$H$1000,$N100)="","",INDEX('Cronograma R. Financiero'!$H$5:$H$1000,$N100))))</f>
        <v/>
      </c>
      <c r="H100" s="68">
        <f>IF($N100="","",IF($P100&gt;0,IF(3&lt;=SemanaActual,INDEX('Cronograma R. Financiero'!$AA$5:$AA$1000,$N100),""),IF(INDEX('Cronograma R. Financiero'!$I$5:$I$1000,$N100)="","",INDEX('Cronograma R. Financiero'!$I$5:$I$1000,$N100))))</f>
        <v/>
      </c>
      <c r="I100" s="68">
        <f>IF($N100="","",IF($P100&gt;0,IF(4&lt;=SemanaActual,INDEX('Cronograma R. Financiero'!$AB$5:$AB$1000,$N100),""),IF(INDEX('Cronograma R. Financiero'!$J$5:$J$1000,$N100)="","",INDEX('Cronograma R. Financiero'!$J$5:$J$1000,$N100))))</f>
        <v/>
      </c>
      <c r="J100" s="68">
        <f>IF($N100="","",INDEX('Cronograma R. Financiero'!$K$5:$K$1000,$N100))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Financiero'!$M$5:$M$1000,$N100)&amp;"")</f>
        <v/>
      </c>
      <c r="M100" s="71">
        <f>IF($N100="","",INDEX('Cronograma R. Financiero'!$N$5:$N$1000,$N100)&amp;"")</f>
        <v/>
      </c>
      <c r="N100">
        <f>IFERROR(MATCH(ROW()-4,rOrden_RF,0),"")</f>
        <v/>
      </c>
      <c r="O100">
        <f>IF($N100="","",INDEX('Cronograma R. Financiero'!$S$5:$S$1000,$N100))</f>
        <v/>
      </c>
      <c r="P100">
        <f>IF($N100="","",N(INDEX('Cronograma R. Financiero'!$T$5:$T$1000,$N100)))</f>
        <v/>
      </c>
    </row>
    <row r="101">
      <c r="A101" s="62">
        <f>IF($N101="","",INDEX('Cronograma R. Financiero'!$A$5:$A$1000,$N101))</f>
        <v/>
      </c>
      <c r="B101" s="71">
        <f>IF($N101="","",IF($O101="Sub","      ↳  "&amp;INDEX('Cronograma R. Financiero'!$C$5:$C$1000,$N101),INDEX('Cronograma R. Financiero'!$C$5:$C$1000,$N101)&amp;""))</f>
        <v/>
      </c>
      <c r="C101" s="77">
        <f>IF($N101="","",IF(INDEX('Cronograma R. Financiero'!$D$5:$D$1000,$N101)="","",INDEX('Cronograma R. Financiero'!$D$5:$D$1000,$N101)))</f>
        <v/>
      </c>
      <c r="D101" s="77">
        <f>IF($N101="","",IF(INDEX('Cronograma R. Financiero'!$E$5:$E$1000,$N101)="","",INDEX('Cronograma R. Financiero'!$E$5:$E$1000,$N101)))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Financiero'!$Y$5:$Y$1000,$N101),""),IF(INDEX('Cronograma R. Financiero'!$G$5:$G$1000,$N101)="","",INDEX('Cronograma R. Financiero'!$G$5:$G$1000,$N101))))</f>
        <v/>
      </c>
      <c r="G101" s="68">
        <f>IF($N101="","",IF($P101&gt;0,IF(2&lt;=SemanaActual,INDEX('Cronograma R. Financiero'!$Z$5:$Z$1000,$N101),""),IF(INDEX('Cronograma R. Financiero'!$H$5:$H$1000,$N101)="","",INDEX('Cronograma R. Financiero'!$H$5:$H$1000,$N101))))</f>
        <v/>
      </c>
      <c r="H101" s="68">
        <f>IF($N101="","",IF($P101&gt;0,IF(3&lt;=SemanaActual,INDEX('Cronograma R. Financiero'!$AA$5:$AA$1000,$N101),""),IF(INDEX('Cronograma R. Financiero'!$I$5:$I$1000,$N101)="","",INDEX('Cronograma R. Financiero'!$I$5:$I$1000,$N101))))</f>
        <v/>
      </c>
      <c r="I101" s="68">
        <f>IF($N101="","",IF($P101&gt;0,IF(4&lt;=SemanaActual,INDEX('Cronograma R. Financiero'!$AB$5:$AB$1000,$N101),""),IF(INDEX('Cronograma R. Financiero'!$J$5:$J$1000,$N101)="","",INDEX('Cronograma R. Financiero'!$J$5:$J$1000,$N101))))</f>
        <v/>
      </c>
      <c r="J101" s="68">
        <f>IF($N101="","",INDEX('Cronograma R. Financiero'!$K$5:$K$1000,$N101))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Financiero'!$M$5:$M$1000,$N101)&amp;"")</f>
        <v/>
      </c>
      <c r="M101" s="71">
        <f>IF($N101="","",INDEX('Cronograma R. Financiero'!$N$5:$N$1000,$N101)&amp;"")</f>
        <v/>
      </c>
      <c r="N101">
        <f>IFERROR(MATCH(ROW()-4,rOrden_RF,0),"")</f>
        <v/>
      </c>
      <c r="O101">
        <f>IF($N101="","",INDEX('Cronograma R. Financiero'!$S$5:$S$1000,$N101))</f>
        <v/>
      </c>
      <c r="P101">
        <f>IF($N101="","",N(INDEX('Cronograma R. Financiero'!$T$5:$T$1000,$N101)))</f>
        <v/>
      </c>
    </row>
    <row r="102">
      <c r="A102" s="62">
        <f>IF($N102="","",INDEX('Cronograma R. Financiero'!$A$5:$A$1000,$N102))</f>
        <v/>
      </c>
      <c r="B102" s="71">
        <f>IF($N102="","",IF($O102="Sub","      ↳  "&amp;INDEX('Cronograma R. Financiero'!$C$5:$C$1000,$N102),INDEX('Cronograma R. Financiero'!$C$5:$C$1000,$N102)&amp;""))</f>
        <v/>
      </c>
      <c r="C102" s="77">
        <f>IF($N102="","",IF(INDEX('Cronograma R. Financiero'!$D$5:$D$1000,$N102)="","",INDEX('Cronograma R. Financiero'!$D$5:$D$1000,$N102)))</f>
        <v/>
      </c>
      <c r="D102" s="77">
        <f>IF($N102="","",IF(INDEX('Cronograma R. Financiero'!$E$5:$E$1000,$N102)="","",INDEX('Cronograma R. Financiero'!$E$5:$E$1000,$N102)))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Financiero'!$Y$5:$Y$1000,$N102),""),IF(INDEX('Cronograma R. Financiero'!$G$5:$G$1000,$N102)="","",INDEX('Cronograma R. Financiero'!$G$5:$G$1000,$N102))))</f>
        <v/>
      </c>
      <c r="G102" s="68">
        <f>IF($N102="","",IF($P102&gt;0,IF(2&lt;=SemanaActual,INDEX('Cronograma R. Financiero'!$Z$5:$Z$1000,$N102),""),IF(INDEX('Cronograma R. Financiero'!$H$5:$H$1000,$N102)="","",INDEX('Cronograma R. Financiero'!$H$5:$H$1000,$N102))))</f>
        <v/>
      </c>
      <c r="H102" s="68">
        <f>IF($N102="","",IF($P102&gt;0,IF(3&lt;=SemanaActual,INDEX('Cronograma R. Financiero'!$AA$5:$AA$1000,$N102),""),IF(INDEX('Cronograma R. Financiero'!$I$5:$I$1000,$N102)="","",INDEX('Cronograma R. Financiero'!$I$5:$I$1000,$N102))))</f>
        <v/>
      </c>
      <c r="I102" s="68">
        <f>IF($N102="","",IF($P102&gt;0,IF(4&lt;=SemanaActual,INDEX('Cronograma R. Financiero'!$AB$5:$AB$1000,$N102),""),IF(INDEX('Cronograma R. Financiero'!$J$5:$J$1000,$N102)="","",INDEX('Cronograma R. Financiero'!$J$5:$J$1000,$N102))))</f>
        <v/>
      </c>
      <c r="J102" s="68">
        <f>IF($N102="","",INDEX('Cronograma R. Financiero'!$K$5:$K$1000,$N102))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Financiero'!$M$5:$M$1000,$N102)&amp;"")</f>
        <v/>
      </c>
      <c r="M102" s="71">
        <f>IF($N102="","",INDEX('Cronograma R. Financiero'!$N$5:$N$1000,$N102)&amp;"")</f>
        <v/>
      </c>
      <c r="N102">
        <f>IFERROR(MATCH(ROW()-4,rOrden_RF,0),"")</f>
        <v/>
      </c>
      <c r="O102">
        <f>IF($N102="","",INDEX('Cronograma R. Financiero'!$S$5:$S$1000,$N102))</f>
        <v/>
      </c>
      <c r="P102">
        <f>IF($N102="","",N(INDEX('Cronograma R. Financiero'!$T$5:$T$1000,$N102)))</f>
        <v/>
      </c>
    </row>
    <row r="103">
      <c r="A103" s="62">
        <f>IF($N103="","",INDEX('Cronograma R. Financiero'!$A$5:$A$1000,$N103))</f>
        <v/>
      </c>
      <c r="B103" s="71">
        <f>IF($N103="","",IF($O103="Sub","      ↳  "&amp;INDEX('Cronograma R. Financiero'!$C$5:$C$1000,$N103),INDEX('Cronograma R. Financiero'!$C$5:$C$1000,$N103)&amp;""))</f>
        <v/>
      </c>
      <c r="C103" s="77">
        <f>IF($N103="","",IF(INDEX('Cronograma R. Financiero'!$D$5:$D$1000,$N103)="","",INDEX('Cronograma R. Financiero'!$D$5:$D$1000,$N103)))</f>
        <v/>
      </c>
      <c r="D103" s="77">
        <f>IF($N103="","",IF(INDEX('Cronograma R. Financiero'!$E$5:$E$1000,$N103)="","",INDEX('Cronograma R. Financiero'!$E$5:$E$1000,$N103)))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Financiero'!$Y$5:$Y$1000,$N103),""),IF(INDEX('Cronograma R. Financiero'!$G$5:$G$1000,$N103)="","",INDEX('Cronograma R. Financiero'!$G$5:$G$1000,$N103))))</f>
        <v/>
      </c>
      <c r="G103" s="68">
        <f>IF($N103="","",IF($P103&gt;0,IF(2&lt;=SemanaActual,INDEX('Cronograma R. Financiero'!$Z$5:$Z$1000,$N103),""),IF(INDEX('Cronograma R. Financiero'!$H$5:$H$1000,$N103)="","",INDEX('Cronograma R. Financiero'!$H$5:$H$1000,$N103))))</f>
        <v/>
      </c>
      <c r="H103" s="68">
        <f>IF($N103="","",IF($P103&gt;0,IF(3&lt;=SemanaActual,INDEX('Cronograma R. Financiero'!$AA$5:$AA$1000,$N103),""),IF(INDEX('Cronograma R. Financiero'!$I$5:$I$1000,$N103)="","",INDEX('Cronograma R. Financiero'!$I$5:$I$1000,$N103))))</f>
        <v/>
      </c>
      <c r="I103" s="68">
        <f>IF($N103="","",IF($P103&gt;0,IF(4&lt;=SemanaActual,INDEX('Cronograma R. Financiero'!$AB$5:$AB$1000,$N103),""),IF(INDEX('Cronograma R. Financiero'!$J$5:$J$1000,$N103)="","",INDEX('Cronograma R. Financiero'!$J$5:$J$1000,$N103))))</f>
        <v/>
      </c>
      <c r="J103" s="68">
        <f>IF($N103="","",INDEX('Cronograma R. Financiero'!$K$5:$K$1000,$N103))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Financiero'!$M$5:$M$1000,$N103)&amp;"")</f>
        <v/>
      </c>
      <c r="M103" s="71">
        <f>IF($N103="","",INDEX('Cronograma R. Financiero'!$N$5:$N$1000,$N103)&amp;"")</f>
        <v/>
      </c>
      <c r="N103">
        <f>IFERROR(MATCH(ROW()-4,rOrden_RF,0),"")</f>
        <v/>
      </c>
      <c r="O103">
        <f>IF($N103="","",INDEX('Cronograma R. Financiero'!$S$5:$S$1000,$N103))</f>
        <v/>
      </c>
      <c r="P103">
        <f>IF($N103="","",N(INDEX('Cronograma R. Financiero'!$T$5:$T$1000,$N103)))</f>
        <v/>
      </c>
    </row>
    <row r="104">
      <c r="A104" s="62">
        <f>IF($N104="","",INDEX('Cronograma R. Financiero'!$A$5:$A$1000,$N104))</f>
        <v/>
      </c>
      <c r="B104" s="71">
        <f>IF($N104="","",IF($O104="Sub","      ↳  "&amp;INDEX('Cronograma R. Financiero'!$C$5:$C$1000,$N104),INDEX('Cronograma R. Financiero'!$C$5:$C$1000,$N104)&amp;""))</f>
        <v/>
      </c>
      <c r="C104" s="77">
        <f>IF($N104="","",IF(INDEX('Cronograma R. Financiero'!$D$5:$D$1000,$N104)="","",INDEX('Cronograma R. Financiero'!$D$5:$D$1000,$N104)))</f>
        <v/>
      </c>
      <c r="D104" s="77">
        <f>IF($N104="","",IF(INDEX('Cronograma R. Financiero'!$E$5:$E$1000,$N104)="","",INDEX('Cronograma R. Financiero'!$E$5:$E$1000,$N104)))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Financiero'!$Y$5:$Y$1000,$N104),""),IF(INDEX('Cronograma R. Financiero'!$G$5:$G$1000,$N104)="","",INDEX('Cronograma R. Financiero'!$G$5:$G$1000,$N104))))</f>
        <v/>
      </c>
      <c r="G104" s="68">
        <f>IF($N104="","",IF($P104&gt;0,IF(2&lt;=SemanaActual,INDEX('Cronograma R. Financiero'!$Z$5:$Z$1000,$N104),""),IF(INDEX('Cronograma R. Financiero'!$H$5:$H$1000,$N104)="","",INDEX('Cronograma R. Financiero'!$H$5:$H$1000,$N104))))</f>
        <v/>
      </c>
      <c r="H104" s="68">
        <f>IF($N104="","",IF($P104&gt;0,IF(3&lt;=SemanaActual,INDEX('Cronograma R. Financiero'!$AA$5:$AA$1000,$N104),""),IF(INDEX('Cronograma R. Financiero'!$I$5:$I$1000,$N104)="","",INDEX('Cronograma R. Financiero'!$I$5:$I$1000,$N104))))</f>
        <v/>
      </c>
      <c r="I104" s="68">
        <f>IF($N104="","",IF($P104&gt;0,IF(4&lt;=SemanaActual,INDEX('Cronograma R. Financiero'!$AB$5:$AB$1000,$N104),""),IF(INDEX('Cronograma R. Financiero'!$J$5:$J$1000,$N104)="","",INDEX('Cronograma R. Financiero'!$J$5:$J$1000,$N104))))</f>
        <v/>
      </c>
      <c r="J104" s="68">
        <f>IF($N104="","",INDEX('Cronograma R. Financiero'!$K$5:$K$1000,$N104))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Financiero'!$M$5:$M$1000,$N104)&amp;"")</f>
        <v/>
      </c>
      <c r="M104" s="71">
        <f>IF($N104="","",INDEX('Cronograma R. Financiero'!$N$5:$N$1000,$N104)&amp;"")</f>
        <v/>
      </c>
      <c r="N104">
        <f>IFERROR(MATCH(ROW()-4,rOrden_RF,0),"")</f>
        <v/>
      </c>
      <c r="O104">
        <f>IF($N104="","",INDEX('Cronograma R. Financiero'!$S$5:$S$1000,$N104))</f>
        <v/>
      </c>
      <c r="P104">
        <f>IF($N104="","",N(INDEX('Cronograma R. Financiero'!$T$5:$T$1000,$N104)))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M104">
    <cfRule type="expression" priority="3" dxfId="23">
      <formula>$O5="Macro"</formula>
    </cfRule>
  </conditionalFormatting>
  <conditionalFormatting sqref="A5:B104">
    <cfRule type="expression" priority="4" dxfId="24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82" t="inlineStr">
        <is>
          <t>Cronograma – Asistente Técnico de Riesgo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83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Fecha de inicio</t>
        </is>
      </c>
      <c r="E4" s="7" t="inlineStr">
        <is>
          <t>Fecha límite</t>
        </is>
      </c>
      <c r="F4" s="7" t="inlineStr">
        <is>
          <t>Peso de actividad (%)</t>
        </is>
      </c>
      <c r="G4" s="7" t="inlineStr">
        <is>
          <t>Avance Semana 1 (%)</t>
        </is>
      </c>
      <c r="H4" s="7" t="inlineStr">
        <is>
          <t>Avance Semana 2 (%)</t>
        </is>
      </c>
      <c r="I4" s="7" t="inlineStr">
        <is>
          <t>Avance Semana 3 (%)</t>
        </is>
      </c>
      <c r="J4" s="7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7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","")&amp;IF(AND($S5="Sub",$F5="",N($R5)&gt;0,N(INDEX($AG$5:$AG$1000,$R5-4))&gt;0),"Falta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","")&amp;IF(AND($S6="Sub",$F6="",N($R6)&gt;0,N(INDEX($AG$5:$AG$1000,$R6-4))&gt;0),"Falta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","")&amp;IF(AND($S7="Sub",$F7="",N($R7)&gt;0,N(INDEX($AG$5:$AG$1000,$R7-4))&gt;0),"Falta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","")&amp;IF(AND($S8="Sub",$F8="",N($R8)&gt;0,N(INDEX($AG$5:$AG$1000,$R8-4))&gt;0),"Falta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","")&amp;IF(AND($S9="Sub",$F9="",N($R9)&gt;0,N(INDEX($AG$5:$AG$1000,$R9-4))&gt;0),"Falta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","")&amp;IF(AND($S10="Sub",$F10="",N($R10)&gt;0,N(INDEX($AG$5:$AG$1000,$R10-4))&gt;0),"Falta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","")&amp;IF(AND($S11="Sub",$F11="",N($R11)&gt;0,N(INDEX($AG$5:$AG$1000,$R11-4))&gt;0),"Falta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","")&amp;IF(AND($S12="Sub",$F12="",N($R12)&gt;0,N(INDEX($AG$5:$AG$1000,$R12-4))&gt;0),"Falta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","")&amp;IF(AND($S13="Sub",$F13="",N($R13)&gt;0,N(INDEX($AG$5:$AG$1000,$R13-4))&gt;0),"Falta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","")&amp;IF(AND($S14="Sub",$F14="",N($R14)&gt;0,N(INDEX($AG$5:$AG$1000,$R14-4))&gt;0),"Falta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","")&amp;IF(AND($S15="Sub",$F15="",N($R15)&gt;0,N(INDEX($AG$5:$AG$1000,$R15-4))&gt;0),"Falta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","")&amp;IF(AND($S16="Sub",$F16="",N($R16)&gt;0,N(INDEX($AG$5:$AG$1000,$R16-4))&gt;0),"Falta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","")&amp;IF(AND($S17="Sub",$F17="",N($R17)&gt;0,N(INDEX($AG$5:$AG$1000,$R17-4))&gt;0),"Falta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","")&amp;IF(AND($S18="Sub",$F18="",N($R18)&gt;0,N(INDEX($AG$5:$AG$1000,$R18-4))&gt;0),"Falta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","")&amp;IF(AND($S19="Sub",$F19="",N($R19)&gt;0,N(INDEX($AG$5:$AG$1000,$R19-4))&gt;0),"Falta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","")&amp;IF(AND($S20="Sub",$F20="",N($R20)&gt;0,N(INDEX($AG$5:$AG$1000,$R20-4))&gt;0),"Falta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","")&amp;IF(AND($S21="Sub",$F21="",N($R21)&gt;0,N(INDEX($AG$5:$AG$1000,$R21-4))&gt;0),"Falta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","")&amp;IF(AND($S22="Sub",$F22="",N($R22)&gt;0,N(INDEX($AG$5:$AG$1000,$R22-4))&gt;0),"Falta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","")&amp;IF(AND($S23="Sub",$F23="",N($R23)&gt;0,N(INDEX($AG$5:$AG$1000,$R23-4))&gt;0),"Falta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","")&amp;IF(AND($S24="Sub",$F24="",N($R24)&gt;0,N(INDEX($AG$5:$AG$1000,$R24-4))&gt;0),"Falta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","")&amp;IF(AND($S25="Sub",$F25="",N($R25)&gt;0,N(INDEX($AG$5:$AG$1000,$R25-4))&gt;0),"Falta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","")&amp;IF(AND($S26="Sub",$F26="",N($R26)&gt;0,N(INDEX($AG$5:$AG$1000,$R26-4))&gt;0),"Falta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","")&amp;IF(AND($S27="Sub",$F27="",N($R27)&gt;0,N(INDEX($AG$5:$AG$1000,$R27-4))&gt;0),"Falta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","")&amp;IF(AND($S28="Sub",$F28="",N($R28)&gt;0,N(INDEX($AG$5:$AG$1000,$R28-4))&gt;0),"Falta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","")&amp;IF(AND($S29="Sub",$F29="",N($R29)&gt;0,N(INDEX($AG$5:$AG$1000,$R29-4))&gt;0),"Falta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","")&amp;IF(AND($S30="Sub",$F30="",N($R30)&gt;0,N(INDEX($AG$5:$AG$1000,$R30-4))&gt;0),"Falta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","")&amp;IF(AND($S31="Sub",$F31="",N($R31)&gt;0,N(INDEX($AG$5:$AG$1000,$R31-4))&gt;0),"Falta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","")&amp;IF(AND($S32="Sub",$F32="",N($R32)&gt;0,N(INDEX($AG$5:$AG$1000,$R32-4))&gt;0),"Falta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","")&amp;IF(AND($S33="Sub",$F33="",N($R33)&gt;0,N(INDEX($AG$5:$AG$1000,$R33-4))&gt;0),"Falta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","")&amp;IF(AND($S34="Sub",$F34="",N($R34)&gt;0,N(INDEX($AG$5:$AG$1000,$R34-4))&gt;0),"Falta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","")&amp;IF(AND($S35="Sub",$F35="",N($R35)&gt;0,N(INDEX($AG$5:$AG$1000,$R35-4))&gt;0),"Falta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","")&amp;IF(AND($S36="Sub",$F36="",N($R36)&gt;0,N(INDEX($AG$5:$AG$1000,$R36-4))&gt;0),"Falta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","")&amp;IF(AND($S37="Sub",$F37="",N($R37)&gt;0,N(INDEX($AG$5:$AG$1000,$R37-4))&gt;0),"Falta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","")&amp;IF(AND($S38="Sub",$F38="",N($R38)&gt;0,N(INDEX($AG$5:$AG$1000,$R38-4))&gt;0),"Falta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","")&amp;IF(AND($S39="Sub",$F39="",N($R39)&gt;0,N(INDEX($AG$5:$AG$1000,$R39-4))&gt;0),"Falta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","")&amp;IF(AND($S40="Sub",$F40="",N($R40)&gt;0,N(INDEX($AG$5:$AG$1000,$R40-4))&gt;0),"Falta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","")&amp;IF(AND($S41="Sub",$F41="",N($R41)&gt;0,N(INDEX($AG$5:$AG$1000,$R41-4))&gt;0),"Falta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","")&amp;IF(AND($S42="Sub",$F42="",N($R42)&gt;0,N(INDEX($AG$5:$AG$1000,$R42-4))&gt;0),"Falta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","")&amp;IF(AND($S43="Sub",$F43="",N($R43)&gt;0,N(INDEX($AG$5:$AG$1000,$R43-4))&gt;0),"Falta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","")&amp;IF(AND($S44="Sub",$F44="",N($R44)&gt;0,N(INDEX($AG$5:$AG$1000,$R44-4))&gt;0),"Falta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","")&amp;IF(AND($S45="Sub",$F45="",N($R45)&gt;0,N(INDEX($AG$5:$AG$1000,$R45-4))&gt;0),"Falta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","")&amp;IF(AND($S46="Sub",$F46="",N($R46)&gt;0,N(INDEX($AG$5:$AG$1000,$R46-4))&gt;0),"Falta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","")&amp;IF(AND($S47="Sub",$F47="",N($R47)&gt;0,N(INDEX($AG$5:$AG$1000,$R47-4))&gt;0),"Falta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","")&amp;IF(AND($S48="Sub",$F48="",N($R48)&gt;0,N(INDEX($AG$5:$AG$1000,$R48-4))&gt;0),"Falta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","")&amp;IF(AND($S49="Sub",$F49="",N($R49)&gt;0,N(INDEX($AG$5:$AG$1000,$R49-4))&gt;0),"Falta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","")&amp;IF(AND($S50="Sub",$F50="",N($R50)&gt;0,N(INDEX($AG$5:$AG$1000,$R50-4))&gt;0),"Falta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","")&amp;IF(AND($S51="Sub",$F51="",N($R51)&gt;0,N(INDEX($AG$5:$AG$1000,$R51-4))&gt;0),"Falta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","")&amp;IF(AND($S52="Sub",$F52="",N($R52)&gt;0,N(INDEX($AG$5:$AG$1000,$R52-4))&gt;0),"Falta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","")&amp;IF(AND($S53="Sub",$F53="",N($R53)&gt;0,N(INDEX($AG$5:$AG$1000,$R53-4))&gt;0),"Falta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","")&amp;IF(AND($S54="Sub",$F54="",N($R54)&gt;0,N(INDEX($AG$5:$AG$1000,$R54-4))&gt;0),"Falta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","")&amp;IF(AND($S55="Sub",$F55="",N($R55)&gt;0,N(INDEX($AG$5:$AG$1000,$R55-4))&gt;0),"Falta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","")&amp;IF(AND($S56="Sub",$F56="",N($R56)&gt;0,N(INDEX($AG$5:$AG$1000,$R56-4))&gt;0),"Falta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","")&amp;IF(AND($S57="Sub",$F57="",N($R57)&gt;0,N(INDEX($AG$5:$AG$1000,$R57-4))&gt;0),"Falta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","")&amp;IF(AND($S58="Sub",$F58="",N($R58)&gt;0,N(INDEX($AG$5:$AG$1000,$R58-4))&gt;0),"Falta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","")&amp;IF(AND($S59="Sub",$F59="",N($R59)&gt;0,N(INDEX($AG$5:$AG$1000,$R59-4))&gt;0),"Falta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","")&amp;IF(AND($S60="Sub",$F60="",N($R60)&gt;0,N(INDEX($AG$5:$AG$1000,$R60-4))&gt;0),"Falta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","")&amp;IF(AND($S61="Sub",$F61="",N($R61)&gt;0,N(INDEX($AG$5:$AG$1000,$R61-4))&gt;0),"Falta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","")&amp;IF(AND($S62="Sub",$F62="",N($R62)&gt;0,N(INDEX($AG$5:$AG$1000,$R62-4))&gt;0),"Falta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","")&amp;IF(AND($S63="Sub",$F63="",N($R63)&gt;0,N(INDEX($AG$5:$AG$1000,$R63-4))&gt;0),"Falta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","")&amp;IF(AND($S64="Sub",$F64="",N($R64)&gt;0,N(INDEX($AG$5:$AG$1000,$R64-4))&gt;0),"Falta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","")&amp;IF(AND($S65="Sub",$F65="",N($R65)&gt;0,N(INDEX($AG$5:$AG$1000,$R65-4))&gt;0),"Falta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","")&amp;IF(AND($S66="Sub",$F66="",N($R66)&gt;0,N(INDEX($AG$5:$AG$1000,$R66-4))&gt;0),"Falta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","")&amp;IF(AND($S67="Sub",$F67="",N($R67)&gt;0,N(INDEX($AG$5:$AG$1000,$R67-4))&gt;0),"Falta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","")&amp;IF(AND($S68="Sub",$F68="",N($R68)&gt;0,N(INDEX($AG$5:$AG$1000,$R68-4))&gt;0),"Falta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","")&amp;IF(AND($S69="Sub",$F69="",N($R69)&gt;0,N(INDEX($AG$5:$AG$1000,$R69-4))&gt;0),"Falta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","")&amp;IF(AND($S70="Sub",$F70="",N($R70)&gt;0,N(INDEX($AG$5:$AG$1000,$R70-4))&gt;0),"Falta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","")&amp;IF(AND($S71="Sub",$F71="",N($R71)&gt;0,N(INDEX($AG$5:$AG$1000,$R71-4))&gt;0),"Falta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","")&amp;IF(AND($S72="Sub",$F72="",N($R72)&gt;0,N(INDEX($AG$5:$AG$1000,$R72-4))&gt;0),"Falta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","")&amp;IF(AND($S73="Sub",$F73="",N($R73)&gt;0,N(INDEX($AG$5:$AG$1000,$R73-4))&gt;0),"Falta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","")&amp;IF(AND($S74="Sub",$F74="",N($R74)&gt;0,N(INDEX($AG$5:$AG$1000,$R74-4))&gt;0),"Falta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","")&amp;IF(AND($S75="Sub",$F75="",N($R75)&gt;0,N(INDEX($AG$5:$AG$1000,$R75-4))&gt;0),"Falta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","")&amp;IF(AND($S76="Sub",$F76="",N($R76)&gt;0,N(INDEX($AG$5:$AG$1000,$R76-4))&gt;0),"Falta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","")&amp;IF(AND($S77="Sub",$F77="",N($R77)&gt;0,N(INDEX($AG$5:$AG$1000,$R77-4))&gt;0),"Falta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","")&amp;IF(AND($S78="Sub",$F78="",N($R78)&gt;0,N(INDEX($AG$5:$AG$1000,$R78-4))&gt;0),"Falta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","")&amp;IF(AND($S79="Sub",$F79="",N($R79)&gt;0,N(INDEX($AG$5:$AG$1000,$R79-4))&gt;0),"Falta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","")&amp;IF(AND($S80="Sub",$F80="",N($R80)&gt;0,N(INDEX($AG$5:$AG$1000,$R80-4))&gt;0),"Falta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","")&amp;IF(AND($S81="Sub",$F81="",N($R81)&gt;0,N(INDEX($AG$5:$AG$1000,$R81-4))&gt;0),"Falta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","")&amp;IF(AND($S82="Sub",$F82="",N($R82)&gt;0,N(INDEX($AG$5:$AG$1000,$R82-4))&gt;0),"Falta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","")&amp;IF(AND($S83="Sub",$F83="",N($R83)&gt;0,N(INDEX($AG$5:$AG$1000,$R83-4))&gt;0),"Falta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","")&amp;IF(AND($S84="Sub",$F84="",N($R84)&gt;0,N(INDEX($AG$5:$AG$1000,$R84-4))&gt;0),"Falta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","")&amp;IF(AND($S85="Sub",$F85="",N($R85)&gt;0,N(INDEX($AG$5:$AG$1000,$R85-4))&gt;0),"Falta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","")&amp;IF(AND($S86="Sub",$F86="",N($R86)&gt;0,N(INDEX($AG$5:$AG$1000,$R86-4))&gt;0),"Falta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","")&amp;IF(AND($S87="Sub",$F87="",N($R87)&gt;0,N(INDEX($AG$5:$AG$1000,$R87-4))&gt;0),"Falta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","")&amp;IF(AND($S88="Sub",$F88="",N($R88)&gt;0,N(INDEX($AG$5:$AG$1000,$R88-4))&gt;0),"Falta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","")&amp;IF(AND($S89="Sub",$F89="",N($R89)&gt;0,N(INDEX($AG$5:$AG$1000,$R89-4))&gt;0),"Falta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","")&amp;IF(AND($S90="Sub",$F90="",N($R90)&gt;0,N(INDEX($AG$5:$AG$1000,$R90-4))&gt;0),"Falta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","")&amp;IF(AND($S91="Sub",$F91="",N($R91)&gt;0,N(INDEX($AG$5:$AG$1000,$R91-4))&gt;0),"Falta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","")&amp;IF(AND($S92="Sub",$F92="",N($R92)&gt;0,N(INDEX($AG$5:$AG$1000,$R92-4))&gt;0),"Falta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","")&amp;IF(AND($S93="Sub",$F93="",N($R93)&gt;0,N(INDEX($AG$5:$AG$1000,$R93-4))&gt;0),"Falta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","")&amp;IF(AND($S94="Sub",$F94="",N($R94)&gt;0,N(INDEX($AG$5:$AG$1000,$R94-4))&gt;0),"Falta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","")&amp;IF(AND($S95="Sub",$F95="",N($R95)&gt;0,N(INDEX($AG$5:$AG$1000,$R95-4))&gt;0),"Falta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","")&amp;IF(AND($S96="Sub",$F96="",N($R96)&gt;0,N(INDEX($AG$5:$AG$1000,$R96-4))&gt;0),"Falta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","")&amp;IF(AND($S97="Sub",$F97="",N($R97)&gt;0,N(INDEX($AG$5:$AG$1000,$R97-4))&gt;0),"Falta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","")&amp;IF(AND($S98="Sub",$F98="",N($R98)&gt;0,N(INDEX($AG$5:$AG$1000,$R98-4))&gt;0),"Falta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","")&amp;IF(AND($S99="Sub",$F99="",N($R99)&gt;0,N(INDEX($AG$5:$AG$1000,$R99-4))&gt;0),"Falta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","")&amp;IF(AND($S100="Sub",$F100="",N($R100)&gt;0,N(INDEX($AG$5:$AG$1000,$R100-4))&gt;0),"Falta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","")&amp;IF(AND($S101="Sub",$F101="",N($R101)&gt;0,N(INDEX($AG$5:$AG$1000,$R101-4))&gt;0),"Falta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","")&amp;IF(AND($S102="Sub",$F102="",N($R102)&gt;0,N(INDEX($AG$5:$AG$1000,$R102-4))&gt;0),"Falta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","")&amp;IF(AND($S103="Sub",$F103="",N($R103)&gt;0,N(INDEX($AG$5:$AG$1000,$R103-4))&gt;0),"Falta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","")&amp;IF(AND($S104="Sub",$F104="",N($R104)&gt;0,N(INDEX($AG$5:$AG$1000,$R104-4))&gt;0),"Falta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","")&amp;IF(AND($S105="Sub",$F105="",N($R105)&gt;0,N(INDEX($AG$5:$AG$1000,$R105-4))&gt;0),"Falta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","")&amp;IF(AND($S106="Sub",$F106="",N($R106)&gt;0,N(INDEX($AG$5:$AG$1000,$R106-4))&gt;0),"Falta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","")&amp;IF(AND($S107="Sub",$F107="",N($R107)&gt;0,N(INDEX($AG$5:$AG$1000,$R107-4))&gt;0),"Falta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","")&amp;IF(AND($S108="Sub",$F108="",N($R108)&gt;0,N(INDEX($AG$5:$AG$1000,$R108-4))&gt;0),"Falta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","")&amp;IF(AND($S109="Sub",$F109="",N($R109)&gt;0,N(INDEX($AG$5:$AG$1000,$R109-4))&gt;0),"Falta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","")&amp;IF(AND($S110="Sub",$F110="",N($R110)&gt;0,N(INDEX($AG$5:$AG$1000,$R110-4))&gt;0),"Falta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","")&amp;IF(AND($S111="Sub",$F111="",N($R111)&gt;0,N(INDEX($AG$5:$AG$1000,$R111-4))&gt;0),"Falta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","")&amp;IF(AND($S112="Sub",$F112="",N($R112)&gt;0,N(INDEX($AG$5:$AG$1000,$R112-4))&gt;0),"Falta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","")&amp;IF(AND($S113="Sub",$F113="",N($R113)&gt;0,N(INDEX($AG$5:$AG$1000,$R113-4))&gt;0),"Falta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","")&amp;IF(AND($S114="Sub",$F114="",N($R114)&gt;0,N(INDEX($AG$5:$AG$1000,$R114-4))&gt;0),"Falta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","")&amp;IF(AND($S115="Sub",$F115="",N($R115)&gt;0,N(INDEX($AG$5:$AG$1000,$R115-4))&gt;0),"Falta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","")&amp;IF(AND($S116="Sub",$F116="",N($R116)&gt;0,N(INDEX($AG$5:$AG$1000,$R116-4))&gt;0),"Falta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","")&amp;IF(AND($S117="Sub",$F117="",N($R117)&gt;0,N(INDEX($AG$5:$AG$1000,$R117-4))&gt;0),"Falta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","")&amp;IF(AND($S118="Sub",$F118="",N($R118)&gt;0,N(INDEX($AG$5:$AG$1000,$R118-4))&gt;0),"Falta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","")&amp;IF(AND($S119="Sub",$F119="",N($R119)&gt;0,N(INDEX($AG$5:$AG$1000,$R119-4))&gt;0),"Falta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","")&amp;IF(AND($S120="Sub",$F120="",N($R120)&gt;0,N(INDEX($AG$5:$AG$1000,$R120-4))&gt;0),"Falta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","")&amp;IF(AND($S121="Sub",$F121="",N($R121)&gt;0,N(INDEX($AG$5:$AG$1000,$R121-4))&gt;0),"Falta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","")&amp;IF(AND($S122="Sub",$F122="",N($R122)&gt;0,N(INDEX($AG$5:$AG$1000,$R122-4))&gt;0),"Falta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","")&amp;IF(AND($S123="Sub",$F123="",N($R123)&gt;0,N(INDEX($AG$5:$AG$1000,$R123-4))&gt;0),"Falta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","")&amp;IF(AND($S124="Sub",$F124="",N($R124)&gt;0,N(INDEX($AG$5:$AG$1000,$R124-4))&gt;0),"Falta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","")&amp;IF(AND($S125="Sub",$F125="",N($R125)&gt;0,N(INDEX($AG$5:$AG$1000,$R125-4))&gt;0),"Falta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","")&amp;IF(AND($S126="Sub",$F126="",N($R126)&gt;0,N(INDEX($AG$5:$AG$1000,$R126-4))&gt;0),"Falta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","")&amp;IF(AND($S127="Sub",$F127="",N($R127)&gt;0,N(INDEX($AG$5:$AG$1000,$R127-4))&gt;0),"Falta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","")&amp;IF(AND($S128="Sub",$F128="",N($R128)&gt;0,N(INDEX($AG$5:$AG$1000,$R128-4))&gt;0),"Falta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","")&amp;IF(AND($S129="Sub",$F129="",N($R129)&gt;0,N(INDEX($AG$5:$AG$1000,$R129-4))&gt;0),"Falta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","")&amp;IF(AND($S130="Sub",$F130="",N($R130)&gt;0,N(INDEX($AG$5:$AG$1000,$R130-4))&gt;0),"Falta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","")&amp;IF(AND($S131="Sub",$F131="",N($R131)&gt;0,N(INDEX($AG$5:$AG$1000,$R131-4))&gt;0),"Falta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","")&amp;IF(AND($S132="Sub",$F132="",N($R132)&gt;0,N(INDEX($AG$5:$AG$1000,$R132-4))&gt;0),"Falta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","")&amp;IF(AND($S133="Sub",$F133="",N($R133)&gt;0,N(INDEX($AG$5:$AG$1000,$R133-4))&gt;0),"Falta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","")&amp;IF(AND($S134="Sub",$F134="",N($R134)&gt;0,N(INDEX($AG$5:$AG$1000,$R134-4))&gt;0),"Falta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","")&amp;IF(AND($S135="Sub",$F135="",N($R135)&gt;0,N(INDEX($AG$5:$AG$1000,$R135-4))&gt;0),"Falta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","")&amp;IF(AND($S136="Sub",$F136="",N($R136)&gt;0,N(INDEX($AG$5:$AG$1000,$R136-4))&gt;0),"Falta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","")&amp;IF(AND($S137="Sub",$F137="",N($R137)&gt;0,N(INDEX($AG$5:$AG$1000,$R137-4))&gt;0),"Falta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","")&amp;IF(AND($S138="Sub",$F138="",N($R138)&gt;0,N(INDEX($AG$5:$AG$1000,$R138-4))&gt;0),"Falta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","")&amp;IF(AND($S139="Sub",$F139="",N($R139)&gt;0,N(INDEX($AG$5:$AG$1000,$R139-4))&gt;0),"Falta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","")&amp;IF(AND($S140="Sub",$F140="",N($R140)&gt;0,N(INDEX($AG$5:$AG$1000,$R140-4))&gt;0),"Falta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","")&amp;IF(AND($S141="Sub",$F141="",N($R141)&gt;0,N(INDEX($AG$5:$AG$1000,$R141-4))&gt;0),"Falta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","")&amp;IF(AND($S142="Sub",$F142="",N($R142)&gt;0,N(INDEX($AG$5:$AG$1000,$R142-4))&gt;0),"Falta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","")&amp;IF(AND($S143="Sub",$F143="",N($R143)&gt;0,N(INDEX($AG$5:$AG$1000,$R143-4))&gt;0),"Falta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","")&amp;IF(AND($S144="Sub",$F144="",N($R144)&gt;0,N(INDEX($AG$5:$AG$1000,$R144-4))&gt;0),"Falta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","")&amp;IF(AND($S145="Sub",$F145="",N($R145)&gt;0,N(INDEX($AG$5:$AG$1000,$R145-4))&gt;0),"Falta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","")&amp;IF(AND($S146="Sub",$F146="",N($R146)&gt;0,N(INDEX($AG$5:$AG$1000,$R146-4))&gt;0),"Falta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","")&amp;IF(AND($S147="Sub",$F147="",N($R147)&gt;0,N(INDEX($AG$5:$AG$1000,$R147-4))&gt;0),"Falta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","")&amp;IF(AND($S148="Sub",$F148="",N($R148)&gt;0,N(INDEX($AG$5:$AG$1000,$R148-4))&gt;0),"Falta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","")&amp;IF(AND($S149="Sub",$F149="",N($R149)&gt;0,N(INDEX($AG$5:$AG$1000,$R149-4))&gt;0),"Falta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","")&amp;IF(AND($S150="Sub",$F150="",N($R150)&gt;0,N(INDEX($AG$5:$AG$1000,$R150-4))&gt;0),"Falta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","")&amp;IF(AND($S151="Sub",$F151="",N($R151)&gt;0,N(INDEX($AG$5:$AG$1000,$R151-4))&gt;0),"Falta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","")&amp;IF(AND($S152="Sub",$F152="",N($R152)&gt;0,N(INDEX($AG$5:$AG$1000,$R152-4))&gt;0),"Falta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","")&amp;IF(AND($S153="Sub",$F153="",N($R153)&gt;0,N(INDEX($AG$5:$AG$1000,$R153-4))&gt;0),"Falta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","")&amp;IF(AND($S154="Sub",$F154="",N($R154)&gt;0,N(INDEX($AG$5:$AG$1000,$R154-4))&gt;0),"Falta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","")&amp;IF(AND($S155="Sub",$F155="",N($R155)&gt;0,N(INDEX($AG$5:$AG$1000,$R155-4))&gt;0),"Falta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","")&amp;IF(AND($S156="Sub",$F156="",N($R156)&gt;0,N(INDEX($AG$5:$AG$1000,$R156-4))&gt;0),"Falta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","")&amp;IF(AND($S157="Sub",$F157="",N($R157)&gt;0,N(INDEX($AG$5:$AG$1000,$R157-4))&gt;0),"Falta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","")&amp;IF(AND($S158="Sub",$F158="",N($R158)&gt;0,N(INDEX($AG$5:$AG$1000,$R158-4))&gt;0),"Falta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","")&amp;IF(AND($S159="Sub",$F159="",N($R159)&gt;0,N(INDEX($AG$5:$AG$1000,$R159-4))&gt;0),"Falta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","")&amp;IF(AND($S160="Sub",$F160="",N($R160)&gt;0,N(INDEX($AG$5:$AG$1000,$R160-4))&gt;0),"Falta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","")&amp;IF(AND($S161="Sub",$F161="",N($R161)&gt;0,N(INDEX($AG$5:$AG$1000,$R161-4))&gt;0),"Falta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","")&amp;IF(AND($S162="Sub",$F162="",N($R162)&gt;0,N(INDEX($AG$5:$AG$1000,$R162-4))&gt;0),"Falta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","")&amp;IF(AND($S163="Sub",$F163="",N($R163)&gt;0,N(INDEX($AG$5:$AG$1000,$R163-4))&gt;0),"Falta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","")&amp;IF(AND($S164="Sub",$F164="",N($R164)&gt;0,N(INDEX($AG$5:$AG$1000,$R164-4))&gt;0),"Falta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","")&amp;IF(AND($S165="Sub",$F165="",N($R165)&gt;0,N(INDEX($AG$5:$AG$1000,$R165-4))&gt;0),"Falta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","")&amp;IF(AND($S166="Sub",$F166="",N($R166)&gt;0,N(INDEX($AG$5:$AG$1000,$R166-4))&gt;0),"Falta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","")&amp;IF(AND($S167="Sub",$F167="",N($R167)&gt;0,N(INDEX($AG$5:$AG$1000,$R167-4))&gt;0),"Falta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","")&amp;IF(AND($S168="Sub",$F168="",N($R168)&gt;0,N(INDEX($AG$5:$AG$1000,$R168-4))&gt;0),"Falta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","")&amp;IF(AND($S169="Sub",$F169="",N($R169)&gt;0,N(INDEX($AG$5:$AG$1000,$R169-4))&gt;0),"Falta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","")&amp;IF(AND($S170="Sub",$F170="",N($R170)&gt;0,N(INDEX($AG$5:$AG$1000,$R170-4))&gt;0),"Falta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","")&amp;IF(AND($S171="Sub",$F171="",N($R171)&gt;0,N(INDEX($AG$5:$AG$1000,$R171-4))&gt;0),"Falta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","")&amp;IF(AND($S172="Sub",$F172="",N($R172)&gt;0,N(INDEX($AG$5:$AG$1000,$R172-4))&gt;0),"Falta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","")&amp;IF(AND($S173="Sub",$F173="",N($R173)&gt;0,N(INDEX($AG$5:$AG$1000,$R173-4))&gt;0),"Falta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","")&amp;IF(AND($S174="Sub",$F174="",N($R174)&gt;0,N(INDEX($AG$5:$AG$1000,$R174-4))&gt;0),"Falta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","")&amp;IF(AND($S175="Sub",$F175="",N($R175)&gt;0,N(INDEX($AG$5:$AG$1000,$R175-4))&gt;0),"Falta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","")&amp;IF(AND($S176="Sub",$F176="",N($R176)&gt;0,N(INDEX($AG$5:$AG$1000,$R176-4))&gt;0),"Falta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","")&amp;IF(AND($S177="Sub",$F177="",N($R177)&gt;0,N(INDEX($AG$5:$AG$1000,$R177-4))&gt;0),"Falta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","")&amp;IF(AND($S178="Sub",$F178="",N($R178)&gt;0,N(INDEX($AG$5:$AG$1000,$R178-4))&gt;0),"Falta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","")&amp;IF(AND($S179="Sub",$F179="",N($R179)&gt;0,N(INDEX($AG$5:$AG$1000,$R179-4))&gt;0),"Falta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","")&amp;IF(AND($S180="Sub",$F180="",N($R180)&gt;0,N(INDEX($AG$5:$AG$1000,$R180-4))&gt;0),"Falta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","")&amp;IF(AND($S181="Sub",$F181="",N($R181)&gt;0,N(INDEX($AG$5:$AG$1000,$R181-4))&gt;0),"Falta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","")&amp;IF(AND($S182="Sub",$F182="",N($R182)&gt;0,N(INDEX($AG$5:$AG$1000,$R182-4))&gt;0),"Falta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","")&amp;IF(AND($S183="Sub",$F183="",N($R183)&gt;0,N(INDEX($AG$5:$AG$1000,$R183-4))&gt;0),"Falta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","")&amp;IF(AND($S184="Sub",$F184="",N($R184)&gt;0,N(INDEX($AG$5:$AG$1000,$R184-4))&gt;0),"Falta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","")&amp;IF(AND($S185="Sub",$F185="",N($R185)&gt;0,N(INDEX($AG$5:$AG$1000,$R185-4))&gt;0),"Falta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","")&amp;IF(AND($S186="Sub",$F186="",N($R186)&gt;0,N(INDEX($AG$5:$AG$1000,$R186-4))&gt;0),"Falta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","")&amp;IF(AND($S187="Sub",$F187="",N($R187)&gt;0,N(INDEX($AG$5:$AG$1000,$R187-4))&gt;0),"Falta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","")&amp;IF(AND($S188="Sub",$F188="",N($R188)&gt;0,N(INDEX($AG$5:$AG$1000,$R188-4))&gt;0),"Falta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","")&amp;IF(AND($S189="Sub",$F189="",N($R189)&gt;0,N(INDEX($AG$5:$AG$1000,$R189-4))&gt;0),"Falta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","")&amp;IF(AND($S190="Sub",$F190="",N($R190)&gt;0,N(INDEX($AG$5:$AG$1000,$R190-4))&gt;0),"Falta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","")&amp;IF(AND($S191="Sub",$F191="",N($R191)&gt;0,N(INDEX($AG$5:$AG$1000,$R191-4))&gt;0),"Falta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","")&amp;IF(AND($S192="Sub",$F192="",N($R192)&gt;0,N(INDEX($AG$5:$AG$1000,$R192-4))&gt;0),"Falta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","")&amp;IF(AND($S193="Sub",$F193="",N($R193)&gt;0,N(INDEX($AG$5:$AG$1000,$R193-4))&gt;0),"Falta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","")&amp;IF(AND($S194="Sub",$F194="",N($R194)&gt;0,N(INDEX($AG$5:$AG$1000,$R194-4))&gt;0),"Falta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","")&amp;IF(AND($S195="Sub",$F195="",N($R195)&gt;0,N(INDEX($AG$5:$AG$1000,$R195-4))&gt;0),"Falta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","")&amp;IF(AND($S196="Sub",$F196="",N($R196)&gt;0,N(INDEX($AG$5:$AG$1000,$R196-4))&gt;0),"Falta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","")&amp;IF(AND($S197="Sub",$F197="",N($R197)&gt;0,N(INDEX($AG$5:$AG$1000,$R197-4))&gt;0),"Falta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","")&amp;IF(AND($S198="Sub",$F198="",N($R198)&gt;0,N(INDEX($AG$5:$AG$1000,$R198-4))&gt;0),"Falta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","")&amp;IF(AND($S199="Sub",$F199="",N($R199)&gt;0,N(INDEX($AG$5:$AG$1000,$R199-4))&gt;0),"Falta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","")&amp;IF(AND($S200="Sub",$F200="",N($R200)&gt;0,N(INDEX($AG$5:$AG$1000,$R200-4))&gt;0),"Falta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","")&amp;IF(AND($S201="Sub",$F201="",N($R201)&gt;0,N(INDEX($AG$5:$AG$1000,$R201-4))&gt;0),"Falta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","")&amp;IF(AND($S202="Sub",$F202="",N($R202)&gt;0,N(INDEX($AG$5:$AG$1000,$R202-4))&gt;0),"Falta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","")&amp;IF(AND($S203="Sub",$F203="",N($R203)&gt;0,N(INDEX($AG$5:$AG$1000,$R203-4))&gt;0),"Falta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","")&amp;IF(AND($S204="Sub",$F204="",N($R204)&gt;0,N(INDEX($AG$5:$AG$1000,$R204-4))&gt;0),"Falta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","")&amp;IF(AND($S205="Sub",$F205="",N($R205)&gt;0,N(INDEX($AG$5:$AG$1000,$R205-4))&gt;0),"Falta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","")&amp;IF(AND($S206="Sub",$F206="",N($R206)&gt;0,N(INDEX($AG$5:$AG$1000,$R206-4))&gt;0),"Falta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","")&amp;IF(AND($S207="Sub",$F207="",N($R207)&gt;0,N(INDEX($AG$5:$AG$1000,$R207-4))&gt;0),"Falta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","")&amp;IF(AND($S208="Sub",$F208="",N($R208)&gt;0,N(INDEX($AG$5:$AG$1000,$R208-4))&gt;0),"Falta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","")&amp;IF(AND($S209="Sub",$F209="",N($R209)&gt;0,N(INDEX($AG$5:$AG$1000,$R209-4))&gt;0),"Falta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","")&amp;IF(AND($S210="Sub",$F210="",N($R210)&gt;0,N(INDEX($AG$5:$AG$1000,$R210-4))&gt;0),"Falta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","")&amp;IF(AND($S211="Sub",$F211="",N($R211)&gt;0,N(INDEX($AG$5:$AG$1000,$R211-4))&gt;0),"Falta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","")&amp;IF(AND($S212="Sub",$F212="",N($R212)&gt;0,N(INDEX($AG$5:$AG$1000,$R212-4))&gt;0),"Falta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","")&amp;IF(AND($S213="Sub",$F213="",N($R213)&gt;0,N(INDEX($AG$5:$AG$1000,$R213-4))&gt;0),"Falta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","")&amp;IF(AND($S214="Sub",$F214="",N($R214)&gt;0,N(INDEX($AG$5:$AG$1000,$R214-4))&gt;0),"Falta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","")&amp;IF(AND($S215="Sub",$F215="",N($R215)&gt;0,N(INDEX($AG$5:$AG$1000,$R215-4))&gt;0),"Falta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","")&amp;IF(AND($S216="Sub",$F216="",N($R216)&gt;0,N(INDEX($AG$5:$AG$1000,$R216-4))&gt;0),"Falta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","")&amp;IF(AND($S217="Sub",$F217="",N($R217)&gt;0,N(INDEX($AG$5:$AG$1000,$R217-4))&gt;0),"Falta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","")&amp;IF(AND($S218="Sub",$F218="",N($R218)&gt;0,N(INDEX($AG$5:$AG$1000,$R218-4))&gt;0),"Falta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","")&amp;IF(AND($S219="Sub",$F219="",N($R219)&gt;0,N(INDEX($AG$5:$AG$1000,$R219-4))&gt;0),"Falta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","")&amp;IF(AND($S220="Sub",$F220="",N($R220)&gt;0,N(INDEX($AG$5:$AG$1000,$R220-4))&gt;0),"Falta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","")&amp;IF(AND($S221="Sub",$F221="",N($R221)&gt;0,N(INDEX($AG$5:$AG$1000,$R221-4))&gt;0),"Falta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","")&amp;IF(AND($S222="Sub",$F222="",N($R222)&gt;0,N(INDEX($AG$5:$AG$1000,$R222-4))&gt;0),"Falta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","")&amp;IF(AND($S223="Sub",$F223="",N($R223)&gt;0,N(INDEX($AG$5:$AG$1000,$R223-4))&gt;0),"Falta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","")&amp;IF(AND($S224="Sub",$F224="",N($R224)&gt;0,N(INDEX($AG$5:$AG$1000,$R224-4))&gt;0),"Falta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","")&amp;IF(AND($S225="Sub",$F225="",N($R225)&gt;0,N(INDEX($AG$5:$AG$1000,$R225-4))&gt;0),"Falta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","")&amp;IF(AND($S226="Sub",$F226="",N($R226)&gt;0,N(INDEX($AG$5:$AG$1000,$R226-4))&gt;0),"Falta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","")&amp;IF(AND($S227="Sub",$F227="",N($R227)&gt;0,N(INDEX($AG$5:$AG$1000,$R227-4))&gt;0),"Falta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","")&amp;IF(AND($S228="Sub",$F228="",N($R228)&gt;0,N(INDEX($AG$5:$AG$1000,$R228-4))&gt;0),"Falta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","")&amp;IF(AND($S229="Sub",$F229="",N($R229)&gt;0,N(INDEX($AG$5:$AG$1000,$R229-4))&gt;0),"Falta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","")&amp;IF(AND($S230="Sub",$F230="",N($R230)&gt;0,N(INDEX($AG$5:$AG$1000,$R230-4))&gt;0),"Falta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","")&amp;IF(AND($S231="Sub",$F231="",N($R231)&gt;0,N(INDEX($AG$5:$AG$1000,$R231-4))&gt;0),"Falta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","")&amp;IF(AND($S232="Sub",$F232="",N($R232)&gt;0,N(INDEX($AG$5:$AG$1000,$R232-4))&gt;0),"Falta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","")&amp;IF(AND($S233="Sub",$F233="",N($R233)&gt;0,N(INDEX($AG$5:$AG$1000,$R233-4))&gt;0),"Falta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","")&amp;IF(AND($S234="Sub",$F234="",N($R234)&gt;0,N(INDEX($AG$5:$AG$1000,$R234-4))&gt;0),"Falta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","")&amp;IF(AND($S235="Sub",$F235="",N($R235)&gt;0,N(INDEX($AG$5:$AG$1000,$R235-4))&gt;0),"Falta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","")&amp;IF(AND($S236="Sub",$F236="",N($R236)&gt;0,N(INDEX($AG$5:$AG$1000,$R236-4))&gt;0),"Falta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","")&amp;IF(AND($S237="Sub",$F237="",N($R237)&gt;0,N(INDEX($AG$5:$AG$1000,$R237-4))&gt;0),"Falta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","")&amp;IF(AND($S238="Sub",$F238="",N($R238)&gt;0,N(INDEX($AG$5:$AG$1000,$R238-4))&gt;0),"Falta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","")&amp;IF(AND($S239="Sub",$F239="",N($R239)&gt;0,N(INDEX($AG$5:$AG$1000,$R239-4))&gt;0),"Falta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","")&amp;IF(AND($S240="Sub",$F240="",N($R240)&gt;0,N(INDEX($AG$5:$AG$1000,$R240-4))&gt;0),"Falta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","")&amp;IF(AND($S241="Sub",$F241="",N($R241)&gt;0,N(INDEX($AG$5:$AG$1000,$R241-4))&gt;0),"Falta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","")&amp;IF(AND($S242="Sub",$F242="",N($R242)&gt;0,N(INDEX($AG$5:$AG$1000,$R242-4))&gt;0),"Falta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","")&amp;IF(AND($S243="Sub",$F243="",N($R243)&gt;0,N(INDEX($AG$5:$AG$1000,$R243-4))&gt;0),"Falta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","")&amp;IF(AND($S244="Sub",$F244="",N($R244)&gt;0,N(INDEX($AG$5:$AG$1000,$R244-4))&gt;0),"Falta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","")&amp;IF(AND($S245="Sub",$F245="",N($R245)&gt;0,N(INDEX($AG$5:$AG$1000,$R245-4))&gt;0),"Falta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","")&amp;IF(AND($S246="Sub",$F246="",N($R246)&gt;0,N(INDEX($AG$5:$AG$1000,$R246-4))&gt;0),"Falta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","")&amp;IF(AND($S247="Sub",$F247="",N($R247)&gt;0,N(INDEX($AG$5:$AG$1000,$R247-4))&gt;0),"Falta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","")&amp;IF(AND($S248="Sub",$F248="",N($R248)&gt;0,N(INDEX($AG$5:$AG$1000,$R248-4))&gt;0),"Falta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","")&amp;IF(AND($S249="Sub",$F249="",N($R249)&gt;0,N(INDEX($AG$5:$AG$1000,$R249-4))&gt;0),"Falta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","")&amp;IF(AND($S250="Sub",$F250="",N($R250)&gt;0,N(INDEX($AG$5:$AG$1000,$R250-4))&gt;0),"Falta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","")&amp;IF(AND($S251="Sub",$F251="",N($R251)&gt;0,N(INDEX($AG$5:$AG$1000,$R251-4))&gt;0),"Falta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","")&amp;IF(AND($S252="Sub",$F252="",N($R252)&gt;0,N(INDEX($AG$5:$AG$1000,$R252-4))&gt;0),"Falta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","")&amp;IF(AND($S253="Sub",$F253="",N($R253)&gt;0,N(INDEX($AG$5:$AG$1000,$R253-4))&gt;0),"Falta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","")&amp;IF(AND($S254="Sub",$F254="",N($R254)&gt;0,N(INDEX($AG$5:$AG$1000,$R254-4))&gt;0),"Falta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","")&amp;IF(AND($S255="Sub",$F255="",N($R255)&gt;0,N(INDEX($AG$5:$AG$1000,$R255-4))&gt;0),"Falta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","")&amp;IF(AND($S256="Sub",$F256="",N($R256)&gt;0,N(INDEX($AG$5:$AG$1000,$R256-4))&gt;0),"Falta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","")&amp;IF(AND($S257="Sub",$F257="",N($R257)&gt;0,N(INDEX($AG$5:$AG$1000,$R257-4))&gt;0),"Falta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","")&amp;IF(AND($S258="Sub",$F258="",N($R258)&gt;0,N(INDEX($AG$5:$AG$1000,$R258-4))&gt;0),"Falta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","")&amp;IF(AND($S259="Sub",$F259="",N($R259)&gt;0,N(INDEX($AG$5:$AG$1000,$R259-4))&gt;0),"Falta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","")&amp;IF(AND($S260="Sub",$F260="",N($R260)&gt;0,N(INDEX($AG$5:$AG$1000,$R260-4))&gt;0),"Falta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","")&amp;IF(AND($S261="Sub",$F261="",N($R261)&gt;0,N(INDEX($AG$5:$AG$1000,$R261-4))&gt;0),"Falta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","")&amp;IF(AND($S262="Sub",$F262="",N($R262)&gt;0,N(INDEX($AG$5:$AG$1000,$R262-4))&gt;0),"Falta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","")&amp;IF(AND($S263="Sub",$F263="",N($R263)&gt;0,N(INDEX($AG$5:$AG$1000,$R263-4))&gt;0),"Falta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","")&amp;IF(AND($S264="Sub",$F264="",N($R264)&gt;0,N(INDEX($AG$5:$AG$1000,$R264-4))&gt;0),"Falta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","")&amp;IF(AND($S265="Sub",$F265="",N($R265)&gt;0,N(INDEX($AG$5:$AG$1000,$R265-4))&gt;0),"Falta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","")&amp;IF(AND($S266="Sub",$F266="",N($R266)&gt;0,N(INDEX($AG$5:$AG$1000,$R266-4))&gt;0),"Falta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","")&amp;IF(AND($S267="Sub",$F267="",N($R267)&gt;0,N(INDEX($AG$5:$AG$1000,$R267-4))&gt;0),"Falta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","")&amp;IF(AND($S268="Sub",$F268="",N($R268)&gt;0,N(INDEX($AG$5:$AG$1000,$R268-4))&gt;0),"Falta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","")&amp;IF(AND($S269="Sub",$F269="",N($R269)&gt;0,N(INDEX($AG$5:$AG$1000,$R269-4))&gt;0),"Falta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","")&amp;IF(AND($S270="Sub",$F270="",N($R270)&gt;0,N(INDEX($AG$5:$AG$1000,$R270-4))&gt;0),"Falta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","")&amp;IF(AND($S271="Sub",$F271="",N($R271)&gt;0,N(INDEX($AG$5:$AG$1000,$R271-4))&gt;0),"Falta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","")&amp;IF(AND($S272="Sub",$F272="",N($R272)&gt;0,N(INDEX($AG$5:$AG$1000,$R272-4))&gt;0),"Falta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","")&amp;IF(AND($S273="Sub",$F273="",N($R273)&gt;0,N(INDEX($AG$5:$AG$1000,$R273-4))&gt;0),"Falta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","")&amp;IF(AND($S274="Sub",$F274="",N($R274)&gt;0,N(INDEX($AG$5:$AG$1000,$R274-4))&gt;0),"Falta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","")&amp;IF(AND($S275="Sub",$F275="",N($R275)&gt;0,N(INDEX($AG$5:$AG$1000,$R275-4))&gt;0),"Falta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","")&amp;IF(AND($S276="Sub",$F276="",N($R276)&gt;0,N(INDEX($AG$5:$AG$1000,$R276-4))&gt;0),"Falta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","")&amp;IF(AND($S277="Sub",$F277="",N($R277)&gt;0,N(INDEX($AG$5:$AG$1000,$R277-4))&gt;0),"Falta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","")&amp;IF(AND($S278="Sub",$F278="",N($R278)&gt;0,N(INDEX($AG$5:$AG$1000,$R278-4))&gt;0),"Falta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","")&amp;IF(AND($S279="Sub",$F279="",N($R279)&gt;0,N(INDEX($AG$5:$AG$1000,$R279-4))&gt;0),"Falta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","")&amp;IF(AND($S280="Sub",$F280="",N($R280)&gt;0,N(INDEX($AG$5:$AG$1000,$R280-4))&gt;0),"Falta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","")&amp;IF(AND($S281="Sub",$F281="",N($R281)&gt;0,N(INDEX($AG$5:$AG$1000,$R281-4))&gt;0),"Falta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","")&amp;IF(AND($S282="Sub",$F282="",N($R282)&gt;0,N(INDEX($AG$5:$AG$1000,$R282-4))&gt;0),"Falta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","")&amp;IF(AND($S283="Sub",$F283="",N($R283)&gt;0,N(INDEX($AG$5:$AG$1000,$R283-4))&gt;0),"Falta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","")&amp;IF(AND($S284="Sub",$F284="",N($R284)&gt;0,N(INDEX($AG$5:$AG$1000,$R284-4))&gt;0),"Falta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","")&amp;IF(AND($S285="Sub",$F285="",N($R285)&gt;0,N(INDEX($AG$5:$AG$1000,$R285-4))&gt;0),"Falta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","")&amp;IF(AND($S286="Sub",$F286="",N($R286)&gt;0,N(INDEX($AG$5:$AG$1000,$R286-4))&gt;0),"Falta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","")&amp;IF(AND($S287="Sub",$F287="",N($R287)&gt;0,N(INDEX($AG$5:$AG$1000,$R287-4))&gt;0),"Falta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","")&amp;IF(AND($S288="Sub",$F288="",N($R288)&gt;0,N(INDEX($AG$5:$AG$1000,$R288-4))&gt;0),"Falta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","")&amp;IF(AND($S289="Sub",$F289="",N($R289)&gt;0,N(INDEX($AG$5:$AG$1000,$R289-4))&gt;0),"Falta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","")&amp;IF(AND($S290="Sub",$F290="",N($R290)&gt;0,N(INDEX($AG$5:$AG$1000,$R290-4))&gt;0),"Falta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","")&amp;IF(AND($S291="Sub",$F291="",N($R291)&gt;0,N(INDEX($AG$5:$AG$1000,$R291-4))&gt;0),"Falta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","")&amp;IF(AND($S292="Sub",$F292="",N($R292)&gt;0,N(INDEX($AG$5:$AG$1000,$R292-4))&gt;0),"Falta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","")&amp;IF(AND($S293="Sub",$F293="",N($R293)&gt;0,N(INDEX($AG$5:$AG$1000,$R293-4))&gt;0),"Falta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","")&amp;IF(AND($S294="Sub",$F294="",N($R294)&gt;0,N(INDEX($AG$5:$AG$1000,$R294-4))&gt;0),"Falta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","")&amp;IF(AND($S295="Sub",$F295="",N($R295)&gt;0,N(INDEX($AG$5:$AG$1000,$R295-4))&gt;0),"Falta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","")&amp;IF(AND($S296="Sub",$F296="",N($R296)&gt;0,N(INDEX($AG$5:$AG$1000,$R296-4))&gt;0),"Falta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","")&amp;IF(AND($S297="Sub",$F297="",N($R297)&gt;0,N(INDEX($AG$5:$AG$1000,$R297-4))&gt;0),"Falta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","")&amp;IF(AND($S298="Sub",$F298="",N($R298)&gt;0,N(INDEX($AG$5:$AG$1000,$R298-4))&gt;0),"Falta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","")&amp;IF(AND($S299="Sub",$F299="",N($R299)&gt;0,N(INDEX($AG$5:$AG$1000,$R299-4))&gt;0),"Falta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","")&amp;IF(AND($S300="Sub",$F300="",N($R300)&gt;0,N(INDEX($AG$5:$AG$1000,$R300-4))&gt;0),"Falta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","")&amp;IF(AND($S301="Sub",$F301="",N($R301)&gt;0,N(INDEX($AG$5:$AG$1000,$R301-4))&gt;0),"Falta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","")&amp;IF(AND($S302="Sub",$F302="",N($R302)&gt;0,N(INDEX($AG$5:$AG$1000,$R302-4))&gt;0),"Falta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","")&amp;IF(AND($S303="Sub",$F303="",N($R303)&gt;0,N(INDEX($AG$5:$AG$1000,$R303-4))&gt;0),"Falta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","")&amp;IF(AND($S304="Sub",$F304="",N($R304)&gt;0,N(INDEX($AG$5:$AG$1000,$R304-4))&gt;0),"Falta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P1000">
    <cfRule type="expression" priority="6" dxfId="26">
      <formula>$S5="Macro"</formula>
    </cfRule>
  </conditionalFormatting>
  <conditionalFormatting sqref="A5:C1000">
    <cfRule type="expression" priority="7" dxfId="5" stopIfTrue="1">
      <formula>AND($S5="Macro",$C5="")</formula>
    </cfRule>
    <cfRule type="expression" priority="8" dxfId="27">
      <formula>$S5="Macro"</formula>
    </cfRule>
  </conditionalFormatting>
  <conditionalFormatting sqref="C5:C1000">
    <cfRule type="expression" priority="9" dxfId="14">
      <formula>$S5="Sub"</formula>
    </cfRule>
  </conditionalFormatting>
  <conditionalFormatting sqref="L5:L1000">
    <cfRule type="expression" priority="10" dxfId="0">
      <formula>$L5="Completado"</formula>
    </cfRule>
    <cfRule type="expression" priority="11" dxfId="4">
      <formula>$L5="En curso"</formula>
    </cfRule>
    <cfRule type="expression" priority="12" dxfId="5">
      <formula>$L5="Pendiente"</formula>
    </cfRule>
  </conditionalFormatting>
  <conditionalFormatting sqref="M5:M1000">
    <cfRule type="expression" priority="13" dxfId="8" stopIfTrue="1">
      <formula>LEFT($M5,7)="Vencida"</formula>
    </cfRule>
    <cfRule type="expression" priority="14" dxfId="9" stopIfTrue="1">
      <formula>LEFT($M5,5)="Vence"</formula>
    </cfRule>
    <cfRule type="expression" priority="15" dxfId="0" stopIfTrue="1">
      <formula>$M5="Cumplida"</formula>
    </cfRule>
    <cfRule type="expression" priority="16" dxfId="15" stopIfTrue="1">
      <formula>$M5="En plazo"</formula>
    </cfRule>
    <cfRule type="expression" priority="17" dxfId="5">
      <formula>$M5="Sin fecha límite"</formula>
    </cfRule>
  </conditionalFormatting>
  <conditionalFormatting sqref="K5:K1000">
    <cfRule type="expression" priority="18" dxfId="0">
      <formula>AND(ISNUMBER($K5),$K5&gt;=1)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E5:E1000">
    <cfRule type="expression" priority="20" dxfId="6" stopIfTrue="1">
      <formula>AND(ISNUMBER($E5),$E5&lt;FechaRef,N($K5)&lt;1)</formula>
    </cfRule>
    <cfRule type="expression" priority="21" dxfId="7">
      <formula>AND(ISNUMBER($E5),$E5&gt;=FechaRef,$E5-FechaRef&lt;=DiasAlerta,N($K5)&lt;1)</formula>
    </cfRule>
  </conditionalFormatting>
  <conditionalFormatting sqref="D5:E1000">
    <cfRule type="expression" priority="22" dxfId="5" stopIfTrue="1">
      <formula>AND((COUNTA($B5:$J5)+COUNTA($N5))&gt;0,D5="")</formula>
    </cfRule>
    <cfRule type="expression" priority="23" dxfId="6">
      <formula>AND(ISNUMBER($D5),ISNUMBER($E5),$D5&gt;$E5)</formula>
    </cfRule>
  </conditionalFormatting>
  <conditionalFormatting sqref="F5:F1000">
    <cfRule type="expression" priority="24" dxfId="16" stopIfTrue="1">
      <formula>$S5="Sub"</formula>
    </cfRule>
    <cfRule type="expression" priority="25" dxfId="5" stopIfTrue="1">
      <formula>AND($S5="Macro",F5="")</formula>
    </cfRule>
    <cfRule type="expression" priority="26" dxfId="7">
      <formula>AND($S5="Macro",ABS(SUMIFS($F$5:$F$1000,$P$5:$P$1000,$P5,$S$5:$S$1000,"Macro")-1)&gt;0.0001)</formula>
    </cfRule>
  </conditionalFormatting>
  <conditionalFormatting sqref="G5:J1000">
    <cfRule type="expression" priority="27" dxfId="5" stopIfTrue="1">
      <formula>AND(N($T5)&gt;0,G5&lt;&gt;"")</formula>
    </cfRule>
    <cfRule type="expression" priority="28" dxfId="17" stopIfTrue="1">
      <formula>N($T5)&gt;0</formula>
    </cfRule>
    <cfRule type="expression" priority="29" dxfId="5" stopIfTrue="1">
      <formula>AND(G5&lt;&gt;"",OR(NOT(ISNUMBER(G5)),G5&gt;1,G5&lt;0))</formula>
    </cfRule>
  </conditionalFormatting>
  <conditionalFormatting sqref="H5:J1000">
    <cfRule type="expression" priority="30" dxfId="6">
      <formula>AND(H5&lt;&gt;"",H5&lt;MAX($G5:G5))</formula>
    </cfRule>
  </conditionalFormatting>
  <conditionalFormatting sqref="N5:N1000">
    <cfRule type="expression" priority="31" dxfId="5">
      <formula>AND(ObsObligatoria="Sí",ISNUMBER($E5),$E5&lt;FechaRef,N($K5)&lt;1,$N5="")</formula>
    </cfRule>
  </conditionalFormatting>
  <conditionalFormatting sqref="O5:O1000">
    <cfRule type="expression" priority="32" dxfId="5">
      <formula>LEFT($O5,1)="⚠"</formula>
    </cfRule>
    <cfRule type="expression" priority="33" dxfId="18">
      <formula>LEFT($O5,1)="✔"</formula>
    </cfRule>
  </conditionalFormatting>
  <conditionalFormatting sqref="P5:P1000">
    <cfRule type="expression" priority="34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82" t="inlineStr">
        <is>
          <t>Actividades del mes por semana – Asistente Técnico de Riesgo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2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Asistente Técnico'!$A$5:$A$1000,$N5))</f>
        <v/>
      </c>
      <c r="B5" s="71">
        <f>IF($N5="","",IF($O5="Sub","      ↳  "&amp;INDEX('Cronograma Asistente Técnico'!$C$5:$C$1000,$N5),INDEX('Cronograma Asistente Técnico'!$C$5:$C$1000,$N5)&amp;""))</f>
        <v/>
      </c>
      <c r="C5" s="77">
        <f>IF($N5="","",IF(INDEX('Cronograma Asistente Técnico'!$D$5:$D$1000,$N5)="","",INDEX('Cronograma Asistente Técnico'!$D$5:$D$1000,$N5)))</f>
        <v/>
      </c>
      <c r="D5" s="77">
        <f>IF($N5="","",IF(INDEX('Cronograma Asistente Técnico'!$E$5:$E$1000,$N5)="","",INDEX('Cronograma Asistente Técnico'!$E$5:$E$1000,$N5)))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Asistente Técnico'!$Y$5:$Y$1000,$N5),""),IF(INDEX('Cronograma Asistente Técnico'!$G$5:$G$1000,$N5)="","",INDEX('Cronograma Asistente Técnico'!$G$5:$G$1000,$N5))))</f>
        <v/>
      </c>
      <c r="G5" s="68">
        <f>IF($N5="","",IF($P5&gt;0,IF(2&lt;=SemanaActual,INDEX('Cronograma Asistente Técnico'!$Z$5:$Z$1000,$N5),""),IF(INDEX('Cronograma Asistente Técnico'!$H$5:$H$1000,$N5)="","",INDEX('Cronograma Asistente Técnico'!$H$5:$H$1000,$N5))))</f>
        <v/>
      </c>
      <c r="H5" s="68">
        <f>IF($N5="","",IF($P5&gt;0,IF(3&lt;=SemanaActual,INDEX('Cronograma Asistente Técnico'!$AA$5:$AA$1000,$N5),""),IF(INDEX('Cronograma Asistente Técnico'!$I$5:$I$1000,$N5)="","",INDEX('Cronograma Asistente Técnico'!$I$5:$I$1000,$N5))))</f>
        <v/>
      </c>
      <c r="I5" s="68">
        <f>IF($N5="","",IF($P5&gt;0,IF(4&lt;=SemanaActual,INDEX('Cronograma Asistente Técnico'!$AB$5:$AB$1000,$N5),""),IF(INDEX('Cronograma Asistente Técnico'!$J$5:$J$1000,$N5)="","",INDEX('Cronograma Asistente Técnico'!$J$5:$J$1000,$N5))))</f>
        <v/>
      </c>
      <c r="J5" s="68">
        <f>IF($N5="","",INDEX('Cronograma Asistente Técnico'!$K$5:$K$1000,$N5))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Asistente Técnico'!$M$5:$M$1000,$N5)&amp;"")</f>
        <v/>
      </c>
      <c r="M5" s="71">
        <f>IF($N5="","",INDEX('Cronograma Asistente Técnico'!$N$5:$N$1000,$N5)&amp;"")</f>
        <v/>
      </c>
      <c r="N5">
        <f>IFERROR(MATCH(ROW()-4,rOrden_ATR,0),"")</f>
        <v/>
      </c>
      <c r="O5">
        <f>IF($N5="","",INDEX('Cronograma Asistente Técnico'!$S$5:$S$1000,$N5))</f>
        <v/>
      </c>
      <c r="P5">
        <f>IF($N5="","",N(INDEX('Cronograma Asistente Técnico'!$T$5:$T$1000,$N5)))</f>
        <v/>
      </c>
    </row>
    <row r="6">
      <c r="A6" s="62">
        <f>IF($N6="","",INDEX('Cronograma Asistente Técnico'!$A$5:$A$1000,$N6))</f>
        <v/>
      </c>
      <c r="B6" s="71">
        <f>IF($N6="","",IF($O6="Sub","      ↳  "&amp;INDEX('Cronograma Asistente Técnico'!$C$5:$C$1000,$N6),INDEX('Cronograma Asistente Técnico'!$C$5:$C$1000,$N6)&amp;""))</f>
        <v/>
      </c>
      <c r="C6" s="77">
        <f>IF($N6="","",IF(INDEX('Cronograma Asistente Técnico'!$D$5:$D$1000,$N6)="","",INDEX('Cronograma Asistente Técnico'!$D$5:$D$1000,$N6)))</f>
        <v/>
      </c>
      <c r="D6" s="77">
        <f>IF($N6="","",IF(INDEX('Cronograma Asistente Técnico'!$E$5:$E$1000,$N6)="","",INDEX('Cronograma Asistente Técnico'!$E$5:$E$1000,$N6)))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Asistente Técnico'!$Y$5:$Y$1000,$N6),""),IF(INDEX('Cronograma Asistente Técnico'!$G$5:$G$1000,$N6)="","",INDEX('Cronograma Asistente Técnico'!$G$5:$G$1000,$N6))))</f>
        <v/>
      </c>
      <c r="G6" s="68">
        <f>IF($N6="","",IF($P6&gt;0,IF(2&lt;=SemanaActual,INDEX('Cronograma Asistente Técnico'!$Z$5:$Z$1000,$N6),""),IF(INDEX('Cronograma Asistente Técnico'!$H$5:$H$1000,$N6)="","",INDEX('Cronograma Asistente Técnico'!$H$5:$H$1000,$N6))))</f>
        <v/>
      </c>
      <c r="H6" s="68">
        <f>IF($N6="","",IF($P6&gt;0,IF(3&lt;=SemanaActual,INDEX('Cronograma Asistente Técnico'!$AA$5:$AA$1000,$N6),""),IF(INDEX('Cronograma Asistente Técnico'!$I$5:$I$1000,$N6)="","",INDEX('Cronograma Asistente Técnico'!$I$5:$I$1000,$N6))))</f>
        <v/>
      </c>
      <c r="I6" s="68">
        <f>IF($N6="","",IF($P6&gt;0,IF(4&lt;=SemanaActual,INDEX('Cronograma Asistente Técnico'!$AB$5:$AB$1000,$N6),""),IF(INDEX('Cronograma Asistente Técnico'!$J$5:$J$1000,$N6)="","",INDEX('Cronograma Asistente Técnico'!$J$5:$J$1000,$N6))))</f>
        <v/>
      </c>
      <c r="J6" s="68">
        <f>IF($N6="","",INDEX('Cronograma Asistente Técnico'!$K$5:$K$1000,$N6))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Asistente Técnico'!$M$5:$M$1000,$N6)&amp;"")</f>
        <v/>
      </c>
      <c r="M6" s="71">
        <f>IF($N6="","",INDEX('Cronograma Asistente Técnico'!$N$5:$N$1000,$N6)&amp;"")</f>
        <v/>
      </c>
      <c r="N6">
        <f>IFERROR(MATCH(ROW()-4,rOrden_ATR,0),"")</f>
        <v/>
      </c>
      <c r="O6">
        <f>IF($N6="","",INDEX('Cronograma Asistente Técnico'!$S$5:$S$1000,$N6))</f>
        <v/>
      </c>
      <c r="P6">
        <f>IF($N6="","",N(INDEX('Cronograma Asistente Técnico'!$T$5:$T$1000,$N6)))</f>
        <v/>
      </c>
    </row>
    <row r="7">
      <c r="A7" s="62">
        <f>IF($N7="","",INDEX('Cronograma Asistente Técnico'!$A$5:$A$1000,$N7))</f>
        <v/>
      </c>
      <c r="B7" s="71">
        <f>IF($N7="","",IF($O7="Sub","      ↳  "&amp;INDEX('Cronograma Asistente Técnico'!$C$5:$C$1000,$N7),INDEX('Cronograma Asistente Técnico'!$C$5:$C$1000,$N7)&amp;""))</f>
        <v/>
      </c>
      <c r="C7" s="77">
        <f>IF($N7="","",IF(INDEX('Cronograma Asistente Técnico'!$D$5:$D$1000,$N7)="","",INDEX('Cronograma Asistente Técnico'!$D$5:$D$1000,$N7)))</f>
        <v/>
      </c>
      <c r="D7" s="77">
        <f>IF($N7="","",IF(INDEX('Cronograma Asistente Técnico'!$E$5:$E$1000,$N7)="","",INDEX('Cronograma Asistente Técnico'!$E$5:$E$1000,$N7)))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Asistente Técnico'!$Y$5:$Y$1000,$N7),""),IF(INDEX('Cronograma Asistente Técnico'!$G$5:$G$1000,$N7)="","",INDEX('Cronograma Asistente Técnico'!$G$5:$G$1000,$N7))))</f>
        <v/>
      </c>
      <c r="G7" s="68">
        <f>IF($N7="","",IF($P7&gt;0,IF(2&lt;=SemanaActual,INDEX('Cronograma Asistente Técnico'!$Z$5:$Z$1000,$N7),""),IF(INDEX('Cronograma Asistente Técnico'!$H$5:$H$1000,$N7)="","",INDEX('Cronograma Asistente Técnico'!$H$5:$H$1000,$N7))))</f>
        <v/>
      </c>
      <c r="H7" s="68">
        <f>IF($N7="","",IF($P7&gt;0,IF(3&lt;=SemanaActual,INDEX('Cronograma Asistente Técnico'!$AA$5:$AA$1000,$N7),""),IF(INDEX('Cronograma Asistente Técnico'!$I$5:$I$1000,$N7)="","",INDEX('Cronograma Asistente Técnico'!$I$5:$I$1000,$N7))))</f>
        <v/>
      </c>
      <c r="I7" s="68">
        <f>IF($N7="","",IF($P7&gt;0,IF(4&lt;=SemanaActual,INDEX('Cronograma Asistente Técnico'!$AB$5:$AB$1000,$N7),""),IF(INDEX('Cronograma Asistente Técnico'!$J$5:$J$1000,$N7)="","",INDEX('Cronograma Asistente Técnico'!$J$5:$J$1000,$N7))))</f>
        <v/>
      </c>
      <c r="J7" s="68">
        <f>IF($N7="","",INDEX('Cronograma Asistente Técnico'!$K$5:$K$1000,$N7))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Asistente Técnico'!$M$5:$M$1000,$N7)&amp;"")</f>
        <v/>
      </c>
      <c r="M7" s="71">
        <f>IF($N7="","",INDEX('Cronograma Asistente Técnico'!$N$5:$N$1000,$N7)&amp;"")</f>
        <v/>
      </c>
      <c r="N7">
        <f>IFERROR(MATCH(ROW()-4,rOrden_ATR,0),"")</f>
        <v/>
      </c>
      <c r="O7">
        <f>IF($N7="","",INDEX('Cronograma Asistente Técnico'!$S$5:$S$1000,$N7))</f>
        <v/>
      </c>
      <c r="P7">
        <f>IF($N7="","",N(INDEX('Cronograma Asistente Técnico'!$T$5:$T$1000,$N7)))</f>
        <v/>
      </c>
    </row>
    <row r="8">
      <c r="A8" s="62">
        <f>IF($N8="","",INDEX('Cronograma Asistente Técnico'!$A$5:$A$1000,$N8))</f>
        <v/>
      </c>
      <c r="B8" s="71">
        <f>IF($N8="","",IF($O8="Sub","      ↳  "&amp;INDEX('Cronograma Asistente Técnico'!$C$5:$C$1000,$N8),INDEX('Cronograma Asistente Técnico'!$C$5:$C$1000,$N8)&amp;""))</f>
        <v/>
      </c>
      <c r="C8" s="77">
        <f>IF($N8="","",IF(INDEX('Cronograma Asistente Técnico'!$D$5:$D$1000,$N8)="","",INDEX('Cronograma Asistente Técnico'!$D$5:$D$1000,$N8)))</f>
        <v/>
      </c>
      <c r="D8" s="77">
        <f>IF($N8="","",IF(INDEX('Cronograma Asistente Técnico'!$E$5:$E$1000,$N8)="","",INDEX('Cronograma Asistente Técnico'!$E$5:$E$1000,$N8)))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Asistente Técnico'!$Y$5:$Y$1000,$N8),""),IF(INDEX('Cronograma Asistente Técnico'!$G$5:$G$1000,$N8)="","",INDEX('Cronograma Asistente Técnico'!$G$5:$G$1000,$N8))))</f>
        <v/>
      </c>
      <c r="G8" s="68">
        <f>IF($N8="","",IF($P8&gt;0,IF(2&lt;=SemanaActual,INDEX('Cronograma Asistente Técnico'!$Z$5:$Z$1000,$N8),""),IF(INDEX('Cronograma Asistente Técnico'!$H$5:$H$1000,$N8)="","",INDEX('Cronograma Asistente Técnico'!$H$5:$H$1000,$N8))))</f>
        <v/>
      </c>
      <c r="H8" s="68">
        <f>IF($N8="","",IF($P8&gt;0,IF(3&lt;=SemanaActual,INDEX('Cronograma Asistente Técnico'!$AA$5:$AA$1000,$N8),""),IF(INDEX('Cronograma Asistente Técnico'!$I$5:$I$1000,$N8)="","",INDEX('Cronograma Asistente Técnico'!$I$5:$I$1000,$N8))))</f>
        <v/>
      </c>
      <c r="I8" s="68">
        <f>IF($N8="","",IF($P8&gt;0,IF(4&lt;=SemanaActual,INDEX('Cronograma Asistente Técnico'!$AB$5:$AB$1000,$N8),""),IF(INDEX('Cronograma Asistente Técnico'!$J$5:$J$1000,$N8)="","",INDEX('Cronograma Asistente Técnico'!$J$5:$J$1000,$N8))))</f>
        <v/>
      </c>
      <c r="J8" s="68">
        <f>IF($N8="","",INDEX('Cronograma Asistente Técnico'!$K$5:$K$1000,$N8))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Asistente Técnico'!$M$5:$M$1000,$N8)&amp;"")</f>
        <v/>
      </c>
      <c r="M8" s="71">
        <f>IF($N8="","",INDEX('Cronograma Asistente Técnico'!$N$5:$N$1000,$N8)&amp;"")</f>
        <v/>
      </c>
      <c r="N8">
        <f>IFERROR(MATCH(ROW()-4,rOrden_ATR,0),"")</f>
        <v/>
      </c>
      <c r="O8">
        <f>IF($N8="","",INDEX('Cronograma Asistente Técnico'!$S$5:$S$1000,$N8))</f>
        <v/>
      </c>
      <c r="P8">
        <f>IF($N8="","",N(INDEX('Cronograma Asistente Técnico'!$T$5:$T$1000,$N8)))</f>
        <v/>
      </c>
    </row>
    <row r="9">
      <c r="A9" s="62">
        <f>IF($N9="","",INDEX('Cronograma Asistente Técnico'!$A$5:$A$1000,$N9))</f>
        <v/>
      </c>
      <c r="B9" s="71">
        <f>IF($N9="","",IF($O9="Sub","      ↳  "&amp;INDEX('Cronograma Asistente Técnico'!$C$5:$C$1000,$N9),INDEX('Cronograma Asistente Técnico'!$C$5:$C$1000,$N9)&amp;""))</f>
        <v/>
      </c>
      <c r="C9" s="77">
        <f>IF($N9="","",IF(INDEX('Cronograma Asistente Técnico'!$D$5:$D$1000,$N9)="","",INDEX('Cronograma Asistente Técnico'!$D$5:$D$1000,$N9)))</f>
        <v/>
      </c>
      <c r="D9" s="77">
        <f>IF($N9="","",IF(INDEX('Cronograma Asistente Técnico'!$E$5:$E$1000,$N9)="","",INDEX('Cronograma Asistente Técnico'!$E$5:$E$1000,$N9)))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Asistente Técnico'!$Y$5:$Y$1000,$N9),""),IF(INDEX('Cronograma Asistente Técnico'!$G$5:$G$1000,$N9)="","",INDEX('Cronograma Asistente Técnico'!$G$5:$G$1000,$N9))))</f>
        <v/>
      </c>
      <c r="G9" s="68">
        <f>IF($N9="","",IF($P9&gt;0,IF(2&lt;=SemanaActual,INDEX('Cronograma Asistente Técnico'!$Z$5:$Z$1000,$N9),""),IF(INDEX('Cronograma Asistente Técnico'!$H$5:$H$1000,$N9)="","",INDEX('Cronograma Asistente Técnico'!$H$5:$H$1000,$N9))))</f>
        <v/>
      </c>
      <c r="H9" s="68">
        <f>IF($N9="","",IF($P9&gt;0,IF(3&lt;=SemanaActual,INDEX('Cronograma Asistente Técnico'!$AA$5:$AA$1000,$N9),""),IF(INDEX('Cronograma Asistente Técnico'!$I$5:$I$1000,$N9)="","",INDEX('Cronograma Asistente Técnico'!$I$5:$I$1000,$N9))))</f>
        <v/>
      </c>
      <c r="I9" s="68">
        <f>IF($N9="","",IF($P9&gt;0,IF(4&lt;=SemanaActual,INDEX('Cronograma Asistente Técnico'!$AB$5:$AB$1000,$N9),""),IF(INDEX('Cronograma Asistente Técnico'!$J$5:$J$1000,$N9)="","",INDEX('Cronograma Asistente Técnico'!$J$5:$J$1000,$N9))))</f>
        <v/>
      </c>
      <c r="J9" s="68">
        <f>IF($N9="","",INDEX('Cronograma Asistente Técnico'!$K$5:$K$1000,$N9))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Asistente Técnico'!$M$5:$M$1000,$N9)&amp;"")</f>
        <v/>
      </c>
      <c r="M9" s="71">
        <f>IF($N9="","",INDEX('Cronograma Asistente Técnico'!$N$5:$N$1000,$N9)&amp;"")</f>
        <v/>
      </c>
      <c r="N9">
        <f>IFERROR(MATCH(ROW()-4,rOrden_ATR,0),"")</f>
        <v/>
      </c>
      <c r="O9">
        <f>IF($N9="","",INDEX('Cronograma Asistente Técnico'!$S$5:$S$1000,$N9))</f>
        <v/>
      </c>
      <c r="P9">
        <f>IF($N9="","",N(INDEX('Cronograma Asistente Técnico'!$T$5:$T$1000,$N9)))</f>
        <v/>
      </c>
    </row>
    <row r="10">
      <c r="A10" s="62">
        <f>IF($N10="","",INDEX('Cronograma Asistente Técnico'!$A$5:$A$1000,$N10))</f>
        <v/>
      </c>
      <c r="B10" s="71">
        <f>IF($N10="","",IF($O10="Sub","      ↳  "&amp;INDEX('Cronograma Asistente Técnico'!$C$5:$C$1000,$N10),INDEX('Cronograma Asistente Técnico'!$C$5:$C$1000,$N10)&amp;""))</f>
        <v/>
      </c>
      <c r="C10" s="77">
        <f>IF($N10="","",IF(INDEX('Cronograma Asistente Técnico'!$D$5:$D$1000,$N10)="","",INDEX('Cronograma Asistente Técnico'!$D$5:$D$1000,$N10)))</f>
        <v/>
      </c>
      <c r="D10" s="77">
        <f>IF($N10="","",IF(INDEX('Cronograma Asistente Técnico'!$E$5:$E$1000,$N10)="","",INDEX('Cronograma Asistente Técnico'!$E$5:$E$1000,$N10)))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Asistente Técnico'!$Y$5:$Y$1000,$N10),""),IF(INDEX('Cronograma Asistente Técnico'!$G$5:$G$1000,$N10)="","",INDEX('Cronograma Asistente Técnico'!$G$5:$G$1000,$N10))))</f>
        <v/>
      </c>
      <c r="G10" s="68">
        <f>IF($N10="","",IF($P10&gt;0,IF(2&lt;=SemanaActual,INDEX('Cronograma Asistente Técnico'!$Z$5:$Z$1000,$N10),""),IF(INDEX('Cronograma Asistente Técnico'!$H$5:$H$1000,$N10)="","",INDEX('Cronograma Asistente Técnico'!$H$5:$H$1000,$N10))))</f>
        <v/>
      </c>
      <c r="H10" s="68">
        <f>IF($N10="","",IF($P10&gt;0,IF(3&lt;=SemanaActual,INDEX('Cronograma Asistente Técnico'!$AA$5:$AA$1000,$N10),""),IF(INDEX('Cronograma Asistente Técnico'!$I$5:$I$1000,$N10)="","",INDEX('Cronograma Asistente Técnico'!$I$5:$I$1000,$N10))))</f>
        <v/>
      </c>
      <c r="I10" s="68">
        <f>IF($N10="","",IF($P10&gt;0,IF(4&lt;=SemanaActual,INDEX('Cronograma Asistente Técnico'!$AB$5:$AB$1000,$N10),""),IF(INDEX('Cronograma Asistente Técnico'!$J$5:$J$1000,$N10)="","",INDEX('Cronograma Asistente Técnico'!$J$5:$J$1000,$N10))))</f>
        <v/>
      </c>
      <c r="J10" s="68">
        <f>IF($N10="","",INDEX('Cronograma Asistente Técnico'!$K$5:$K$1000,$N10))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Asistente Técnico'!$M$5:$M$1000,$N10)&amp;"")</f>
        <v/>
      </c>
      <c r="M10" s="71">
        <f>IF($N10="","",INDEX('Cronograma Asistente Técnico'!$N$5:$N$1000,$N10)&amp;"")</f>
        <v/>
      </c>
      <c r="N10">
        <f>IFERROR(MATCH(ROW()-4,rOrden_ATR,0),"")</f>
        <v/>
      </c>
      <c r="O10">
        <f>IF($N10="","",INDEX('Cronograma Asistente Técnico'!$S$5:$S$1000,$N10))</f>
        <v/>
      </c>
      <c r="P10">
        <f>IF($N10="","",N(INDEX('Cronograma Asistente Técnico'!$T$5:$T$1000,$N10)))</f>
        <v/>
      </c>
    </row>
    <row r="11">
      <c r="A11" s="62">
        <f>IF($N11="","",INDEX('Cronograma Asistente Técnico'!$A$5:$A$1000,$N11))</f>
        <v/>
      </c>
      <c r="B11" s="71">
        <f>IF($N11="","",IF($O11="Sub","      ↳  "&amp;INDEX('Cronograma Asistente Técnico'!$C$5:$C$1000,$N11),INDEX('Cronograma Asistente Técnico'!$C$5:$C$1000,$N11)&amp;""))</f>
        <v/>
      </c>
      <c r="C11" s="77">
        <f>IF($N11="","",IF(INDEX('Cronograma Asistente Técnico'!$D$5:$D$1000,$N11)="","",INDEX('Cronograma Asistente Técnico'!$D$5:$D$1000,$N11)))</f>
        <v/>
      </c>
      <c r="D11" s="77">
        <f>IF($N11="","",IF(INDEX('Cronograma Asistente Técnico'!$E$5:$E$1000,$N11)="","",INDEX('Cronograma Asistente Técnico'!$E$5:$E$1000,$N11)))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Asistente Técnico'!$Y$5:$Y$1000,$N11),""),IF(INDEX('Cronograma Asistente Técnico'!$G$5:$G$1000,$N11)="","",INDEX('Cronograma Asistente Técnico'!$G$5:$G$1000,$N11))))</f>
        <v/>
      </c>
      <c r="G11" s="68">
        <f>IF($N11="","",IF($P11&gt;0,IF(2&lt;=SemanaActual,INDEX('Cronograma Asistente Técnico'!$Z$5:$Z$1000,$N11),""),IF(INDEX('Cronograma Asistente Técnico'!$H$5:$H$1000,$N11)="","",INDEX('Cronograma Asistente Técnico'!$H$5:$H$1000,$N11))))</f>
        <v/>
      </c>
      <c r="H11" s="68">
        <f>IF($N11="","",IF($P11&gt;0,IF(3&lt;=SemanaActual,INDEX('Cronograma Asistente Técnico'!$AA$5:$AA$1000,$N11),""),IF(INDEX('Cronograma Asistente Técnico'!$I$5:$I$1000,$N11)="","",INDEX('Cronograma Asistente Técnico'!$I$5:$I$1000,$N11))))</f>
        <v/>
      </c>
      <c r="I11" s="68">
        <f>IF($N11="","",IF($P11&gt;0,IF(4&lt;=SemanaActual,INDEX('Cronograma Asistente Técnico'!$AB$5:$AB$1000,$N11),""),IF(INDEX('Cronograma Asistente Técnico'!$J$5:$J$1000,$N11)="","",INDEX('Cronograma Asistente Técnico'!$J$5:$J$1000,$N11))))</f>
        <v/>
      </c>
      <c r="J11" s="68">
        <f>IF($N11="","",INDEX('Cronograma Asistente Técnico'!$K$5:$K$1000,$N11))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Asistente Técnico'!$M$5:$M$1000,$N11)&amp;"")</f>
        <v/>
      </c>
      <c r="M11" s="71">
        <f>IF($N11="","",INDEX('Cronograma Asistente Técnico'!$N$5:$N$1000,$N11)&amp;"")</f>
        <v/>
      </c>
      <c r="N11">
        <f>IFERROR(MATCH(ROW()-4,rOrden_ATR,0),"")</f>
        <v/>
      </c>
      <c r="O11">
        <f>IF($N11="","",INDEX('Cronograma Asistente Técnico'!$S$5:$S$1000,$N11))</f>
        <v/>
      </c>
      <c r="P11">
        <f>IF($N11="","",N(INDEX('Cronograma Asistente Técnico'!$T$5:$T$1000,$N11)))</f>
        <v/>
      </c>
    </row>
    <row r="12">
      <c r="A12" s="62">
        <f>IF($N12="","",INDEX('Cronograma Asistente Técnico'!$A$5:$A$1000,$N12))</f>
        <v/>
      </c>
      <c r="B12" s="71">
        <f>IF($N12="","",IF($O12="Sub","      ↳  "&amp;INDEX('Cronograma Asistente Técnico'!$C$5:$C$1000,$N12),INDEX('Cronograma Asistente Técnico'!$C$5:$C$1000,$N12)&amp;""))</f>
        <v/>
      </c>
      <c r="C12" s="77">
        <f>IF($N12="","",IF(INDEX('Cronograma Asistente Técnico'!$D$5:$D$1000,$N12)="","",INDEX('Cronograma Asistente Técnico'!$D$5:$D$1000,$N12)))</f>
        <v/>
      </c>
      <c r="D12" s="77">
        <f>IF($N12="","",IF(INDEX('Cronograma Asistente Técnico'!$E$5:$E$1000,$N12)="","",INDEX('Cronograma Asistente Técnico'!$E$5:$E$1000,$N12)))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Asistente Técnico'!$Y$5:$Y$1000,$N12),""),IF(INDEX('Cronograma Asistente Técnico'!$G$5:$G$1000,$N12)="","",INDEX('Cronograma Asistente Técnico'!$G$5:$G$1000,$N12))))</f>
        <v/>
      </c>
      <c r="G12" s="68">
        <f>IF($N12="","",IF($P12&gt;0,IF(2&lt;=SemanaActual,INDEX('Cronograma Asistente Técnico'!$Z$5:$Z$1000,$N12),""),IF(INDEX('Cronograma Asistente Técnico'!$H$5:$H$1000,$N12)="","",INDEX('Cronograma Asistente Técnico'!$H$5:$H$1000,$N12))))</f>
        <v/>
      </c>
      <c r="H12" s="68">
        <f>IF($N12="","",IF($P12&gt;0,IF(3&lt;=SemanaActual,INDEX('Cronograma Asistente Técnico'!$AA$5:$AA$1000,$N12),""),IF(INDEX('Cronograma Asistente Técnico'!$I$5:$I$1000,$N12)="","",INDEX('Cronograma Asistente Técnico'!$I$5:$I$1000,$N12))))</f>
        <v/>
      </c>
      <c r="I12" s="68">
        <f>IF($N12="","",IF($P12&gt;0,IF(4&lt;=SemanaActual,INDEX('Cronograma Asistente Técnico'!$AB$5:$AB$1000,$N12),""),IF(INDEX('Cronograma Asistente Técnico'!$J$5:$J$1000,$N12)="","",INDEX('Cronograma Asistente Técnico'!$J$5:$J$1000,$N12))))</f>
        <v/>
      </c>
      <c r="J12" s="68">
        <f>IF($N12="","",INDEX('Cronograma Asistente Técnico'!$K$5:$K$1000,$N12))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Asistente Técnico'!$M$5:$M$1000,$N12)&amp;"")</f>
        <v/>
      </c>
      <c r="M12" s="71">
        <f>IF($N12="","",INDEX('Cronograma Asistente Técnico'!$N$5:$N$1000,$N12)&amp;"")</f>
        <v/>
      </c>
      <c r="N12">
        <f>IFERROR(MATCH(ROW()-4,rOrden_ATR,0),"")</f>
        <v/>
      </c>
      <c r="O12">
        <f>IF($N12="","",INDEX('Cronograma Asistente Técnico'!$S$5:$S$1000,$N12))</f>
        <v/>
      </c>
      <c r="P12">
        <f>IF($N12="","",N(INDEX('Cronograma Asistente Técnico'!$T$5:$T$1000,$N12)))</f>
        <v/>
      </c>
    </row>
    <row r="13">
      <c r="A13" s="62">
        <f>IF($N13="","",INDEX('Cronograma Asistente Técnico'!$A$5:$A$1000,$N13))</f>
        <v/>
      </c>
      <c r="B13" s="71">
        <f>IF($N13="","",IF($O13="Sub","      ↳  "&amp;INDEX('Cronograma Asistente Técnico'!$C$5:$C$1000,$N13),INDEX('Cronograma Asistente Técnico'!$C$5:$C$1000,$N13)&amp;""))</f>
        <v/>
      </c>
      <c r="C13" s="77">
        <f>IF($N13="","",IF(INDEX('Cronograma Asistente Técnico'!$D$5:$D$1000,$N13)="","",INDEX('Cronograma Asistente Técnico'!$D$5:$D$1000,$N13)))</f>
        <v/>
      </c>
      <c r="D13" s="77">
        <f>IF($N13="","",IF(INDEX('Cronograma Asistente Técnico'!$E$5:$E$1000,$N13)="","",INDEX('Cronograma Asistente Técnico'!$E$5:$E$1000,$N13)))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Asistente Técnico'!$Y$5:$Y$1000,$N13),""),IF(INDEX('Cronograma Asistente Técnico'!$G$5:$G$1000,$N13)="","",INDEX('Cronograma Asistente Técnico'!$G$5:$G$1000,$N13))))</f>
        <v/>
      </c>
      <c r="G13" s="68">
        <f>IF($N13="","",IF($P13&gt;0,IF(2&lt;=SemanaActual,INDEX('Cronograma Asistente Técnico'!$Z$5:$Z$1000,$N13),""),IF(INDEX('Cronograma Asistente Técnico'!$H$5:$H$1000,$N13)="","",INDEX('Cronograma Asistente Técnico'!$H$5:$H$1000,$N13))))</f>
        <v/>
      </c>
      <c r="H13" s="68">
        <f>IF($N13="","",IF($P13&gt;0,IF(3&lt;=SemanaActual,INDEX('Cronograma Asistente Técnico'!$AA$5:$AA$1000,$N13),""),IF(INDEX('Cronograma Asistente Técnico'!$I$5:$I$1000,$N13)="","",INDEX('Cronograma Asistente Técnico'!$I$5:$I$1000,$N13))))</f>
        <v/>
      </c>
      <c r="I13" s="68">
        <f>IF($N13="","",IF($P13&gt;0,IF(4&lt;=SemanaActual,INDEX('Cronograma Asistente Técnico'!$AB$5:$AB$1000,$N13),""),IF(INDEX('Cronograma Asistente Técnico'!$J$5:$J$1000,$N13)="","",INDEX('Cronograma Asistente Técnico'!$J$5:$J$1000,$N13))))</f>
        <v/>
      </c>
      <c r="J13" s="68">
        <f>IF($N13="","",INDEX('Cronograma Asistente Técnico'!$K$5:$K$1000,$N13))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Asistente Técnico'!$M$5:$M$1000,$N13)&amp;"")</f>
        <v/>
      </c>
      <c r="M13" s="71">
        <f>IF($N13="","",INDEX('Cronograma Asistente Técnico'!$N$5:$N$1000,$N13)&amp;"")</f>
        <v/>
      </c>
      <c r="N13">
        <f>IFERROR(MATCH(ROW()-4,rOrden_ATR,0),"")</f>
        <v/>
      </c>
      <c r="O13">
        <f>IF($N13="","",INDEX('Cronograma Asistente Técnico'!$S$5:$S$1000,$N13))</f>
        <v/>
      </c>
      <c r="P13">
        <f>IF($N13="","",N(INDEX('Cronograma Asistente Técnico'!$T$5:$T$1000,$N13)))</f>
        <v/>
      </c>
    </row>
    <row r="14">
      <c r="A14" s="62">
        <f>IF($N14="","",INDEX('Cronograma Asistente Técnico'!$A$5:$A$1000,$N14))</f>
        <v/>
      </c>
      <c r="B14" s="71">
        <f>IF($N14="","",IF($O14="Sub","      ↳  "&amp;INDEX('Cronograma Asistente Técnico'!$C$5:$C$1000,$N14),INDEX('Cronograma Asistente Técnico'!$C$5:$C$1000,$N14)&amp;""))</f>
        <v/>
      </c>
      <c r="C14" s="77">
        <f>IF($N14="","",IF(INDEX('Cronograma Asistente Técnico'!$D$5:$D$1000,$N14)="","",INDEX('Cronograma Asistente Técnico'!$D$5:$D$1000,$N14)))</f>
        <v/>
      </c>
      <c r="D14" s="77">
        <f>IF($N14="","",IF(INDEX('Cronograma Asistente Técnico'!$E$5:$E$1000,$N14)="","",INDEX('Cronograma Asistente Técnico'!$E$5:$E$1000,$N14)))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Asistente Técnico'!$Y$5:$Y$1000,$N14),""),IF(INDEX('Cronograma Asistente Técnico'!$G$5:$G$1000,$N14)="","",INDEX('Cronograma Asistente Técnico'!$G$5:$G$1000,$N14))))</f>
        <v/>
      </c>
      <c r="G14" s="68">
        <f>IF($N14="","",IF($P14&gt;0,IF(2&lt;=SemanaActual,INDEX('Cronograma Asistente Técnico'!$Z$5:$Z$1000,$N14),""),IF(INDEX('Cronograma Asistente Técnico'!$H$5:$H$1000,$N14)="","",INDEX('Cronograma Asistente Técnico'!$H$5:$H$1000,$N14))))</f>
        <v/>
      </c>
      <c r="H14" s="68">
        <f>IF($N14="","",IF($P14&gt;0,IF(3&lt;=SemanaActual,INDEX('Cronograma Asistente Técnico'!$AA$5:$AA$1000,$N14),""),IF(INDEX('Cronograma Asistente Técnico'!$I$5:$I$1000,$N14)="","",INDEX('Cronograma Asistente Técnico'!$I$5:$I$1000,$N14))))</f>
        <v/>
      </c>
      <c r="I14" s="68">
        <f>IF($N14="","",IF($P14&gt;0,IF(4&lt;=SemanaActual,INDEX('Cronograma Asistente Técnico'!$AB$5:$AB$1000,$N14),""),IF(INDEX('Cronograma Asistente Técnico'!$J$5:$J$1000,$N14)="","",INDEX('Cronograma Asistente Técnico'!$J$5:$J$1000,$N14))))</f>
        <v/>
      </c>
      <c r="J14" s="68">
        <f>IF($N14="","",INDEX('Cronograma Asistente Técnico'!$K$5:$K$1000,$N14))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Asistente Técnico'!$M$5:$M$1000,$N14)&amp;"")</f>
        <v/>
      </c>
      <c r="M14" s="71">
        <f>IF($N14="","",INDEX('Cronograma Asistente Técnico'!$N$5:$N$1000,$N14)&amp;"")</f>
        <v/>
      </c>
      <c r="N14">
        <f>IFERROR(MATCH(ROW()-4,rOrden_ATR,0),"")</f>
        <v/>
      </c>
      <c r="O14">
        <f>IF($N14="","",INDEX('Cronograma Asistente Técnico'!$S$5:$S$1000,$N14))</f>
        <v/>
      </c>
      <c r="P14">
        <f>IF($N14="","",N(INDEX('Cronograma Asistente Técnico'!$T$5:$T$1000,$N14)))</f>
        <v/>
      </c>
    </row>
    <row r="15">
      <c r="A15" s="62">
        <f>IF($N15="","",INDEX('Cronograma Asistente Técnico'!$A$5:$A$1000,$N15))</f>
        <v/>
      </c>
      <c r="B15" s="71">
        <f>IF($N15="","",IF($O15="Sub","      ↳  "&amp;INDEX('Cronograma Asistente Técnico'!$C$5:$C$1000,$N15),INDEX('Cronograma Asistente Técnico'!$C$5:$C$1000,$N15)&amp;""))</f>
        <v/>
      </c>
      <c r="C15" s="77">
        <f>IF($N15="","",IF(INDEX('Cronograma Asistente Técnico'!$D$5:$D$1000,$N15)="","",INDEX('Cronograma Asistente Técnico'!$D$5:$D$1000,$N15)))</f>
        <v/>
      </c>
      <c r="D15" s="77">
        <f>IF($N15="","",IF(INDEX('Cronograma Asistente Técnico'!$E$5:$E$1000,$N15)="","",INDEX('Cronograma Asistente Técnico'!$E$5:$E$1000,$N15)))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Asistente Técnico'!$Y$5:$Y$1000,$N15),""),IF(INDEX('Cronograma Asistente Técnico'!$G$5:$G$1000,$N15)="","",INDEX('Cronograma Asistente Técnico'!$G$5:$G$1000,$N15))))</f>
        <v/>
      </c>
      <c r="G15" s="68">
        <f>IF($N15="","",IF($P15&gt;0,IF(2&lt;=SemanaActual,INDEX('Cronograma Asistente Técnico'!$Z$5:$Z$1000,$N15),""),IF(INDEX('Cronograma Asistente Técnico'!$H$5:$H$1000,$N15)="","",INDEX('Cronograma Asistente Técnico'!$H$5:$H$1000,$N15))))</f>
        <v/>
      </c>
      <c r="H15" s="68">
        <f>IF($N15="","",IF($P15&gt;0,IF(3&lt;=SemanaActual,INDEX('Cronograma Asistente Técnico'!$AA$5:$AA$1000,$N15),""),IF(INDEX('Cronograma Asistente Técnico'!$I$5:$I$1000,$N15)="","",INDEX('Cronograma Asistente Técnico'!$I$5:$I$1000,$N15))))</f>
        <v/>
      </c>
      <c r="I15" s="68">
        <f>IF($N15="","",IF($P15&gt;0,IF(4&lt;=SemanaActual,INDEX('Cronograma Asistente Técnico'!$AB$5:$AB$1000,$N15),""),IF(INDEX('Cronograma Asistente Técnico'!$J$5:$J$1000,$N15)="","",INDEX('Cronograma Asistente Técnico'!$J$5:$J$1000,$N15))))</f>
        <v/>
      </c>
      <c r="J15" s="68">
        <f>IF($N15="","",INDEX('Cronograma Asistente Técnico'!$K$5:$K$1000,$N15))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Asistente Técnico'!$M$5:$M$1000,$N15)&amp;"")</f>
        <v/>
      </c>
      <c r="M15" s="71">
        <f>IF($N15="","",INDEX('Cronograma Asistente Técnico'!$N$5:$N$1000,$N15)&amp;"")</f>
        <v/>
      </c>
      <c r="N15">
        <f>IFERROR(MATCH(ROW()-4,rOrden_ATR,0),"")</f>
        <v/>
      </c>
      <c r="O15">
        <f>IF($N15="","",INDEX('Cronograma Asistente Técnico'!$S$5:$S$1000,$N15))</f>
        <v/>
      </c>
      <c r="P15">
        <f>IF($N15="","",N(INDEX('Cronograma Asistente Técnico'!$T$5:$T$1000,$N15)))</f>
        <v/>
      </c>
    </row>
    <row r="16">
      <c r="A16" s="62">
        <f>IF($N16="","",INDEX('Cronograma Asistente Técnico'!$A$5:$A$1000,$N16))</f>
        <v/>
      </c>
      <c r="B16" s="71">
        <f>IF($N16="","",IF($O16="Sub","      ↳  "&amp;INDEX('Cronograma Asistente Técnico'!$C$5:$C$1000,$N16),INDEX('Cronograma Asistente Técnico'!$C$5:$C$1000,$N16)&amp;""))</f>
        <v/>
      </c>
      <c r="C16" s="77">
        <f>IF($N16="","",IF(INDEX('Cronograma Asistente Técnico'!$D$5:$D$1000,$N16)="","",INDEX('Cronograma Asistente Técnico'!$D$5:$D$1000,$N16)))</f>
        <v/>
      </c>
      <c r="D16" s="77">
        <f>IF($N16="","",IF(INDEX('Cronograma Asistente Técnico'!$E$5:$E$1000,$N16)="","",INDEX('Cronograma Asistente Técnico'!$E$5:$E$1000,$N16)))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Asistente Técnico'!$Y$5:$Y$1000,$N16),""),IF(INDEX('Cronograma Asistente Técnico'!$G$5:$G$1000,$N16)="","",INDEX('Cronograma Asistente Técnico'!$G$5:$G$1000,$N16))))</f>
        <v/>
      </c>
      <c r="G16" s="68">
        <f>IF($N16="","",IF($P16&gt;0,IF(2&lt;=SemanaActual,INDEX('Cronograma Asistente Técnico'!$Z$5:$Z$1000,$N16),""),IF(INDEX('Cronograma Asistente Técnico'!$H$5:$H$1000,$N16)="","",INDEX('Cronograma Asistente Técnico'!$H$5:$H$1000,$N16))))</f>
        <v/>
      </c>
      <c r="H16" s="68">
        <f>IF($N16="","",IF($P16&gt;0,IF(3&lt;=SemanaActual,INDEX('Cronograma Asistente Técnico'!$AA$5:$AA$1000,$N16),""),IF(INDEX('Cronograma Asistente Técnico'!$I$5:$I$1000,$N16)="","",INDEX('Cronograma Asistente Técnico'!$I$5:$I$1000,$N16))))</f>
        <v/>
      </c>
      <c r="I16" s="68">
        <f>IF($N16="","",IF($P16&gt;0,IF(4&lt;=SemanaActual,INDEX('Cronograma Asistente Técnico'!$AB$5:$AB$1000,$N16),""),IF(INDEX('Cronograma Asistente Técnico'!$J$5:$J$1000,$N16)="","",INDEX('Cronograma Asistente Técnico'!$J$5:$J$1000,$N16))))</f>
        <v/>
      </c>
      <c r="J16" s="68">
        <f>IF($N16="","",INDEX('Cronograma Asistente Técnico'!$K$5:$K$1000,$N16))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Asistente Técnico'!$M$5:$M$1000,$N16)&amp;"")</f>
        <v/>
      </c>
      <c r="M16" s="71">
        <f>IF($N16="","",INDEX('Cronograma Asistente Técnico'!$N$5:$N$1000,$N16)&amp;"")</f>
        <v/>
      </c>
      <c r="N16">
        <f>IFERROR(MATCH(ROW()-4,rOrden_ATR,0),"")</f>
        <v/>
      </c>
      <c r="O16">
        <f>IF($N16="","",INDEX('Cronograma Asistente Técnico'!$S$5:$S$1000,$N16))</f>
        <v/>
      </c>
      <c r="P16">
        <f>IF($N16="","",N(INDEX('Cronograma Asistente Técnico'!$T$5:$T$1000,$N16)))</f>
        <v/>
      </c>
    </row>
    <row r="17">
      <c r="A17" s="62">
        <f>IF($N17="","",INDEX('Cronograma Asistente Técnico'!$A$5:$A$1000,$N17))</f>
        <v/>
      </c>
      <c r="B17" s="71">
        <f>IF($N17="","",IF($O17="Sub","      ↳  "&amp;INDEX('Cronograma Asistente Técnico'!$C$5:$C$1000,$N17),INDEX('Cronograma Asistente Técnico'!$C$5:$C$1000,$N17)&amp;""))</f>
        <v/>
      </c>
      <c r="C17" s="77">
        <f>IF($N17="","",IF(INDEX('Cronograma Asistente Técnico'!$D$5:$D$1000,$N17)="","",INDEX('Cronograma Asistente Técnico'!$D$5:$D$1000,$N17)))</f>
        <v/>
      </c>
      <c r="D17" s="77">
        <f>IF($N17="","",IF(INDEX('Cronograma Asistente Técnico'!$E$5:$E$1000,$N17)="","",INDEX('Cronograma Asistente Técnico'!$E$5:$E$1000,$N17)))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Asistente Técnico'!$Y$5:$Y$1000,$N17),""),IF(INDEX('Cronograma Asistente Técnico'!$G$5:$G$1000,$N17)="","",INDEX('Cronograma Asistente Técnico'!$G$5:$G$1000,$N17))))</f>
        <v/>
      </c>
      <c r="G17" s="68">
        <f>IF($N17="","",IF($P17&gt;0,IF(2&lt;=SemanaActual,INDEX('Cronograma Asistente Técnico'!$Z$5:$Z$1000,$N17),""),IF(INDEX('Cronograma Asistente Técnico'!$H$5:$H$1000,$N17)="","",INDEX('Cronograma Asistente Técnico'!$H$5:$H$1000,$N17))))</f>
        <v/>
      </c>
      <c r="H17" s="68">
        <f>IF($N17="","",IF($P17&gt;0,IF(3&lt;=SemanaActual,INDEX('Cronograma Asistente Técnico'!$AA$5:$AA$1000,$N17),""),IF(INDEX('Cronograma Asistente Técnico'!$I$5:$I$1000,$N17)="","",INDEX('Cronograma Asistente Técnico'!$I$5:$I$1000,$N17))))</f>
        <v/>
      </c>
      <c r="I17" s="68">
        <f>IF($N17="","",IF($P17&gt;0,IF(4&lt;=SemanaActual,INDEX('Cronograma Asistente Técnico'!$AB$5:$AB$1000,$N17),""),IF(INDEX('Cronograma Asistente Técnico'!$J$5:$J$1000,$N17)="","",INDEX('Cronograma Asistente Técnico'!$J$5:$J$1000,$N17))))</f>
        <v/>
      </c>
      <c r="J17" s="68">
        <f>IF($N17="","",INDEX('Cronograma Asistente Técnico'!$K$5:$K$1000,$N17))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Asistente Técnico'!$M$5:$M$1000,$N17)&amp;"")</f>
        <v/>
      </c>
      <c r="M17" s="71">
        <f>IF($N17="","",INDEX('Cronograma Asistente Técnico'!$N$5:$N$1000,$N17)&amp;"")</f>
        <v/>
      </c>
      <c r="N17">
        <f>IFERROR(MATCH(ROW()-4,rOrden_ATR,0),"")</f>
        <v/>
      </c>
      <c r="O17">
        <f>IF($N17="","",INDEX('Cronograma Asistente Técnico'!$S$5:$S$1000,$N17))</f>
        <v/>
      </c>
      <c r="P17">
        <f>IF($N17="","",N(INDEX('Cronograma Asistente Técnico'!$T$5:$T$1000,$N17)))</f>
        <v/>
      </c>
    </row>
    <row r="18">
      <c r="A18" s="62">
        <f>IF($N18="","",INDEX('Cronograma Asistente Técnico'!$A$5:$A$1000,$N18))</f>
        <v/>
      </c>
      <c r="B18" s="71">
        <f>IF($N18="","",IF($O18="Sub","      ↳  "&amp;INDEX('Cronograma Asistente Técnico'!$C$5:$C$1000,$N18),INDEX('Cronograma Asistente Técnico'!$C$5:$C$1000,$N18)&amp;""))</f>
        <v/>
      </c>
      <c r="C18" s="77">
        <f>IF($N18="","",IF(INDEX('Cronograma Asistente Técnico'!$D$5:$D$1000,$N18)="","",INDEX('Cronograma Asistente Técnico'!$D$5:$D$1000,$N18)))</f>
        <v/>
      </c>
      <c r="D18" s="77">
        <f>IF($N18="","",IF(INDEX('Cronograma Asistente Técnico'!$E$5:$E$1000,$N18)="","",INDEX('Cronograma Asistente Técnico'!$E$5:$E$1000,$N18)))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Asistente Técnico'!$Y$5:$Y$1000,$N18),""),IF(INDEX('Cronograma Asistente Técnico'!$G$5:$G$1000,$N18)="","",INDEX('Cronograma Asistente Técnico'!$G$5:$G$1000,$N18))))</f>
        <v/>
      </c>
      <c r="G18" s="68">
        <f>IF($N18="","",IF($P18&gt;0,IF(2&lt;=SemanaActual,INDEX('Cronograma Asistente Técnico'!$Z$5:$Z$1000,$N18),""),IF(INDEX('Cronograma Asistente Técnico'!$H$5:$H$1000,$N18)="","",INDEX('Cronograma Asistente Técnico'!$H$5:$H$1000,$N18))))</f>
        <v/>
      </c>
      <c r="H18" s="68">
        <f>IF($N18="","",IF($P18&gt;0,IF(3&lt;=SemanaActual,INDEX('Cronograma Asistente Técnico'!$AA$5:$AA$1000,$N18),""),IF(INDEX('Cronograma Asistente Técnico'!$I$5:$I$1000,$N18)="","",INDEX('Cronograma Asistente Técnico'!$I$5:$I$1000,$N18))))</f>
        <v/>
      </c>
      <c r="I18" s="68">
        <f>IF($N18="","",IF($P18&gt;0,IF(4&lt;=SemanaActual,INDEX('Cronograma Asistente Técnico'!$AB$5:$AB$1000,$N18),""),IF(INDEX('Cronograma Asistente Técnico'!$J$5:$J$1000,$N18)="","",INDEX('Cronograma Asistente Técnico'!$J$5:$J$1000,$N18))))</f>
        <v/>
      </c>
      <c r="J18" s="68">
        <f>IF($N18="","",INDEX('Cronograma Asistente Técnico'!$K$5:$K$1000,$N18))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Asistente Técnico'!$M$5:$M$1000,$N18)&amp;"")</f>
        <v/>
      </c>
      <c r="M18" s="71">
        <f>IF($N18="","",INDEX('Cronograma Asistente Técnico'!$N$5:$N$1000,$N18)&amp;"")</f>
        <v/>
      </c>
      <c r="N18">
        <f>IFERROR(MATCH(ROW()-4,rOrden_ATR,0),"")</f>
        <v/>
      </c>
      <c r="O18">
        <f>IF($N18="","",INDEX('Cronograma Asistente Técnico'!$S$5:$S$1000,$N18))</f>
        <v/>
      </c>
      <c r="P18">
        <f>IF($N18="","",N(INDEX('Cronograma Asistente Técnico'!$T$5:$T$1000,$N18)))</f>
        <v/>
      </c>
    </row>
    <row r="19">
      <c r="A19" s="62">
        <f>IF($N19="","",INDEX('Cronograma Asistente Técnico'!$A$5:$A$1000,$N19))</f>
        <v/>
      </c>
      <c r="B19" s="71">
        <f>IF($N19="","",IF($O19="Sub","      ↳  "&amp;INDEX('Cronograma Asistente Técnico'!$C$5:$C$1000,$N19),INDEX('Cronograma Asistente Técnico'!$C$5:$C$1000,$N19)&amp;""))</f>
        <v/>
      </c>
      <c r="C19" s="77">
        <f>IF($N19="","",IF(INDEX('Cronograma Asistente Técnico'!$D$5:$D$1000,$N19)="","",INDEX('Cronograma Asistente Técnico'!$D$5:$D$1000,$N19)))</f>
        <v/>
      </c>
      <c r="D19" s="77">
        <f>IF($N19="","",IF(INDEX('Cronograma Asistente Técnico'!$E$5:$E$1000,$N19)="","",INDEX('Cronograma Asistente Técnico'!$E$5:$E$1000,$N19)))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Asistente Técnico'!$Y$5:$Y$1000,$N19),""),IF(INDEX('Cronograma Asistente Técnico'!$G$5:$G$1000,$N19)="","",INDEX('Cronograma Asistente Técnico'!$G$5:$G$1000,$N19))))</f>
        <v/>
      </c>
      <c r="G19" s="68">
        <f>IF($N19="","",IF($P19&gt;0,IF(2&lt;=SemanaActual,INDEX('Cronograma Asistente Técnico'!$Z$5:$Z$1000,$N19),""),IF(INDEX('Cronograma Asistente Técnico'!$H$5:$H$1000,$N19)="","",INDEX('Cronograma Asistente Técnico'!$H$5:$H$1000,$N19))))</f>
        <v/>
      </c>
      <c r="H19" s="68">
        <f>IF($N19="","",IF($P19&gt;0,IF(3&lt;=SemanaActual,INDEX('Cronograma Asistente Técnico'!$AA$5:$AA$1000,$N19),""),IF(INDEX('Cronograma Asistente Técnico'!$I$5:$I$1000,$N19)="","",INDEX('Cronograma Asistente Técnico'!$I$5:$I$1000,$N19))))</f>
        <v/>
      </c>
      <c r="I19" s="68">
        <f>IF($N19="","",IF($P19&gt;0,IF(4&lt;=SemanaActual,INDEX('Cronograma Asistente Técnico'!$AB$5:$AB$1000,$N19),""),IF(INDEX('Cronograma Asistente Técnico'!$J$5:$J$1000,$N19)="","",INDEX('Cronograma Asistente Técnico'!$J$5:$J$1000,$N19))))</f>
        <v/>
      </c>
      <c r="J19" s="68">
        <f>IF($N19="","",INDEX('Cronograma Asistente Técnico'!$K$5:$K$1000,$N19))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Asistente Técnico'!$M$5:$M$1000,$N19)&amp;"")</f>
        <v/>
      </c>
      <c r="M19" s="71">
        <f>IF($N19="","",INDEX('Cronograma Asistente Técnico'!$N$5:$N$1000,$N19)&amp;"")</f>
        <v/>
      </c>
      <c r="N19">
        <f>IFERROR(MATCH(ROW()-4,rOrden_ATR,0),"")</f>
        <v/>
      </c>
      <c r="O19">
        <f>IF($N19="","",INDEX('Cronograma Asistente Técnico'!$S$5:$S$1000,$N19))</f>
        <v/>
      </c>
      <c r="P19">
        <f>IF($N19="","",N(INDEX('Cronograma Asistente Técnico'!$T$5:$T$1000,$N19)))</f>
        <v/>
      </c>
    </row>
    <row r="20">
      <c r="A20" s="62">
        <f>IF($N20="","",INDEX('Cronograma Asistente Técnico'!$A$5:$A$1000,$N20))</f>
        <v/>
      </c>
      <c r="B20" s="71">
        <f>IF($N20="","",IF($O20="Sub","      ↳  "&amp;INDEX('Cronograma Asistente Técnico'!$C$5:$C$1000,$N20),INDEX('Cronograma Asistente Técnico'!$C$5:$C$1000,$N20)&amp;""))</f>
        <v/>
      </c>
      <c r="C20" s="77">
        <f>IF($N20="","",IF(INDEX('Cronograma Asistente Técnico'!$D$5:$D$1000,$N20)="","",INDEX('Cronograma Asistente Técnico'!$D$5:$D$1000,$N20)))</f>
        <v/>
      </c>
      <c r="D20" s="77">
        <f>IF($N20="","",IF(INDEX('Cronograma Asistente Técnico'!$E$5:$E$1000,$N20)="","",INDEX('Cronograma Asistente Técnico'!$E$5:$E$1000,$N20)))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Asistente Técnico'!$Y$5:$Y$1000,$N20),""),IF(INDEX('Cronograma Asistente Técnico'!$G$5:$G$1000,$N20)="","",INDEX('Cronograma Asistente Técnico'!$G$5:$G$1000,$N20))))</f>
        <v/>
      </c>
      <c r="G20" s="68">
        <f>IF($N20="","",IF($P20&gt;0,IF(2&lt;=SemanaActual,INDEX('Cronograma Asistente Técnico'!$Z$5:$Z$1000,$N20),""),IF(INDEX('Cronograma Asistente Técnico'!$H$5:$H$1000,$N20)="","",INDEX('Cronograma Asistente Técnico'!$H$5:$H$1000,$N20))))</f>
        <v/>
      </c>
      <c r="H20" s="68">
        <f>IF($N20="","",IF($P20&gt;0,IF(3&lt;=SemanaActual,INDEX('Cronograma Asistente Técnico'!$AA$5:$AA$1000,$N20),""),IF(INDEX('Cronograma Asistente Técnico'!$I$5:$I$1000,$N20)="","",INDEX('Cronograma Asistente Técnico'!$I$5:$I$1000,$N20))))</f>
        <v/>
      </c>
      <c r="I20" s="68">
        <f>IF($N20="","",IF($P20&gt;0,IF(4&lt;=SemanaActual,INDEX('Cronograma Asistente Técnico'!$AB$5:$AB$1000,$N20),""),IF(INDEX('Cronograma Asistente Técnico'!$J$5:$J$1000,$N20)="","",INDEX('Cronograma Asistente Técnico'!$J$5:$J$1000,$N20))))</f>
        <v/>
      </c>
      <c r="J20" s="68">
        <f>IF($N20="","",INDEX('Cronograma Asistente Técnico'!$K$5:$K$1000,$N20))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Asistente Técnico'!$M$5:$M$1000,$N20)&amp;"")</f>
        <v/>
      </c>
      <c r="M20" s="71">
        <f>IF($N20="","",INDEX('Cronograma Asistente Técnico'!$N$5:$N$1000,$N20)&amp;"")</f>
        <v/>
      </c>
      <c r="N20">
        <f>IFERROR(MATCH(ROW()-4,rOrden_ATR,0),"")</f>
        <v/>
      </c>
      <c r="O20">
        <f>IF($N20="","",INDEX('Cronograma Asistente Técnico'!$S$5:$S$1000,$N20))</f>
        <v/>
      </c>
      <c r="P20">
        <f>IF($N20="","",N(INDEX('Cronograma Asistente Técnico'!$T$5:$T$1000,$N20)))</f>
        <v/>
      </c>
    </row>
    <row r="21">
      <c r="A21" s="62">
        <f>IF($N21="","",INDEX('Cronograma Asistente Técnico'!$A$5:$A$1000,$N21))</f>
        <v/>
      </c>
      <c r="B21" s="71">
        <f>IF($N21="","",IF($O21="Sub","      ↳  "&amp;INDEX('Cronograma Asistente Técnico'!$C$5:$C$1000,$N21),INDEX('Cronograma Asistente Técnico'!$C$5:$C$1000,$N21)&amp;""))</f>
        <v/>
      </c>
      <c r="C21" s="77">
        <f>IF($N21="","",IF(INDEX('Cronograma Asistente Técnico'!$D$5:$D$1000,$N21)="","",INDEX('Cronograma Asistente Técnico'!$D$5:$D$1000,$N21)))</f>
        <v/>
      </c>
      <c r="D21" s="77">
        <f>IF($N21="","",IF(INDEX('Cronograma Asistente Técnico'!$E$5:$E$1000,$N21)="","",INDEX('Cronograma Asistente Técnico'!$E$5:$E$1000,$N21)))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Asistente Técnico'!$Y$5:$Y$1000,$N21),""),IF(INDEX('Cronograma Asistente Técnico'!$G$5:$G$1000,$N21)="","",INDEX('Cronograma Asistente Técnico'!$G$5:$G$1000,$N21))))</f>
        <v/>
      </c>
      <c r="G21" s="68">
        <f>IF($N21="","",IF($P21&gt;0,IF(2&lt;=SemanaActual,INDEX('Cronograma Asistente Técnico'!$Z$5:$Z$1000,$N21),""),IF(INDEX('Cronograma Asistente Técnico'!$H$5:$H$1000,$N21)="","",INDEX('Cronograma Asistente Técnico'!$H$5:$H$1000,$N21))))</f>
        <v/>
      </c>
      <c r="H21" s="68">
        <f>IF($N21="","",IF($P21&gt;0,IF(3&lt;=SemanaActual,INDEX('Cronograma Asistente Técnico'!$AA$5:$AA$1000,$N21),""),IF(INDEX('Cronograma Asistente Técnico'!$I$5:$I$1000,$N21)="","",INDEX('Cronograma Asistente Técnico'!$I$5:$I$1000,$N21))))</f>
        <v/>
      </c>
      <c r="I21" s="68">
        <f>IF($N21="","",IF($P21&gt;0,IF(4&lt;=SemanaActual,INDEX('Cronograma Asistente Técnico'!$AB$5:$AB$1000,$N21),""),IF(INDEX('Cronograma Asistente Técnico'!$J$5:$J$1000,$N21)="","",INDEX('Cronograma Asistente Técnico'!$J$5:$J$1000,$N21))))</f>
        <v/>
      </c>
      <c r="J21" s="68">
        <f>IF($N21="","",INDEX('Cronograma Asistente Técnico'!$K$5:$K$1000,$N21))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Asistente Técnico'!$M$5:$M$1000,$N21)&amp;"")</f>
        <v/>
      </c>
      <c r="M21" s="71">
        <f>IF($N21="","",INDEX('Cronograma Asistente Técnico'!$N$5:$N$1000,$N21)&amp;"")</f>
        <v/>
      </c>
      <c r="N21">
        <f>IFERROR(MATCH(ROW()-4,rOrden_ATR,0),"")</f>
        <v/>
      </c>
      <c r="O21">
        <f>IF($N21="","",INDEX('Cronograma Asistente Técnico'!$S$5:$S$1000,$N21))</f>
        <v/>
      </c>
      <c r="P21">
        <f>IF($N21="","",N(INDEX('Cronograma Asistente Técnico'!$T$5:$T$1000,$N21)))</f>
        <v/>
      </c>
    </row>
    <row r="22">
      <c r="A22" s="62">
        <f>IF($N22="","",INDEX('Cronograma Asistente Técnico'!$A$5:$A$1000,$N22))</f>
        <v/>
      </c>
      <c r="B22" s="71">
        <f>IF($N22="","",IF($O22="Sub","      ↳  "&amp;INDEX('Cronograma Asistente Técnico'!$C$5:$C$1000,$N22),INDEX('Cronograma Asistente Técnico'!$C$5:$C$1000,$N22)&amp;""))</f>
        <v/>
      </c>
      <c r="C22" s="77">
        <f>IF($N22="","",IF(INDEX('Cronograma Asistente Técnico'!$D$5:$D$1000,$N22)="","",INDEX('Cronograma Asistente Técnico'!$D$5:$D$1000,$N22)))</f>
        <v/>
      </c>
      <c r="D22" s="77">
        <f>IF($N22="","",IF(INDEX('Cronograma Asistente Técnico'!$E$5:$E$1000,$N22)="","",INDEX('Cronograma Asistente Técnico'!$E$5:$E$1000,$N22)))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Asistente Técnico'!$Y$5:$Y$1000,$N22),""),IF(INDEX('Cronograma Asistente Técnico'!$G$5:$G$1000,$N22)="","",INDEX('Cronograma Asistente Técnico'!$G$5:$G$1000,$N22))))</f>
        <v/>
      </c>
      <c r="G22" s="68">
        <f>IF($N22="","",IF($P22&gt;0,IF(2&lt;=SemanaActual,INDEX('Cronograma Asistente Técnico'!$Z$5:$Z$1000,$N22),""),IF(INDEX('Cronograma Asistente Técnico'!$H$5:$H$1000,$N22)="","",INDEX('Cronograma Asistente Técnico'!$H$5:$H$1000,$N22))))</f>
        <v/>
      </c>
      <c r="H22" s="68">
        <f>IF($N22="","",IF($P22&gt;0,IF(3&lt;=SemanaActual,INDEX('Cronograma Asistente Técnico'!$AA$5:$AA$1000,$N22),""),IF(INDEX('Cronograma Asistente Técnico'!$I$5:$I$1000,$N22)="","",INDEX('Cronograma Asistente Técnico'!$I$5:$I$1000,$N22))))</f>
        <v/>
      </c>
      <c r="I22" s="68">
        <f>IF($N22="","",IF($P22&gt;0,IF(4&lt;=SemanaActual,INDEX('Cronograma Asistente Técnico'!$AB$5:$AB$1000,$N22),""),IF(INDEX('Cronograma Asistente Técnico'!$J$5:$J$1000,$N22)="","",INDEX('Cronograma Asistente Técnico'!$J$5:$J$1000,$N22))))</f>
        <v/>
      </c>
      <c r="J22" s="68">
        <f>IF($N22="","",INDEX('Cronograma Asistente Técnico'!$K$5:$K$1000,$N22))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Asistente Técnico'!$M$5:$M$1000,$N22)&amp;"")</f>
        <v/>
      </c>
      <c r="M22" s="71">
        <f>IF($N22="","",INDEX('Cronograma Asistente Técnico'!$N$5:$N$1000,$N22)&amp;"")</f>
        <v/>
      </c>
      <c r="N22">
        <f>IFERROR(MATCH(ROW()-4,rOrden_ATR,0),"")</f>
        <v/>
      </c>
      <c r="O22">
        <f>IF($N22="","",INDEX('Cronograma Asistente Técnico'!$S$5:$S$1000,$N22))</f>
        <v/>
      </c>
      <c r="P22">
        <f>IF($N22="","",N(INDEX('Cronograma Asistente Técnico'!$T$5:$T$1000,$N22)))</f>
        <v/>
      </c>
    </row>
    <row r="23">
      <c r="A23" s="62">
        <f>IF($N23="","",INDEX('Cronograma Asistente Técnico'!$A$5:$A$1000,$N23))</f>
        <v/>
      </c>
      <c r="B23" s="71">
        <f>IF($N23="","",IF($O23="Sub","      ↳  "&amp;INDEX('Cronograma Asistente Técnico'!$C$5:$C$1000,$N23),INDEX('Cronograma Asistente Técnico'!$C$5:$C$1000,$N23)&amp;""))</f>
        <v/>
      </c>
      <c r="C23" s="77">
        <f>IF($N23="","",IF(INDEX('Cronograma Asistente Técnico'!$D$5:$D$1000,$N23)="","",INDEX('Cronograma Asistente Técnico'!$D$5:$D$1000,$N23)))</f>
        <v/>
      </c>
      <c r="D23" s="77">
        <f>IF($N23="","",IF(INDEX('Cronograma Asistente Técnico'!$E$5:$E$1000,$N23)="","",INDEX('Cronograma Asistente Técnico'!$E$5:$E$1000,$N23)))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Asistente Técnico'!$Y$5:$Y$1000,$N23),""),IF(INDEX('Cronograma Asistente Técnico'!$G$5:$G$1000,$N23)="","",INDEX('Cronograma Asistente Técnico'!$G$5:$G$1000,$N23))))</f>
        <v/>
      </c>
      <c r="G23" s="68">
        <f>IF($N23="","",IF($P23&gt;0,IF(2&lt;=SemanaActual,INDEX('Cronograma Asistente Técnico'!$Z$5:$Z$1000,$N23),""),IF(INDEX('Cronograma Asistente Técnico'!$H$5:$H$1000,$N23)="","",INDEX('Cronograma Asistente Técnico'!$H$5:$H$1000,$N23))))</f>
        <v/>
      </c>
      <c r="H23" s="68">
        <f>IF($N23="","",IF($P23&gt;0,IF(3&lt;=SemanaActual,INDEX('Cronograma Asistente Técnico'!$AA$5:$AA$1000,$N23),""),IF(INDEX('Cronograma Asistente Técnico'!$I$5:$I$1000,$N23)="","",INDEX('Cronograma Asistente Técnico'!$I$5:$I$1000,$N23))))</f>
        <v/>
      </c>
      <c r="I23" s="68">
        <f>IF($N23="","",IF($P23&gt;0,IF(4&lt;=SemanaActual,INDEX('Cronograma Asistente Técnico'!$AB$5:$AB$1000,$N23),""),IF(INDEX('Cronograma Asistente Técnico'!$J$5:$J$1000,$N23)="","",INDEX('Cronograma Asistente Técnico'!$J$5:$J$1000,$N23))))</f>
        <v/>
      </c>
      <c r="J23" s="68">
        <f>IF($N23="","",INDEX('Cronograma Asistente Técnico'!$K$5:$K$1000,$N23))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Asistente Técnico'!$M$5:$M$1000,$N23)&amp;"")</f>
        <v/>
      </c>
      <c r="M23" s="71">
        <f>IF($N23="","",INDEX('Cronograma Asistente Técnico'!$N$5:$N$1000,$N23)&amp;"")</f>
        <v/>
      </c>
      <c r="N23">
        <f>IFERROR(MATCH(ROW()-4,rOrden_ATR,0),"")</f>
        <v/>
      </c>
      <c r="O23">
        <f>IF($N23="","",INDEX('Cronograma Asistente Técnico'!$S$5:$S$1000,$N23))</f>
        <v/>
      </c>
      <c r="P23">
        <f>IF($N23="","",N(INDEX('Cronograma Asistente Técnico'!$T$5:$T$1000,$N23)))</f>
        <v/>
      </c>
    </row>
    <row r="24">
      <c r="A24" s="62">
        <f>IF($N24="","",INDEX('Cronograma Asistente Técnico'!$A$5:$A$1000,$N24))</f>
        <v/>
      </c>
      <c r="B24" s="71">
        <f>IF($N24="","",IF($O24="Sub","      ↳  "&amp;INDEX('Cronograma Asistente Técnico'!$C$5:$C$1000,$N24),INDEX('Cronograma Asistente Técnico'!$C$5:$C$1000,$N24)&amp;""))</f>
        <v/>
      </c>
      <c r="C24" s="77">
        <f>IF($N24="","",IF(INDEX('Cronograma Asistente Técnico'!$D$5:$D$1000,$N24)="","",INDEX('Cronograma Asistente Técnico'!$D$5:$D$1000,$N24)))</f>
        <v/>
      </c>
      <c r="D24" s="77">
        <f>IF($N24="","",IF(INDEX('Cronograma Asistente Técnico'!$E$5:$E$1000,$N24)="","",INDEX('Cronograma Asistente Técnico'!$E$5:$E$1000,$N24)))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Asistente Técnico'!$Y$5:$Y$1000,$N24),""),IF(INDEX('Cronograma Asistente Técnico'!$G$5:$G$1000,$N24)="","",INDEX('Cronograma Asistente Técnico'!$G$5:$G$1000,$N24))))</f>
        <v/>
      </c>
      <c r="G24" s="68">
        <f>IF($N24="","",IF($P24&gt;0,IF(2&lt;=SemanaActual,INDEX('Cronograma Asistente Técnico'!$Z$5:$Z$1000,$N24),""),IF(INDEX('Cronograma Asistente Técnico'!$H$5:$H$1000,$N24)="","",INDEX('Cronograma Asistente Técnico'!$H$5:$H$1000,$N24))))</f>
        <v/>
      </c>
      <c r="H24" s="68">
        <f>IF($N24="","",IF($P24&gt;0,IF(3&lt;=SemanaActual,INDEX('Cronograma Asistente Técnico'!$AA$5:$AA$1000,$N24),""),IF(INDEX('Cronograma Asistente Técnico'!$I$5:$I$1000,$N24)="","",INDEX('Cronograma Asistente Técnico'!$I$5:$I$1000,$N24))))</f>
        <v/>
      </c>
      <c r="I24" s="68">
        <f>IF($N24="","",IF($P24&gt;0,IF(4&lt;=SemanaActual,INDEX('Cronograma Asistente Técnico'!$AB$5:$AB$1000,$N24),""),IF(INDEX('Cronograma Asistente Técnico'!$J$5:$J$1000,$N24)="","",INDEX('Cronograma Asistente Técnico'!$J$5:$J$1000,$N24))))</f>
        <v/>
      </c>
      <c r="J24" s="68">
        <f>IF($N24="","",INDEX('Cronograma Asistente Técnico'!$K$5:$K$1000,$N24))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Asistente Técnico'!$M$5:$M$1000,$N24)&amp;"")</f>
        <v/>
      </c>
      <c r="M24" s="71">
        <f>IF($N24="","",INDEX('Cronograma Asistente Técnico'!$N$5:$N$1000,$N24)&amp;"")</f>
        <v/>
      </c>
      <c r="N24">
        <f>IFERROR(MATCH(ROW()-4,rOrden_ATR,0),"")</f>
        <v/>
      </c>
      <c r="O24">
        <f>IF($N24="","",INDEX('Cronograma Asistente Técnico'!$S$5:$S$1000,$N24))</f>
        <v/>
      </c>
      <c r="P24">
        <f>IF($N24="","",N(INDEX('Cronograma Asistente Técnico'!$T$5:$T$1000,$N24)))</f>
        <v/>
      </c>
    </row>
    <row r="25">
      <c r="A25" s="62">
        <f>IF($N25="","",INDEX('Cronograma Asistente Técnico'!$A$5:$A$1000,$N25))</f>
        <v/>
      </c>
      <c r="B25" s="71">
        <f>IF($N25="","",IF($O25="Sub","      ↳  "&amp;INDEX('Cronograma Asistente Técnico'!$C$5:$C$1000,$N25),INDEX('Cronograma Asistente Técnico'!$C$5:$C$1000,$N25)&amp;""))</f>
        <v/>
      </c>
      <c r="C25" s="77">
        <f>IF($N25="","",IF(INDEX('Cronograma Asistente Técnico'!$D$5:$D$1000,$N25)="","",INDEX('Cronograma Asistente Técnico'!$D$5:$D$1000,$N25)))</f>
        <v/>
      </c>
      <c r="D25" s="77">
        <f>IF($N25="","",IF(INDEX('Cronograma Asistente Técnico'!$E$5:$E$1000,$N25)="","",INDEX('Cronograma Asistente Técnico'!$E$5:$E$1000,$N25)))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Asistente Técnico'!$Y$5:$Y$1000,$N25),""),IF(INDEX('Cronograma Asistente Técnico'!$G$5:$G$1000,$N25)="","",INDEX('Cronograma Asistente Técnico'!$G$5:$G$1000,$N25))))</f>
        <v/>
      </c>
      <c r="G25" s="68">
        <f>IF($N25="","",IF($P25&gt;0,IF(2&lt;=SemanaActual,INDEX('Cronograma Asistente Técnico'!$Z$5:$Z$1000,$N25),""),IF(INDEX('Cronograma Asistente Técnico'!$H$5:$H$1000,$N25)="","",INDEX('Cronograma Asistente Técnico'!$H$5:$H$1000,$N25))))</f>
        <v/>
      </c>
      <c r="H25" s="68">
        <f>IF($N25="","",IF($P25&gt;0,IF(3&lt;=SemanaActual,INDEX('Cronograma Asistente Técnico'!$AA$5:$AA$1000,$N25),""),IF(INDEX('Cronograma Asistente Técnico'!$I$5:$I$1000,$N25)="","",INDEX('Cronograma Asistente Técnico'!$I$5:$I$1000,$N25))))</f>
        <v/>
      </c>
      <c r="I25" s="68">
        <f>IF($N25="","",IF($P25&gt;0,IF(4&lt;=SemanaActual,INDEX('Cronograma Asistente Técnico'!$AB$5:$AB$1000,$N25),""),IF(INDEX('Cronograma Asistente Técnico'!$J$5:$J$1000,$N25)="","",INDEX('Cronograma Asistente Técnico'!$J$5:$J$1000,$N25))))</f>
        <v/>
      </c>
      <c r="J25" s="68">
        <f>IF($N25="","",INDEX('Cronograma Asistente Técnico'!$K$5:$K$1000,$N25))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Asistente Técnico'!$M$5:$M$1000,$N25)&amp;"")</f>
        <v/>
      </c>
      <c r="M25" s="71">
        <f>IF($N25="","",INDEX('Cronograma Asistente Técnico'!$N$5:$N$1000,$N25)&amp;"")</f>
        <v/>
      </c>
      <c r="N25">
        <f>IFERROR(MATCH(ROW()-4,rOrden_ATR,0),"")</f>
        <v/>
      </c>
      <c r="O25">
        <f>IF($N25="","",INDEX('Cronograma Asistente Técnico'!$S$5:$S$1000,$N25))</f>
        <v/>
      </c>
      <c r="P25">
        <f>IF($N25="","",N(INDEX('Cronograma Asistente Técnico'!$T$5:$T$1000,$N25)))</f>
        <v/>
      </c>
    </row>
    <row r="26">
      <c r="A26" s="62">
        <f>IF($N26="","",INDEX('Cronograma Asistente Técnico'!$A$5:$A$1000,$N26))</f>
        <v/>
      </c>
      <c r="B26" s="71">
        <f>IF($N26="","",IF($O26="Sub","      ↳  "&amp;INDEX('Cronograma Asistente Técnico'!$C$5:$C$1000,$N26),INDEX('Cronograma Asistente Técnico'!$C$5:$C$1000,$N26)&amp;""))</f>
        <v/>
      </c>
      <c r="C26" s="77">
        <f>IF($N26="","",IF(INDEX('Cronograma Asistente Técnico'!$D$5:$D$1000,$N26)="","",INDEX('Cronograma Asistente Técnico'!$D$5:$D$1000,$N26)))</f>
        <v/>
      </c>
      <c r="D26" s="77">
        <f>IF($N26="","",IF(INDEX('Cronograma Asistente Técnico'!$E$5:$E$1000,$N26)="","",INDEX('Cronograma Asistente Técnico'!$E$5:$E$1000,$N26)))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Asistente Técnico'!$Y$5:$Y$1000,$N26),""),IF(INDEX('Cronograma Asistente Técnico'!$G$5:$G$1000,$N26)="","",INDEX('Cronograma Asistente Técnico'!$G$5:$G$1000,$N26))))</f>
        <v/>
      </c>
      <c r="G26" s="68">
        <f>IF($N26="","",IF($P26&gt;0,IF(2&lt;=SemanaActual,INDEX('Cronograma Asistente Técnico'!$Z$5:$Z$1000,$N26),""),IF(INDEX('Cronograma Asistente Técnico'!$H$5:$H$1000,$N26)="","",INDEX('Cronograma Asistente Técnico'!$H$5:$H$1000,$N26))))</f>
        <v/>
      </c>
      <c r="H26" s="68">
        <f>IF($N26="","",IF($P26&gt;0,IF(3&lt;=SemanaActual,INDEX('Cronograma Asistente Técnico'!$AA$5:$AA$1000,$N26),""),IF(INDEX('Cronograma Asistente Técnico'!$I$5:$I$1000,$N26)="","",INDEX('Cronograma Asistente Técnico'!$I$5:$I$1000,$N26))))</f>
        <v/>
      </c>
      <c r="I26" s="68">
        <f>IF($N26="","",IF($P26&gt;0,IF(4&lt;=SemanaActual,INDEX('Cronograma Asistente Técnico'!$AB$5:$AB$1000,$N26),""),IF(INDEX('Cronograma Asistente Técnico'!$J$5:$J$1000,$N26)="","",INDEX('Cronograma Asistente Técnico'!$J$5:$J$1000,$N26))))</f>
        <v/>
      </c>
      <c r="J26" s="68">
        <f>IF($N26="","",INDEX('Cronograma Asistente Técnico'!$K$5:$K$1000,$N26))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Asistente Técnico'!$M$5:$M$1000,$N26)&amp;"")</f>
        <v/>
      </c>
      <c r="M26" s="71">
        <f>IF($N26="","",INDEX('Cronograma Asistente Técnico'!$N$5:$N$1000,$N26)&amp;"")</f>
        <v/>
      </c>
      <c r="N26">
        <f>IFERROR(MATCH(ROW()-4,rOrden_ATR,0),"")</f>
        <v/>
      </c>
      <c r="O26">
        <f>IF($N26="","",INDEX('Cronograma Asistente Técnico'!$S$5:$S$1000,$N26))</f>
        <v/>
      </c>
      <c r="P26">
        <f>IF($N26="","",N(INDEX('Cronograma Asistente Técnico'!$T$5:$T$1000,$N26)))</f>
        <v/>
      </c>
    </row>
    <row r="27">
      <c r="A27" s="62">
        <f>IF($N27="","",INDEX('Cronograma Asistente Técnico'!$A$5:$A$1000,$N27))</f>
        <v/>
      </c>
      <c r="B27" s="71">
        <f>IF($N27="","",IF($O27="Sub","      ↳  "&amp;INDEX('Cronograma Asistente Técnico'!$C$5:$C$1000,$N27),INDEX('Cronograma Asistente Técnico'!$C$5:$C$1000,$N27)&amp;""))</f>
        <v/>
      </c>
      <c r="C27" s="77">
        <f>IF($N27="","",IF(INDEX('Cronograma Asistente Técnico'!$D$5:$D$1000,$N27)="","",INDEX('Cronograma Asistente Técnico'!$D$5:$D$1000,$N27)))</f>
        <v/>
      </c>
      <c r="D27" s="77">
        <f>IF($N27="","",IF(INDEX('Cronograma Asistente Técnico'!$E$5:$E$1000,$N27)="","",INDEX('Cronograma Asistente Técnico'!$E$5:$E$1000,$N27)))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Asistente Técnico'!$Y$5:$Y$1000,$N27),""),IF(INDEX('Cronograma Asistente Técnico'!$G$5:$G$1000,$N27)="","",INDEX('Cronograma Asistente Técnico'!$G$5:$G$1000,$N27))))</f>
        <v/>
      </c>
      <c r="G27" s="68">
        <f>IF($N27="","",IF($P27&gt;0,IF(2&lt;=SemanaActual,INDEX('Cronograma Asistente Técnico'!$Z$5:$Z$1000,$N27),""),IF(INDEX('Cronograma Asistente Técnico'!$H$5:$H$1000,$N27)="","",INDEX('Cronograma Asistente Técnico'!$H$5:$H$1000,$N27))))</f>
        <v/>
      </c>
      <c r="H27" s="68">
        <f>IF($N27="","",IF($P27&gt;0,IF(3&lt;=SemanaActual,INDEX('Cronograma Asistente Técnico'!$AA$5:$AA$1000,$N27),""),IF(INDEX('Cronograma Asistente Técnico'!$I$5:$I$1000,$N27)="","",INDEX('Cronograma Asistente Técnico'!$I$5:$I$1000,$N27))))</f>
        <v/>
      </c>
      <c r="I27" s="68">
        <f>IF($N27="","",IF($P27&gt;0,IF(4&lt;=SemanaActual,INDEX('Cronograma Asistente Técnico'!$AB$5:$AB$1000,$N27),""),IF(INDEX('Cronograma Asistente Técnico'!$J$5:$J$1000,$N27)="","",INDEX('Cronograma Asistente Técnico'!$J$5:$J$1000,$N27))))</f>
        <v/>
      </c>
      <c r="J27" s="68">
        <f>IF($N27="","",INDEX('Cronograma Asistente Técnico'!$K$5:$K$1000,$N27))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Asistente Técnico'!$M$5:$M$1000,$N27)&amp;"")</f>
        <v/>
      </c>
      <c r="M27" s="71">
        <f>IF($N27="","",INDEX('Cronograma Asistente Técnico'!$N$5:$N$1000,$N27)&amp;"")</f>
        <v/>
      </c>
      <c r="N27">
        <f>IFERROR(MATCH(ROW()-4,rOrden_ATR,0),"")</f>
        <v/>
      </c>
      <c r="O27">
        <f>IF($N27="","",INDEX('Cronograma Asistente Técnico'!$S$5:$S$1000,$N27))</f>
        <v/>
      </c>
      <c r="P27">
        <f>IF($N27="","",N(INDEX('Cronograma Asistente Técnico'!$T$5:$T$1000,$N27)))</f>
        <v/>
      </c>
    </row>
    <row r="28">
      <c r="A28" s="62">
        <f>IF($N28="","",INDEX('Cronograma Asistente Técnico'!$A$5:$A$1000,$N28))</f>
        <v/>
      </c>
      <c r="B28" s="71">
        <f>IF($N28="","",IF($O28="Sub","      ↳  "&amp;INDEX('Cronograma Asistente Técnico'!$C$5:$C$1000,$N28),INDEX('Cronograma Asistente Técnico'!$C$5:$C$1000,$N28)&amp;""))</f>
        <v/>
      </c>
      <c r="C28" s="77">
        <f>IF($N28="","",IF(INDEX('Cronograma Asistente Técnico'!$D$5:$D$1000,$N28)="","",INDEX('Cronograma Asistente Técnico'!$D$5:$D$1000,$N28)))</f>
        <v/>
      </c>
      <c r="D28" s="77">
        <f>IF($N28="","",IF(INDEX('Cronograma Asistente Técnico'!$E$5:$E$1000,$N28)="","",INDEX('Cronograma Asistente Técnico'!$E$5:$E$1000,$N28)))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Asistente Técnico'!$Y$5:$Y$1000,$N28),""),IF(INDEX('Cronograma Asistente Técnico'!$G$5:$G$1000,$N28)="","",INDEX('Cronograma Asistente Técnico'!$G$5:$G$1000,$N28))))</f>
        <v/>
      </c>
      <c r="G28" s="68">
        <f>IF($N28="","",IF($P28&gt;0,IF(2&lt;=SemanaActual,INDEX('Cronograma Asistente Técnico'!$Z$5:$Z$1000,$N28),""),IF(INDEX('Cronograma Asistente Técnico'!$H$5:$H$1000,$N28)="","",INDEX('Cronograma Asistente Técnico'!$H$5:$H$1000,$N28))))</f>
        <v/>
      </c>
      <c r="H28" s="68">
        <f>IF($N28="","",IF($P28&gt;0,IF(3&lt;=SemanaActual,INDEX('Cronograma Asistente Técnico'!$AA$5:$AA$1000,$N28),""),IF(INDEX('Cronograma Asistente Técnico'!$I$5:$I$1000,$N28)="","",INDEX('Cronograma Asistente Técnico'!$I$5:$I$1000,$N28))))</f>
        <v/>
      </c>
      <c r="I28" s="68">
        <f>IF($N28="","",IF($P28&gt;0,IF(4&lt;=SemanaActual,INDEX('Cronograma Asistente Técnico'!$AB$5:$AB$1000,$N28),""),IF(INDEX('Cronograma Asistente Técnico'!$J$5:$J$1000,$N28)="","",INDEX('Cronograma Asistente Técnico'!$J$5:$J$1000,$N28))))</f>
        <v/>
      </c>
      <c r="J28" s="68">
        <f>IF($N28="","",INDEX('Cronograma Asistente Técnico'!$K$5:$K$1000,$N28))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Asistente Técnico'!$M$5:$M$1000,$N28)&amp;"")</f>
        <v/>
      </c>
      <c r="M28" s="71">
        <f>IF($N28="","",INDEX('Cronograma Asistente Técnico'!$N$5:$N$1000,$N28)&amp;"")</f>
        <v/>
      </c>
      <c r="N28">
        <f>IFERROR(MATCH(ROW()-4,rOrden_ATR,0),"")</f>
        <v/>
      </c>
      <c r="O28">
        <f>IF($N28="","",INDEX('Cronograma Asistente Técnico'!$S$5:$S$1000,$N28))</f>
        <v/>
      </c>
      <c r="P28">
        <f>IF($N28="","",N(INDEX('Cronograma Asistente Técnico'!$T$5:$T$1000,$N28)))</f>
        <v/>
      </c>
    </row>
    <row r="29">
      <c r="A29" s="62">
        <f>IF($N29="","",INDEX('Cronograma Asistente Técnico'!$A$5:$A$1000,$N29))</f>
        <v/>
      </c>
      <c r="B29" s="71">
        <f>IF($N29="","",IF($O29="Sub","      ↳  "&amp;INDEX('Cronograma Asistente Técnico'!$C$5:$C$1000,$N29),INDEX('Cronograma Asistente Técnico'!$C$5:$C$1000,$N29)&amp;""))</f>
        <v/>
      </c>
      <c r="C29" s="77">
        <f>IF($N29="","",IF(INDEX('Cronograma Asistente Técnico'!$D$5:$D$1000,$N29)="","",INDEX('Cronograma Asistente Técnico'!$D$5:$D$1000,$N29)))</f>
        <v/>
      </c>
      <c r="D29" s="77">
        <f>IF($N29="","",IF(INDEX('Cronograma Asistente Técnico'!$E$5:$E$1000,$N29)="","",INDEX('Cronograma Asistente Técnico'!$E$5:$E$1000,$N29)))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Asistente Técnico'!$Y$5:$Y$1000,$N29),""),IF(INDEX('Cronograma Asistente Técnico'!$G$5:$G$1000,$N29)="","",INDEX('Cronograma Asistente Técnico'!$G$5:$G$1000,$N29))))</f>
        <v/>
      </c>
      <c r="G29" s="68">
        <f>IF($N29="","",IF($P29&gt;0,IF(2&lt;=SemanaActual,INDEX('Cronograma Asistente Técnico'!$Z$5:$Z$1000,$N29),""),IF(INDEX('Cronograma Asistente Técnico'!$H$5:$H$1000,$N29)="","",INDEX('Cronograma Asistente Técnico'!$H$5:$H$1000,$N29))))</f>
        <v/>
      </c>
      <c r="H29" s="68">
        <f>IF($N29="","",IF($P29&gt;0,IF(3&lt;=SemanaActual,INDEX('Cronograma Asistente Técnico'!$AA$5:$AA$1000,$N29),""),IF(INDEX('Cronograma Asistente Técnico'!$I$5:$I$1000,$N29)="","",INDEX('Cronograma Asistente Técnico'!$I$5:$I$1000,$N29))))</f>
        <v/>
      </c>
      <c r="I29" s="68">
        <f>IF($N29="","",IF($P29&gt;0,IF(4&lt;=SemanaActual,INDEX('Cronograma Asistente Técnico'!$AB$5:$AB$1000,$N29),""),IF(INDEX('Cronograma Asistente Técnico'!$J$5:$J$1000,$N29)="","",INDEX('Cronograma Asistente Técnico'!$J$5:$J$1000,$N29))))</f>
        <v/>
      </c>
      <c r="J29" s="68">
        <f>IF($N29="","",INDEX('Cronograma Asistente Técnico'!$K$5:$K$1000,$N29))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Asistente Técnico'!$M$5:$M$1000,$N29)&amp;"")</f>
        <v/>
      </c>
      <c r="M29" s="71">
        <f>IF($N29="","",INDEX('Cronograma Asistente Técnico'!$N$5:$N$1000,$N29)&amp;"")</f>
        <v/>
      </c>
      <c r="N29">
        <f>IFERROR(MATCH(ROW()-4,rOrden_ATR,0),"")</f>
        <v/>
      </c>
      <c r="O29">
        <f>IF($N29="","",INDEX('Cronograma Asistente Técnico'!$S$5:$S$1000,$N29))</f>
        <v/>
      </c>
      <c r="P29">
        <f>IF($N29="","",N(INDEX('Cronograma Asistente Técnico'!$T$5:$T$1000,$N29)))</f>
        <v/>
      </c>
    </row>
    <row r="30">
      <c r="A30" s="62">
        <f>IF($N30="","",INDEX('Cronograma Asistente Técnico'!$A$5:$A$1000,$N30))</f>
        <v/>
      </c>
      <c r="B30" s="71">
        <f>IF($N30="","",IF($O30="Sub","      ↳  "&amp;INDEX('Cronograma Asistente Técnico'!$C$5:$C$1000,$N30),INDEX('Cronograma Asistente Técnico'!$C$5:$C$1000,$N30)&amp;""))</f>
        <v/>
      </c>
      <c r="C30" s="77">
        <f>IF($N30="","",IF(INDEX('Cronograma Asistente Técnico'!$D$5:$D$1000,$N30)="","",INDEX('Cronograma Asistente Técnico'!$D$5:$D$1000,$N30)))</f>
        <v/>
      </c>
      <c r="D30" s="77">
        <f>IF($N30="","",IF(INDEX('Cronograma Asistente Técnico'!$E$5:$E$1000,$N30)="","",INDEX('Cronograma Asistente Técnico'!$E$5:$E$1000,$N30)))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Asistente Técnico'!$Y$5:$Y$1000,$N30),""),IF(INDEX('Cronograma Asistente Técnico'!$G$5:$G$1000,$N30)="","",INDEX('Cronograma Asistente Técnico'!$G$5:$G$1000,$N30))))</f>
        <v/>
      </c>
      <c r="G30" s="68">
        <f>IF($N30="","",IF($P30&gt;0,IF(2&lt;=SemanaActual,INDEX('Cronograma Asistente Técnico'!$Z$5:$Z$1000,$N30),""),IF(INDEX('Cronograma Asistente Técnico'!$H$5:$H$1000,$N30)="","",INDEX('Cronograma Asistente Técnico'!$H$5:$H$1000,$N30))))</f>
        <v/>
      </c>
      <c r="H30" s="68">
        <f>IF($N30="","",IF($P30&gt;0,IF(3&lt;=SemanaActual,INDEX('Cronograma Asistente Técnico'!$AA$5:$AA$1000,$N30),""),IF(INDEX('Cronograma Asistente Técnico'!$I$5:$I$1000,$N30)="","",INDEX('Cronograma Asistente Técnico'!$I$5:$I$1000,$N30))))</f>
        <v/>
      </c>
      <c r="I30" s="68">
        <f>IF($N30="","",IF($P30&gt;0,IF(4&lt;=SemanaActual,INDEX('Cronograma Asistente Técnico'!$AB$5:$AB$1000,$N30),""),IF(INDEX('Cronograma Asistente Técnico'!$J$5:$J$1000,$N30)="","",INDEX('Cronograma Asistente Técnico'!$J$5:$J$1000,$N30))))</f>
        <v/>
      </c>
      <c r="J30" s="68">
        <f>IF($N30="","",INDEX('Cronograma Asistente Técnico'!$K$5:$K$1000,$N30))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Asistente Técnico'!$M$5:$M$1000,$N30)&amp;"")</f>
        <v/>
      </c>
      <c r="M30" s="71">
        <f>IF($N30="","",INDEX('Cronograma Asistente Técnico'!$N$5:$N$1000,$N30)&amp;"")</f>
        <v/>
      </c>
      <c r="N30">
        <f>IFERROR(MATCH(ROW()-4,rOrden_ATR,0),"")</f>
        <v/>
      </c>
      <c r="O30">
        <f>IF($N30="","",INDEX('Cronograma Asistente Técnico'!$S$5:$S$1000,$N30))</f>
        <v/>
      </c>
      <c r="P30">
        <f>IF($N30="","",N(INDEX('Cronograma Asistente Técnico'!$T$5:$T$1000,$N30)))</f>
        <v/>
      </c>
    </row>
    <row r="31">
      <c r="A31" s="62">
        <f>IF($N31="","",INDEX('Cronograma Asistente Técnico'!$A$5:$A$1000,$N31))</f>
        <v/>
      </c>
      <c r="B31" s="71">
        <f>IF($N31="","",IF($O31="Sub","      ↳  "&amp;INDEX('Cronograma Asistente Técnico'!$C$5:$C$1000,$N31),INDEX('Cronograma Asistente Técnico'!$C$5:$C$1000,$N31)&amp;""))</f>
        <v/>
      </c>
      <c r="C31" s="77">
        <f>IF($N31="","",IF(INDEX('Cronograma Asistente Técnico'!$D$5:$D$1000,$N31)="","",INDEX('Cronograma Asistente Técnico'!$D$5:$D$1000,$N31)))</f>
        <v/>
      </c>
      <c r="D31" s="77">
        <f>IF($N31="","",IF(INDEX('Cronograma Asistente Técnico'!$E$5:$E$1000,$N31)="","",INDEX('Cronograma Asistente Técnico'!$E$5:$E$1000,$N31)))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Asistente Técnico'!$Y$5:$Y$1000,$N31),""),IF(INDEX('Cronograma Asistente Técnico'!$G$5:$G$1000,$N31)="","",INDEX('Cronograma Asistente Técnico'!$G$5:$G$1000,$N31))))</f>
        <v/>
      </c>
      <c r="G31" s="68">
        <f>IF($N31="","",IF($P31&gt;0,IF(2&lt;=SemanaActual,INDEX('Cronograma Asistente Técnico'!$Z$5:$Z$1000,$N31),""),IF(INDEX('Cronograma Asistente Técnico'!$H$5:$H$1000,$N31)="","",INDEX('Cronograma Asistente Técnico'!$H$5:$H$1000,$N31))))</f>
        <v/>
      </c>
      <c r="H31" s="68">
        <f>IF($N31="","",IF($P31&gt;0,IF(3&lt;=SemanaActual,INDEX('Cronograma Asistente Técnico'!$AA$5:$AA$1000,$N31),""),IF(INDEX('Cronograma Asistente Técnico'!$I$5:$I$1000,$N31)="","",INDEX('Cronograma Asistente Técnico'!$I$5:$I$1000,$N31))))</f>
        <v/>
      </c>
      <c r="I31" s="68">
        <f>IF($N31="","",IF($P31&gt;0,IF(4&lt;=SemanaActual,INDEX('Cronograma Asistente Técnico'!$AB$5:$AB$1000,$N31),""),IF(INDEX('Cronograma Asistente Técnico'!$J$5:$J$1000,$N31)="","",INDEX('Cronograma Asistente Técnico'!$J$5:$J$1000,$N31))))</f>
        <v/>
      </c>
      <c r="J31" s="68">
        <f>IF($N31="","",INDEX('Cronograma Asistente Técnico'!$K$5:$K$1000,$N31))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Asistente Técnico'!$M$5:$M$1000,$N31)&amp;"")</f>
        <v/>
      </c>
      <c r="M31" s="71">
        <f>IF($N31="","",INDEX('Cronograma Asistente Técnico'!$N$5:$N$1000,$N31)&amp;"")</f>
        <v/>
      </c>
      <c r="N31">
        <f>IFERROR(MATCH(ROW()-4,rOrden_ATR,0),"")</f>
        <v/>
      </c>
      <c r="O31">
        <f>IF($N31="","",INDEX('Cronograma Asistente Técnico'!$S$5:$S$1000,$N31))</f>
        <v/>
      </c>
      <c r="P31">
        <f>IF($N31="","",N(INDEX('Cronograma Asistente Técnico'!$T$5:$T$1000,$N31)))</f>
        <v/>
      </c>
    </row>
    <row r="32">
      <c r="A32" s="62">
        <f>IF($N32="","",INDEX('Cronograma Asistente Técnico'!$A$5:$A$1000,$N32))</f>
        <v/>
      </c>
      <c r="B32" s="71">
        <f>IF($N32="","",IF($O32="Sub","      ↳  "&amp;INDEX('Cronograma Asistente Técnico'!$C$5:$C$1000,$N32),INDEX('Cronograma Asistente Técnico'!$C$5:$C$1000,$N32)&amp;""))</f>
        <v/>
      </c>
      <c r="C32" s="77">
        <f>IF($N32="","",IF(INDEX('Cronograma Asistente Técnico'!$D$5:$D$1000,$N32)="","",INDEX('Cronograma Asistente Técnico'!$D$5:$D$1000,$N32)))</f>
        <v/>
      </c>
      <c r="D32" s="77">
        <f>IF($N32="","",IF(INDEX('Cronograma Asistente Técnico'!$E$5:$E$1000,$N32)="","",INDEX('Cronograma Asistente Técnico'!$E$5:$E$1000,$N32)))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Asistente Técnico'!$Y$5:$Y$1000,$N32),""),IF(INDEX('Cronograma Asistente Técnico'!$G$5:$G$1000,$N32)="","",INDEX('Cronograma Asistente Técnico'!$G$5:$G$1000,$N32))))</f>
        <v/>
      </c>
      <c r="G32" s="68">
        <f>IF($N32="","",IF($P32&gt;0,IF(2&lt;=SemanaActual,INDEX('Cronograma Asistente Técnico'!$Z$5:$Z$1000,$N32),""),IF(INDEX('Cronograma Asistente Técnico'!$H$5:$H$1000,$N32)="","",INDEX('Cronograma Asistente Técnico'!$H$5:$H$1000,$N32))))</f>
        <v/>
      </c>
      <c r="H32" s="68">
        <f>IF($N32="","",IF($P32&gt;0,IF(3&lt;=SemanaActual,INDEX('Cronograma Asistente Técnico'!$AA$5:$AA$1000,$N32),""),IF(INDEX('Cronograma Asistente Técnico'!$I$5:$I$1000,$N32)="","",INDEX('Cronograma Asistente Técnico'!$I$5:$I$1000,$N32))))</f>
        <v/>
      </c>
      <c r="I32" s="68">
        <f>IF($N32="","",IF($P32&gt;0,IF(4&lt;=SemanaActual,INDEX('Cronograma Asistente Técnico'!$AB$5:$AB$1000,$N32),""),IF(INDEX('Cronograma Asistente Técnico'!$J$5:$J$1000,$N32)="","",INDEX('Cronograma Asistente Técnico'!$J$5:$J$1000,$N32))))</f>
        <v/>
      </c>
      <c r="J32" s="68">
        <f>IF($N32="","",INDEX('Cronograma Asistente Técnico'!$K$5:$K$1000,$N32))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Asistente Técnico'!$M$5:$M$1000,$N32)&amp;"")</f>
        <v/>
      </c>
      <c r="M32" s="71">
        <f>IF($N32="","",INDEX('Cronograma Asistente Técnico'!$N$5:$N$1000,$N32)&amp;"")</f>
        <v/>
      </c>
      <c r="N32">
        <f>IFERROR(MATCH(ROW()-4,rOrden_ATR,0),"")</f>
        <v/>
      </c>
      <c r="O32">
        <f>IF($N32="","",INDEX('Cronograma Asistente Técnico'!$S$5:$S$1000,$N32))</f>
        <v/>
      </c>
      <c r="P32">
        <f>IF($N32="","",N(INDEX('Cronograma Asistente Técnico'!$T$5:$T$1000,$N32)))</f>
        <v/>
      </c>
    </row>
    <row r="33">
      <c r="A33" s="62">
        <f>IF($N33="","",INDEX('Cronograma Asistente Técnico'!$A$5:$A$1000,$N33))</f>
        <v/>
      </c>
      <c r="B33" s="71">
        <f>IF($N33="","",IF($O33="Sub","      ↳  "&amp;INDEX('Cronograma Asistente Técnico'!$C$5:$C$1000,$N33),INDEX('Cronograma Asistente Técnico'!$C$5:$C$1000,$N33)&amp;""))</f>
        <v/>
      </c>
      <c r="C33" s="77">
        <f>IF($N33="","",IF(INDEX('Cronograma Asistente Técnico'!$D$5:$D$1000,$N33)="","",INDEX('Cronograma Asistente Técnico'!$D$5:$D$1000,$N33)))</f>
        <v/>
      </c>
      <c r="D33" s="77">
        <f>IF($N33="","",IF(INDEX('Cronograma Asistente Técnico'!$E$5:$E$1000,$N33)="","",INDEX('Cronograma Asistente Técnico'!$E$5:$E$1000,$N33)))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Asistente Técnico'!$Y$5:$Y$1000,$N33),""),IF(INDEX('Cronograma Asistente Técnico'!$G$5:$G$1000,$N33)="","",INDEX('Cronograma Asistente Técnico'!$G$5:$G$1000,$N33))))</f>
        <v/>
      </c>
      <c r="G33" s="68">
        <f>IF($N33="","",IF($P33&gt;0,IF(2&lt;=SemanaActual,INDEX('Cronograma Asistente Técnico'!$Z$5:$Z$1000,$N33),""),IF(INDEX('Cronograma Asistente Técnico'!$H$5:$H$1000,$N33)="","",INDEX('Cronograma Asistente Técnico'!$H$5:$H$1000,$N33))))</f>
        <v/>
      </c>
      <c r="H33" s="68">
        <f>IF($N33="","",IF($P33&gt;0,IF(3&lt;=SemanaActual,INDEX('Cronograma Asistente Técnico'!$AA$5:$AA$1000,$N33),""),IF(INDEX('Cronograma Asistente Técnico'!$I$5:$I$1000,$N33)="","",INDEX('Cronograma Asistente Técnico'!$I$5:$I$1000,$N33))))</f>
        <v/>
      </c>
      <c r="I33" s="68">
        <f>IF($N33="","",IF($P33&gt;0,IF(4&lt;=SemanaActual,INDEX('Cronograma Asistente Técnico'!$AB$5:$AB$1000,$N33),""),IF(INDEX('Cronograma Asistente Técnico'!$J$5:$J$1000,$N33)="","",INDEX('Cronograma Asistente Técnico'!$J$5:$J$1000,$N33))))</f>
        <v/>
      </c>
      <c r="J33" s="68">
        <f>IF($N33="","",INDEX('Cronograma Asistente Técnico'!$K$5:$K$1000,$N33))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Asistente Técnico'!$M$5:$M$1000,$N33)&amp;"")</f>
        <v/>
      </c>
      <c r="M33" s="71">
        <f>IF($N33="","",INDEX('Cronograma Asistente Técnico'!$N$5:$N$1000,$N33)&amp;"")</f>
        <v/>
      </c>
      <c r="N33">
        <f>IFERROR(MATCH(ROW()-4,rOrden_ATR,0),"")</f>
        <v/>
      </c>
      <c r="O33">
        <f>IF($N33="","",INDEX('Cronograma Asistente Técnico'!$S$5:$S$1000,$N33))</f>
        <v/>
      </c>
      <c r="P33">
        <f>IF($N33="","",N(INDEX('Cronograma Asistente Técnico'!$T$5:$T$1000,$N33)))</f>
        <v/>
      </c>
    </row>
    <row r="34">
      <c r="A34" s="62">
        <f>IF($N34="","",INDEX('Cronograma Asistente Técnico'!$A$5:$A$1000,$N34))</f>
        <v/>
      </c>
      <c r="B34" s="71">
        <f>IF($N34="","",IF($O34="Sub","      ↳  "&amp;INDEX('Cronograma Asistente Técnico'!$C$5:$C$1000,$N34),INDEX('Cronograma Asistente Técnico'!$C$5:$C$1000,$N34)&amp;""))</f>
        <v/>
      </c>
      <c r="C34" s="77">
        <f>IF($N34="","",IF(INDEX('Cronograma Asistente Técnico'!$D$5:$D$1000,$N34)="","",INDEX('Cronograma Asistente Técnico'!$D$5:$D$1000,$N34)))</f>
        <v/>
      </c>
      <c r="D34" s="77">
        <f>IF($N34="","",IF(INDEX('Cronograma Asistente Técnico'!$E$5:$E$1000,$N34)="","",INDEX('Cronograma Asistente Técnico'!$E$5:$E$1000,$N34)))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Asistente Técnico'!$Y$5:$Y$1000,$N34),""),IF(INDEX('Cronograma Asistente Técnico'!$G$5:$G$1000,$N34)="","",INDEX('Cronograma Asistente Técnico'!$G$5:$G$1000,$N34))))</f>
        <v/>
      </c>
      <c r="G34" s="68">
        <f>IF($N34="","",IF($P34&gt;0,IF(2&lt;=SemanaActual,INDEX('Cronograma Asistente Técnico'!$Z$5:$Z$1000,$N34),""),IF(INDEX('Cronograma Asistente Técnico'!$H$5:$H$1000,$N34)="","",INDEX('Cronograma Asistente Técnico'!$H$5:$H$1000,$N34))))</f>
        <v/>
      </c>
      <c r="H34" s="68">
        <f>IF($N34="","",IF($P34&gt;0,IF(3&lt;=SemanaActual,INDEX('Cronograma Asistente Técnico'!$AA$5:$AA$1000,$N34),""),IF(INDEX('Cronograma Asistente Técnico'!$I$5:$I$1000,$N34)="","",INDEX('Cronograma Asistente Técnico'!$I$5:$I$1000,$N34))))</f>
        <v/>
      </c>
      <c r="I34" s="68">
        <f>IF($N34="","",IF($P34&gt;0,IF(4&lt;=SemanaActual,INDEX('Cronograma Asistente Técnico'!$AB$5:$AB$1000,$N34),""),IF(INDEX('Cronograma Asistente Técnico'!$J$5:$J$1000,$N34)="","",INDEX('Cronograma Asistente Técnico'!$J$5:$J$1000,$N34))))</f>
        <v/>
      </c>
      <c r="J34" s="68">
        <f>IF($N34="","",INDEX('Cronograma Asistente Técnico'!$K$5:$K$1000,$N34))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Asistente Técnico'!$M$5:$M$1000,$N34)&amp;"")</f>
        <v/>
      </c>
      <c r="M34" s="71">
        <f>IF($N34="","",INDEX('Cronograma Asistente Técnico'!$N$5:$N$1000,$N34)&amp;"")</f>
        <v/>
      </c>
      <c r="N34">
        <f>IFERROR(MATCH(ROW()-4,rOrden_ATR,0),"")</f>
        <v/>
      </c>
      <c r="O34">
        <f>IF($N34="","",INDEX('Cronograma Asistente Técnico'!$S$5:$S$1000,$N34))</f>
        <v/>
      </c>
      <c r="P34">
        <f>IF($N34="","",N(INDEX('Cronograma Asistente Técnico'!$T$5:$T$1000,$N34)))</f>
        <v/>
      </c>
    </row>
    <row r="35">
      <c r="A35" s="62">
        <f>IF($N35="","",INDEX('Cronograma Asistente Técnico'!$A$5:$A$1000,$N35))</f>
        <v/>
      </c>
      <c r="B35" s="71">
        <f>IF($N35="","",IF($O35="Sub","      ↳  "&amp;INDEX('Cronograma Asistente Técnico'!$C$5:$C$1000,$N35),INDEX('Cronograma Asistente Técnico'!$C$5:$C$1000,$N35)&amp;""))</f>
        <v/>
      </c>
      <c r="C35" s="77">
        <f>IF($N35="","",IF(INDEX('Cronograma Asistente Técnico'!$D$5:$D$1000,$N35)="","",INDEX('Cronograma Asistente Técnico'!$D$5:$D$1000,$N35)))</f>
        <v/>
      </c>
      <c r="D35" s="77">
        <f>IF($N35="","",IF(INDEX('Cronograma Asistente Técnico'!$E$5:$E$1000,$N35)="","",INDEX('Cronograma Asistente Técnico'!$E$5:$E$1000,$N35)))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Asistente Técnico'!$Y$5:$Y$1000,$N35),""),IF(INDEX('Cronograma Asistente Técnico'!$G$5:$G$1000,$N35)="","",INDEX('Cronograma Asistente Técnico'!$G$5:$G$1000,$N35))))</f>
        <v/>
      </c>
      <c r="G35" s="68">
        <f>IF($N35="","",IF($P35&gt;0,IF(2&lt;=SemanaActual,INDEX('Cronograma Asistente Técnico'!$Z$5:$Z$1000,$N35),""),IF(INDEX('Cronograma Asistente Técnico'!$H$5:$H$1000,$N35)="","",INDEX('Cronograma Asistente Técnico'!$H$5:$H$1000,$N35))))</f>
        <v/>
      </c>
      <c r="H35" s="68">
        <f>IF($N35="","",IF($P35&gt;0,IF(3&lt;=SemanaActual,INDEX('Cronograma Asistente Técnico'!$AA$5:$AA$1000,$N35),""),IF(INDEX('Cronograma Asistente Técnico'!$I$5:$I$1000,$N35)="","",INDEX('Cronograma Asistente Técnico'!$I$5:$I$1000,$N35))))</f>
        <v/>
      </c>
      <c r="I35" s="68">
        <f>IF($N35="","",IF($P35&gt;0,IF(4&lt;=SemanaActual,INDEX('Cronograma Asistente Técnico'!$AB$5:$AB$1000,$N35),""),IF(INDEX('Cronograma Asistente Técnico'!$J$5:$J$1000,$N35)="","",INDEX('Cronograma Asistente Técnico'!$J$5:$J$1000,$N35))))</f>
        <v/>
      </c>
      <c r="J35" s="68">
        <f>IF($N35="","",INDEX('Cronograma Asistente Técnico'!$K$5:$K$1000,$N35))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Asistente Técnico'!$M$5:$M$1000,$N35)&amp;"")</f>
        <v/>
      </c>
      <c r="M35" s="71">
        <f>IF($N35="","",INDEX('Cronograma Asistente Técnico'!$N$5:$N$1000,$N35)&amp;"")</f>
        <v/>
      </c>
      <c r="N35">
        <f>IFERROR(MATCH(ROW()-4,rOrden_ATR,0),"")</f>
        <v/>
      </c>
      <c r="O35">
        <f>IF($N35="","",INDEX('Cronograma Asistente Técnico'!$S$5:$S$1000,$N35))</f>
        <v/>
      </c>
      <c r="P35">
        <f>IF($N35="","",N(INDEX('Cronograma Asistente Técnico'!$T$5:$T$1000,$N35)))</f>
        <v/>
      </c>
    </row>
    <row r="36">
      <c r="A36" s="62">
        <f>IF($N36="","",INDEX('Cronograma Asistente Técnico'!$A$5:$A$1000,$N36))</f>
        <v/>
      </c>
      <c r="B36" s="71">
        <f>IF($N36="","",IF($O36="Sub","      ↳  "&amp;INDEX('Cronograma Asistente Técnico'!$C$5:$C$1000,$N36),INDEX('Cronograma Asistente Técnico'!$C$5:$C$1000,$N36)&amp;""))</f>
        <v/>
      </c>
      <c r="C36" s="77">
        <f>IF($N36="","",IF(INDEX('Cronograma Asistente Técnico'!$D$5:$D$1000,$N36)="","",INDEX('Cronograma Asistente Técnico'!$D$5:$D$1000,$N36)))</f>
        <v/>
      </c>
      <c r="D36" s="77">
        <f>IF($N36="","",IF(INDEX('Cronograma Asistente Técnico'!$E$5:$E$1000,$N36)="","",INDEX('Cronograma Asistente Técnico'!$E$5:$E$1000,$N36)))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Asistente Técnico'!$Y$5:$Y$1000,$N36),""),IF(INDEX('Cronograma Asistente Técnico'!$G$5:$G$1000,$N36)="","",INDEX('Cronograma Asistente Técnico'!$G$5:$G$1000,$N36))))</f>
        <v/>
      </c>
      <c r="G36" s="68">
        <f>IF($N36="","",IF($P36&gt;0,IF(2&lt;=SemanaActual,INDEX('Cronograma Asistente Técnico'!$Z$5:$Z$1000,$N36),""),IF(INDEX('Cronograma Asistente Técnico'!$H$5:$H$1000,$N36)="","",INDEX('Cronograma Asistente Técnico'!$H$5:$H$1000,$N36))))</f>
        <v/>
      </c>
      <c r="H36" s="68">
        <f>IF($N36="","",IF($P36&gt;0,IF(3&lt;=SemanaActual,INDEX('Cronograma Asistente Técnico'!$AA$5:$AA$1000,$N36),""),IF(INDEX('Cronograma Asistente Técnico'!$I$5:$I$1000,$N36)="","",INDEX('Cronograma Asistente Técnico'!$I$5:$I$1000,$N36))))</f>
        <v/>
      </c>
      <c r="I36" s="68">
        <f>IF($N36="","",IF($P36&gt;0,IF(4&lt;=SemanaActual,INDEX('Cronograma Asistente Técnico'!$AB$5:$AB$1000,$N36),""),IF(INDEX('Cronograma Asistente Técnico'!$J$5:$J$1000,$N36)="","",INDEX('Cronograma Asistente Técnico'!$J$5:$J$1000,$N36))))</f>
        <v/>
      </c>
      <c r="J36" s="68">
        <f>IF($N36="","",INDEX('Cronograma Asistente Técnico'!$K$5:$K$1000,$N36))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Asistente Técnico'!$M$5:$M$1000,$N36)&amp;"")</f>
        <v/>
      </c>
      <c r="M36" s="71">
        <f>IF($N36="","",INDEX('Cronograma Asistente Técnico'!$N$5:$N$1000,$N36)&amp;"")</f>
        <v/>
      </c>
      <c r="N36">
        <f>IFERROR(MATCH(ROW()-4,rOrden_ATR,0),"")</f>
        <v/>
      </c>
      <c r="O36">
        <f>IF($N36="","",INDEX('Cronograma Asistente Técnico'!$S$5:$S$1000,$N36))</f>
        <v/>
      </c>
      <c r="P36">
        <f>IF($N36="","",N(INDEX('Cronograma Asistente Técnico'!$T$5:$T$1000,$N36)))</f>
        <v/>
      </c>
    </row>
    <row r="37">
      <c r="A37" s="62">
        <f>IF($N37="","",INDEX('Cronograma Asistente Técnico'!$A$5:$A$1000,$N37))</f>
        <v/>
      </c>
      <c r="B37" s="71">
        <f>IF($N37="","",IF($O37="Sub","      ↳  "&amp;INDEX('Cronograma Asistente Técnico'!$C$5:$C$1000,$N37),INDEX('Cronograma Asistente Técnico'!$C$5:$C$1000,$N37)&amp;""))</f>
        <v/>
      </c>
      <c r="C37" s="77">
        <f>IF($N37="","",IF(INDEX('Cronograma Asistente Técnico'!$D$5:$D$1000,$N37)="","",INDEX('Cronograma Asistente Técnico'!$D$5:$D$1000,$N37)))</f>
        <v/>
      </c>
      <c r="D37" s="77">
        <f>IF($N37="","",IF(INDEX('Cronograma Asistente Técnico'!$E$5:$E$1000,$N37)="","",INDEX('Cronograma Asistente Técnico'!$E$5:$E$1000,$N37)))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Asistente Técnico'!$Y$5:$Y$1000,$N37),""),IF(INDEX('Cronograma Asistente Técnico'!$G$5:$G$1000,$N37)="","",INDEX('Cronograma Asistente Técnico'!$G$5:$G$1000,$N37))))</f>
        <v/>
      </c>
      <c r="G37" s="68">
        <f>IF($N37="","",IF($P37&gt;0,IF(2&lt;=SemanaActual,INDEX('Cronograma Asistente Técnico'!$Z$5:$Z$1000,$N37),""),IF(INDEX('Cronograma Asistente Técnico'!$H$5:$H$1000,$N37)="","",INDEX('Cronograma Asistente Técnico'!$H$5:$H$1000,$N37))))</f>
        <v/>
      </c>
      <c r="H37" s="68">
        <f>IF($N37="","",IF($P37&gt;0,IF(3&lt;=SemanaActual,INDEX('Cronograma Asistente Técnico'!$AA$5:$AA$1000,$N37),""),IF(INDEX('Cronograma Asistente Técnico'!$I$5:$I$1000,$N37)="","",INDEX('Cronograma Asistente Técnico'!$I$5:$I$1000,$N37))))</f>
        <v/>
      </c>
      <c r="I37" s="68">
        <f>IF($N37="","",IF($P37&gt;0,IF(4&lt;=SemanaActual,INDEX('Cronograma Asistente Técnico'!$AB$5:$AB$1000,$N37),""),IF(INDEX('Cronograma Asistente Técnico'!$J$5:$J$1000,$N37)="","",INDEX('Cronograma Asistente Técnico'!$J$5:$J$1000,$N37))))</f>
        <v/>
      </c>
      <c r="J37" s="68">
        <f>IF($N37="","",INDEX('Cronograma Asistente Técnico'!$K$5:$K$1000,$N37))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Asistente Técnico'!$M$5:$M$1000,$N37)&amp;"")</f>
        <v/>
      </c>
      <c r="M37" s="71">
        <f>IF($N37="","",INDEX('Cronograma Asistente Técnico'!$N$5:$N$1000,$N37)&amp;"")</f>
        <v/>
      </c>
      <c r="N37">
        <f>IFERROR(MATCH(ROW()-4,rOrden_ATR,0),"")</f>
        <v/>
      </c>
      <c r="O37">
        <f>IF($N37="","",INDEX('Cronograma Asistente Técnico'!$S$5:$S$1000,$N37))</f>
        <v/>
      </c>
      <c r="P37">
        <f>IF($N37="","",N(INDEX('Cronograma Asistente Técnico'!$T$5:$T$1000,$N37)))</f>
        <v/>
      </c>
    </row>
    <row r="38">
      <c r="A38" s="62">
        <f>IF($N38="","",INDEX('Cronograma Asistente Técnico'!$A$5:$A$1000,$N38))</f>
        <v/>
      </c>
      <c r="B38" s="71">
        <f>IF($N38="","",IF($O38="Sub","      ↳  "&amp;INDEX('Cronograma Asistente Técnico'!$C$5:$C$1000,$N38),INDEX('Cronograma Asistente Técnico'!$C$5:$C$1000,$N38)&amp;""))</f>
        <v/>
      </c>
      <c r="C38" s="77">
        <f>IF($N38="","",IF(INDEX('Cronograma Asistente Técnico'!$D$5:$D$1000,$N38)="","",INDEX('Cronograma Asistente Técnico'!$D$5:$D$1000,$N38)))</f>
        <v/>
      </c>
      <c r="D38" s="77">
        <f>IF($N38="","",IF(INDEX('Cronograma Asistente Técnico'!$E$5:$E$1000,$N38)="","",INDEX('Cronograma Asistente Técnico'!$E$5:$E$1000,$N38)))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Asistente Técnico'!$Y$5:$Y$1000,$N38),""),IF(INDEX('Cronograma Asistente Técnico'!$G$5:$G$1000,$N38)="","",INDEX('Cronograma Asistente Técnico'!$G$5:$G$1000,$N38))))</f>
        <v/>
      </c>
      <c r="G38" s="68">
        <f>IF($N38="","",IF($P38&gt;0,IF(2&lt;=SemanaActual,INDEX('Cronograma Asistente Técnico'!$Z$5:$Z$1000,$N38),""),IF(INDEX('Cronograma Asistente Técnico'!$H$5:$H$1000,$N38)="","",INDEX('Cronograma Asistente Técnico'!$H$5:$H$1000,$N38))))</f>
        <v/>
      </c>
      <c r="H38" s="68">
        <f>IF($N38="","",IF($P38&gt;0,IF(3&lt;=SemanaActual,INDEX('Cronograma Asistente Técnico'!$AA$5:$AA$1000,$N38),""),IF(INDEX('Cronograma Asistente Técnico'!$I$5:$I$1000,$N38)="","",INDEX('Cronograma Asistente Técnico'!$I$5:$I$1000,$N38))))</f>
        <v/>
      </c>
      <c r="I38" s="68">
        <f>IF($N38="","",IF($P38&gt;0,IF(4&lt;=SemanaActual,INDEX('Cronograma Asistente Técnico'!$AB$5:$AB$1000,$N38),""),IF(INDEX('Cronograma Asistente Técnico'!$J$5:$J$1000,$N38)="","",INDEX('Cronograma Asistente Técnico'!$J$5:$J$1000,$N38))))</f>
        <v/>
      </c>
      <c r="J38" s="68">
        <f>IF($N38="","",INDEX('Cronograma Asistente Técnico'!$K$5:$K$1000,$N38))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Asistente Técnico'!$M$5:$M$1000,$N38)&amp;"")</f>
        <v/>
      </c>
      <c r="M38" s="71">
        <f>IF($N38="","",INDEX('Cronograma Asistente Técnico'!$N$5:$N$1000,$N38)&amp;"")</f>
        <v/>
      </c>
      <c r="N38">
        <f>IFERROR(MATCH(ROW()-4,rOrden_ATR,0),"")</f>
        <v/>
      </c>
      <c r="O38">
        <f>IF($N38="","",INDEX('Cronograma Asistente Técnico'!$S$5:$S$1000,$N38))</f>
        <v/>
      </c>
      <c r="P38">
        <f>IF($N38="","",N(INDEX('Cronograma Asistente Técnico'!$T$5:$T$1000,$N38)))</f>
        <v/>
      </c>
    </row>
    <row r="39">
      <c r="A39" s="62">
        <f>IF($N39="","",INDEX('Cronograma Asistente Técnico'!$A$5:$A$1000,$N39))</f>
        <v/>
      </c>
      <c r="B39" s="71">
        <f>IF($N39="","",IF($O39="Sub","      ↳  "&amp;INDEX('Cronograma Asistente Técnico'!$C$5:$C$1000,$N39),INDEX('Cronograma Asistente Técnico'!$C$5:$C$1000,$N39)&amp;""))</f>
        <v/>
      </c>
      <c r="C39" s="77">
        <f>IF($N39="","",IF(INDEX('Cronograma Asistente Técnico'!$D$5:$D$1000,$N39)="","",INDEX('Cronograma Asistente Técnico'!$D$5:$D$1000,$N39)))</f>
        <v/>
      </c>
      <c r="D39" s="77">
        <f>IF($N39="","",IF(INDEX('Cronograma Asistente Técnico'!$E$5:$E$1000,$N39)="","",INDEX('Cronograma Asistente Técnico'!$E$5:$E$1000,$N39)))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Asistente Técnico'!$Y$5:$Y$1000,$N39),""),IF(INDEX('Cronograma Asistente Técnico'!$G$5:$G$1000,$N39)="","",INDEX('Cronograma Asistente Técnico'!$G$5:$G$1000,$N39))))</f>
        <v/>
      </c>
      <c r="G39" s="68">
        <f>IF($N39="","",IF($P39&gt;0,IF(2&lt;=SemanaActual,INDEX('Cronograma Asistente Técnico'!$Z$5:$Z$1000,$N39),""),IF(INDEX('Cronograma Asistente Técnico'!$H$5:$H$1000,$N39)="","",INDEX('Cronograma Asistente Técnico'!$H$5:$H$1000,$N39))))</f>
        <v/>
      </c>
      <c r="H39" s="68">
        <f>IF($N39="","",IF($P39&gt;0,IF(3&lt;=SemanaActual,INDEX('Cronograma Asistente Técnico'!$AA$5:$AA$1000,$N39),""),IF(INDEX('Cronograma Asistente Técnico'!$I$5:$I$1000,$N39)="","",INDEX('Cronograma Asistente Técnico'!$I$5:$I$1000,$N39))))</f>
        <v/>
      </c>
      <c r="I39" s="68">
        <f>IF($N39="","",IF($P39&gt;0,IF(4&lt;=SemanaActual,INDEX('Cronograma Asistente Técnico'!$AB$5:$AB$1000,$N39),""),IF(INDEX('Cronograma Asistente Técnico'!$J$5:$J$1000,$N39)="","",INDEX('Cronograma Asistente Técnico'!$J$5:$J$1000,$N39))))</f>
        <v/>
      </c>
      <c r="J39" s="68">
        <f>IF($N39="","",INDEX('Cronograma Asistente Técnico'!$K$5:$K$1000,$N39))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Asistente Técnico'!$M$5:$M$1000,$N39)&amp;"")</f>
        <v/>
      </c>
      <c r="M39" s="71">
        <f>IF($N39="","",INDEX('Cronograma Asistente Técnico'!$N$5:$N$1000,$N39)&amp;"")</f>
        <v/>
      </c>
      <c r="N39">
        <f>IFERROR(MATCH(ROW()-4,rOrden_ATR,0),"")</f>
        <v/>
      </c>
      <c r="O39">
        <f>IF($N39="","",INDEX('Cronograma Asistente Técnico'!$S$5:$S$1000,$N39))</f>
        <v/>
      </c>
      <c r="P39">
        <f>IF($N39="","",N(INDEX('Cronograma Asistente Técnico'!$T$5:$T$1000,$N39)))</f>
        <v/>
      </c>
    </row>
    <row r="40">
      <c r="A40" s="62">
        <f>IF($N40="","",INDEX('Cronograma Asistente Técnico'!$A$5:$A$1000,$N40))</f>
        <v/>
      </c>
      <c r="B40" s="71">
        <f>IF($N40="","",IF($O40="Sub","      ↳  "&amp;INDEX('Cronograma Asistente Técnico'!$C$5:$C$1000,$N40),INDEX('Cronograma Asistente Técnico'!$C$5:$C$1000,$N40)&amp;""))</f>
        <v/>
      </c>
      <c r="C40" s="77">
        <f>IF($N40="","",IF(INDEX('Cronograma Asistente Técnico'!$D$5:$D$1000,$N40)="","",INDEX('Cronograma Asistente Técnico'!$D$5:$D$1000,$N40)))</f>
        <v/>
      </c>
      <c r="D40" s="77">
        <f>IF($N40="","",IF(INDEX('Cronograma Asistente Técnico'!$E$5:$E$1000,$N40)="","",INDEX('Cronograma Asistente Técnico'!$E$5:$E$1000,$N40)))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Asistente Técnico'!$Y$5:$Y$1000,$N40),""),IF(INDEX('Cronograma Asistente Técnico'!$G$5:$G$1000,$N40)="","",INDEX('Cronograma Asistente Técnico'!$G$5:$G$1000,$N40))))</f>
        <v/>
      </c>
      <c r="G40" s="68">
        <f>IF($N40="","",IF($P40&gt;0,IF(2&lt;=SemanaActual,INDEX('Cronograma Asistente Técnico'!$Z$5:$Z$1000,$N40),""),IF(INDEX('Cronograma Asistente Técnico'!$H$5:$H$1000,$N40)="","",INDEX('Cronograma Asistente Técnico'!$H$5:$H$1000,$N40))))</f>
        <v/>
      </c>
      <c r="H40" s="68">
        <f>IF($N40="","",IF($P40&gt;0,IF(3&lt;=SemanaActual,INDEX('Cronograma Asistente Técnico'!$AA$5:$AA$1000,$N40),""),IF(INDEX('Cronograma Asistente Técnico'!$I$5:$I$1000,$N40)="","",INDEX('Cronograma Asistente Técnico'!$I$5:$I$1000,$N40))))</f>
        <v/>
      </c>
      <c r="I40" s="68">
        <f>IF($N40="","",IF($P40&gt;0,IF(4&lt;=SemanaActual,INDEX('Cronograma Asistente Técnico'!$AB$5:$AB$1000,$N40),""),IF(INDEX('Cronograma Asistente Técnico'!$J$5:$J$1000,$N40)="","",INDEX('Cronograma Asistente Técnico'!$J$5:$J$1000,$N40))))</f>
        <v/>
      </c>
      <c r="J40" s="68">
        <f>IF($N40="","",INDEX('Cronograma Asistente Técnico'!$K$5:$K$1000,$N40))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Asistente Técnico'!$M$5:$M$1000,$N40)&amp;"")</f>
        <v/>
      </c>
      <c r="M40" s="71">
        <f>IF($N40="","",INDEX('Cronograma Asistente Técnico'!$N$5:$N$1000,$N40)&amp;"")</f>
        <v/>
      </c>
      <c r="N40">
        <f>IFERROR(MATCH(ROW()-4,rOrden_ATR,0),"")</f>
        <v/>
      </c>
      <c r="O40">
        <f>IF($N40="","",INDEX('Cronograma Asistente Técnico'!$S$5:$S$1000,$N40))</f>
        <v/>
      </c>
      <c r="P40">
        <f>IF($N40="","",N(INDEX('Cronograma Asistente Técnico'!$T$5:$T$1000,$N40)))</f>
        <v/>
      </c>
    </row>
    <row r="41">
      <c r="A41" s="62">
        <f>IF($N41="","",INDEX('Cronograma Asistente Técnico'!$A$5:$A$1000,$N41))</f>
        <v/>
      </c>
      <c r="B41" s="71">
        <f>IF($N41="","",IF($O41="Sub","      ↳  "&amp;INDEX('Cronograma Asistente Técnico'!$C$5:$C$1000,$N41),INDEX('Cronograma Asistente Técnico'!$C$5:$C$1000,$N41)&amp;""))</f>
        <v/>
      </c>
      <c r="C41" s="77">
        <f>IF($N41="","",IF(INDEX('Cronograma Asistente Técnico'!$D$5:$D$1000,$N41)="","",INDEX('Cronograma Asistente Técnico'!$D$5:$D$1000,$N41)))</f>
        <v/>
      </c>
      <c r="D41" s="77">
        <f>IF($N41="","",IF(INDEX('Cronograma Asistente Técnico'!$E$5:$E$1000,$N41)="","",INDEX('Cronograma Asistente Técnico'!$E$5:$E$1000,$N41)))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Asistente Técnico'!$Y$5:$Y$1000,$N41),""),IF(INDEX('Cronograma Asistente Técnico'!$G$5:$G$1000,$N41)="","",INDEX('Cronograma Asistente Técnico'!$G$5:$G$1000,$N41))))</f>
        <v/>
      </c>
      <c r="G41" s="68">
        <f>IF($N41="","",IF($P41&gt;0,IF(2&lt;=SemanaActual,INDEX('Cronograma Asistente Técnico'!$Z$5:$Z$1000,$N41),""),IF(INDEX('Cronograma Asistente Técnico'!$H$5:$H$1000,$N41)="","",INDEX('Cronograma Asistente Técnico'!$H$5:$H$1000,$N41))))</f>
        <v/>
      </c>
      <c r="H41" s="68">
        <f>IF($N41="","",IF($P41&gt;0,IF(3&lt;=SemanaActual,INDEX('Cronograma Asistente Técnico'!$AA$5:$AA$1000,$N41),""),IF(INDEX('Cronograma Asistente Técnico'!$I$5:$I$1000,$N41)="","",INDEX('Cronograma Asistente Técnico'!$I$5:$I$1000,$N41))))</f>
        <v/>
      </c>
      <c r="I41" s="68">
        <f>IF($N41="","",IF($P41&gt;0,IF(4&lt;=SemanaActual,INDEX('Cronograma Asistente Técnico'!$AB$5:$AB$1000,$N41),""),IF(INDEX('Cronograma Asistente Técnico'!$J$5:$J$1000,$N41)="","",INDEX('Cronograma Asistente Técnico'!$J$5:$J$1000,$N41))))</f>
        <v/>
      </c>
      <c r="J41" s="68">
        <f>IF($N41="","",INDEX('Cronograma Asistente Técnico'!$K$5:$K$1000,$N41))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Asistente Técnico'!$M$5:$M$1000,$N41)&amp;"")</f>
        <v/>
      </c>
      <c r="M41" s="71">
        <f>IF($N41="","",INDEX('Cronograma Asistente Técnico'!$N$5:$N$1000,$N41)&amp;"")</f>
        <v/>
      </c>
      <c r="N41">
        <f>IFERROR(MATCH(ROW()-4,rOrden_ATR,0),"")</f>
        <v/>
      </c>
      <c r="O41">
        <f>IF($N41="","",INDEX('Cronograma Asistente Técnico'!$S$5:$S$1000,$N41))</f>
        <v/>
      </c>
      <c r="P41">
        <f>IF($N41="","",N(INDEX('Cronograma Asistente Técnico'!$T$5:$T$1000,$N41)))</f>
        <v/>
      </c>
    </row>
    <row r="42">
      <c r="A42" s="62">
        <f>IF($N42="","",INDEX('Cronograma Asistente Técnico'!$A$5:$A$1000,$N42))</f>
        <v/>
      </c>
      <c r="B42" s="71">
        <f>IF($N42="","",IF($O42="Sub","      ↳  "&amp;INDEX('Cronograma Asistente Técnico'!$C$5:$C$1000,$N42),INDEX('Cronograma Asistente Técnico'!$C$5:$C$1000,$N42)&amp;""))</f>
        <v/>
      </c>
      <c r="C42" s="77">
        <f>IF($N42="","",IF(INDEX('Cronograma Asistente Técnico'!$D$5:$D$1000,$N42)="","",INDEX('Cronograma Asistente Técnico'!$D$5:$D$1000,$N42)))</f>
        <v/>
      </c>
      <c r="D42" s="77">
        <f>IF($N42="","",IF(INDEX('Cronograma Asistente Técnico'!$E$5:$E$1000,$N42)="","",INDEX('Cronograma Asistente Técnico'!$E$5:$E$1000,$N42)))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Asistente Técnico'!$Y$5:$Y$1000,$N42),""),IF(INDEX('Cronograma Asistente Técnico'!$G$5:$G$1000,$N42)="","",INDEX('Cronograma Asistente Técnico'!$G$5:$G$1000,$N42))))</f>
        <v/>
      </c>
      <c r="G42" s="68">
        <f>IF($N42="","",IF($P42&gt;0,IF(2&lt;=SemanaActual,INDEX('Cronograma Asistente Técnico'!$Z$5:$Z$1000,$N42),""),IF(INDEX('Cronograma Asistente Técnico'!$H$5:$H$1000,$N42)="","",INDEX('Cronograma Asistente Técnico'!$H$5:$H$1000,$N42))))</f>
        <v/>
      </c>
      <c r="H42" s="68">
        <f>IF($N42="","",IF($P42&gt;0,IF(3&lt;=SemanaActual,INDEX('Cronograma Asistente Técnico'!$AA$5:$AA$1000,$N42),""),IF(INDEX('Cronograma Asistente Técnico'!$I$5:$I$1000,$N42)="","",INDEX('Cronograma Asistente Técnico'!$I$5:$I$1000,$N42))))</f>
        <v/>
      </c>
      <c r="I42" s="68">
        <f>IF($N42="","",IF($P42&gt;0,IF(4&lt;=SemanaActual,INDEX('Cronograma Asistente Técnico'!$AB$5:$AB$1000,$N42),""),IF(INDEX('Cronograma Asistente Técnico'!$J$5:$J$1000,$N42)="","",INDEX('Cronograma Asistente Técnico'!$J$5:$J$1000,$N42))))</f>
        <v/>
      </c>
      <c r="J42" s="68">
        <f>IF($N42="","",INDEX('Cronograma Asistente Técnico'!$K$5:$K$1000,$N42))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Asistente Técnico'!$M$5:$M$1000,$N42)&amp;"")</f>
        <v/>
      </c>
      <c r="M42" s="71">
        <f>IF($N42="","",INDEX('Cronograma Asistente Técnico'!$N$5:$N$1000,$N42)&amp;"")</f>
        <v/>
      </c>
      <c r="N42">
        <f>IFERROR(MATCH(ROW()-4,rOrden_ATR,0),"")</f>
        <v/>
      </c>
      <c r="O42">
        <f>IF($N42="","",INDEX('Cronograma Asistente Técnico'!$S$5:$S$1000,$N42))</f>
        <v/>
      </c>
      <c r="P42">
        <f>IF($N42="","",N(INDEX('Cronograma Asistente Técnico'!$T$5:$T$1000,$N42)))</f>
        <v/>
      </c>
    </row>
    <row r="43">
      <c r="A43" s="62">
        <f>IF($N43="","",INDEX('Cronograma Asistente Técnico'!$A$5:$A$1000,$N43))</f>
        <v/>
      </c>
      <c r="B43" s="71">
        <f>IF($N43="","",IF($O43="Sub","      ↳  "&amp;INDEX('Cronograma Asistente Técnico'!$C$5:$C$1000,$N43),INDEX('Cronograma Asistente Técnico'!$C$5:$C$1000,$N43)&amp;""))</f>
        <v/>
      </c>
      <c r="C43" s="77">
        <f>IF($N43="","",IF(INDEX('Cronograma Asistente Técnico'!$D$5:$D$1000,$N43)="","",INDEX('Cronograma Asistente Técnico'!$D$5:$D$1000,$N43)))</f>
        <v/>
      </c>
      <c r="D43" s="77">
        <f>IF($N43="","",IF(INDEX('Cronograma Asistente Técnico'!$E$5:$E$1000,$N43)="","",INDEX('Cronograma Asistente Técnico'!$E$5:$E$1000,$N43)))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Asistente Técnico'!$Y$5:$Y$1000,$N43),""),IF(INDEX('Cronograma Asistente Técnico'!$G$5:$G$1000,$N43)="","",INDEX('Cronograma Asistente Técnico'!$G$5:$G$1000,$N43))))</f>
        <v/>
      </c>
      <c r="G43" s="68">
        <f>IF($N43="","",IF($P43&gt;0,IF(2&lt;=SemanaActual,INDEX('Cronograma Asistente Técnico'!$Z$5:$Z$1000,$N43),""),IF(INDEX('Cronograma Asistente Técnico'!$H$5:$H$1000,$N43)="","",INDEX('Cronograma Asistente Técnico'!$H$5:$H$1000,$N43))))</f>
        <v/>
      </c>
      <c r="H43" s="68">
        <f>IF($N43="","",IF($P43&gt;0,IF(3&lt;=SemanaActual,INDEX('Cronograma Asistente Técnico'!$AA$5:$AA$1000,$N43),""),IF(INDEX('Cronograma Asistente Técnico'!$I$5:$I$1000,$N43)="","",INDEX('Cronograma Asistente Técnico'!$I$5:$I$1000,$N43))))</f>
        <v/>
      </c>
      <c r="I43" s="68">
        <f>IF($N43="","",IF($P43&gt;0,IF(4&lt;=SemanaActual,INDEX('Cronograma Asistente Técnico'!$AB$5:$AB$1000,$N43),""),IF(INDEX('Cronograma Asistente Técnico'!$J$5:$J$1000,$N43)="","",INDEX('Cronograma Asistente Técnico'!$J$5:$J$1000,$N43))))</f>
        <v/>
      </c>
      <c r="J43" s="68">
        <f>IF($N43="","",INDEX('Cronograma Asistente Técnico'!$K$5:$K$1000,$N43))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Asistente Técnico'!$M$5:$M$1000,$N43)&amp;"")</f>
        <v/>
      </c>
      <c r="M43" s="71">
        <f>IF($N43="","",INDEX('Cronograma Asistente Técnico'!$N$5:$N$1000,$N43)&amp;"")</f>
        <v/>
      </c>
      <c r="N43">
        <f>IFERROR(MATCH(ROW()-4,rOrden_ATR,0),"")</f>
        <v/>
      </c>
      <c r="O43">
        <f>IF($N43="","",INDEX('Cronograma Asistente Técnico'!$S$5:$S$1000,$N43))</f>
        <v/>
      </c>
      <c r="P43">
        <f>IF($N43="","",N(INDEX('Cronograma Asistente Técnico'!$T$5:$T$1000,$N43)))</f>
        <v/>
      </c>
    </row>
    <row r="44">
      <c r="A44" s="62">
        <f>IF($N44="","",INDEX('Cronograma Asistente Técnico'!$A$5:$A$1000,$N44))</f>
        <v/>
      </c>
      <c r="B44" s="71">
        <f>IF($N44="","",IF($O44="Sub","      ↳  "&amp;INDEX('Cronograma Asistente Técnico'!$C$5:$C$1000,$N44),INDEX('Cronograma Asistente Técnico'!$C$5:$C$1000,$N44)&amp;""))</f>
        <v/>
      </c>
      <c r="C44" s="77">
        <f>IF($N44="","",IF(INDEX('Cronograma Asistente Técnico'!$D$5:$D$1000,$N44)="","",INDEX('Cronograma Asistente Técnico'!$D$5:$D$1000,$N44)))</f>
        <v/>
      </c>
      <c r="D44" s="77">
        <f>IF($N44="","",IF(INDEX('Cronograma Asistente Técnico'!$E$5:$E$1000,$N44)="","",INDEX('Cronograma Asistente Técnico'!$E$5:$E$1000,$N44)))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Asistente Técnico'!$Y$5:$Y$1000,$N44),""),IF(INDEX('Cronograma Asistente Técnico'!$G$5:$G$1000,$N44)="","",INDEX('Cronograma Asistente Técnico'!$G$5:$G$1000,$N44))))</f>
        <v/>
      </c>
      <c r="G44" s="68">
        <f>IF($N44="","",IF($P44&gt;0,IF(2&lt;=SemanaActual,INDEX('Cronograma Asistente Técnico'!$Z$5:$Z$1000,$N44),""),IF(INDEX('Cronograma Asistente Técnico'!$H$5:$H$1000,$N44)="","",INDEX('Cronograma Asistente Técnico'!$H$5:$H$1000,$N44))))</f>
        <v/>
      </c>
      <c r="H44" s="68">
        <f>IF($N44="","",IF($P44&gt;0,IF(3&lt;=SemanaActual,INDEX('Cronograma Asistente Técnico'!$AA$5:$AA$1000,$N44),""),IF(INDEX('Cronograma Asistente Técnico'!$I$5:$I$1000,$N44)="","",INDEX('Cronograma Asistente Técnico'!$I$5:$I$1000,$N44))))</f>
        <v/>
      </c>
      <c r="I44" s="68">
        <f>IF($N44="","",IF($P44&gt;0,IF(4&lt;=SemanaActual,INDEX('Cronograma Asistente Técnico'!$AB$5:$AB$1000,$N44),""),IF(INDEX('Cronograma Asistente Técnico'!$J$5:$J$1000,$N44)="","",INDEX('Cronograma Asistente Técnico'!$J$5:$J$1000,$N44))))</f>
        <v/>
      </c>
      <c r="J44" s="68">
        <f>IF($N44="","",INDEX('Cronograma Asistente Técnico'!$K$5:$K$1000,$N44))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Asistente Técnico'!$M$5:$M$1000,$N44)&amp;"")</f>
        <v/>
      </c>
      <c r="M44" s="71">
        <f>IF($N44="","",INDEX('Cronograma Asistente Técnico'!$N$5:$N$1000,$N44)&amp;"")</f>
        <v/>
      </c>
      <c r="N44">
        <f>IFERROR(MATCH(ROW()-4,rOrden_ATR,0),"")</f>
        <v/>
      </c>
      <c r="O44">
        <f>IF($N44="","",INDEX('Cronograma Asistente Técnico'!$S$5:$S$1000,$N44))</f>
        <v/>
      </c>
      <c r="P44">
        <f>IF($N44="","",N(INDEX('Cronograma Asistente Técnico'!$T$5:$T$1000,$N44)))</f>
        <v/>
      </c>
    </row>
    <row r="45">
      <c r="A45" s="62">
        <f>IF($N45="","",INDEX('Cronograma Asistente Técnico'!$A$5:$A$1000,$N45))</f>
        <v/>
      </c>
      <c r="B45" s="71">
        <f>IF($N45="","",IF($O45="Sub","      ↳  "&amp;INDEX('Cronograma Asistente Técnico'!$C$5:$C$1000,$N45),INDEX('Cronograma Asistente Técnico'!$C$5:$C$1000,$N45)&amp;""))</f>
        <v/>
      </c>
      <c r="C45" s="77">
        <f>IF($N45="","",IF(INDEX('Cronograma Asistente Técnico'!$D$5:$D$1000,$N45)="","",INDEX('Cronograma Asistente Técnico'!$D$5:$D$1000,$N45)))</f>
        <v/>
      </c>
      <c r="D45" s="77">
        <f>IF($N45="","",IF(INDEX('Cronograma Asistente Técnico'!$E$5:$E$1000,$N45)="","",INDEX('Cronograma Asistente Técnico'!$E$5:$E$1000,$N45)))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Asistente Técnico'!$Y$5:$Y$1000,$N45),""),IF(INDEX('Cronograma Asistente Técnico'!$G$5:$G$1000,$N45)="","",INDEX('Cronograma Asistente Técnico'!$G$5:$G$1000,$N45))))</f>
        <v/>
      </c>
      <c r="G45" s="68">
        <f>IF($N45="","",IF($P45&gt;0,IF(2&lt;=SemanaActual,INDEX('Cronograma Asistente Técnico'!$Z$5:$Z$1000,$N45),""),IF(INDEX('Cronograma Asistente Técnico'!$H$5:$H$1000,$N45)="","",INDEX('Cronograma Asistente Técnico'!$H$5:$H$1000,$N45))))</f>
        <v/>
      </c>
      <c r="H45" s="68">
        <f>IF($N45="","",IF($P45&gt;0,IF(3&lt;=SemanaActual,INDEX('Cronograma Asistente Técnico'!$AA$5:$AA$1000,$N45),""),IF(INDEX('Cronograma Asistente Técnico'!$I$5:$I$1000,$N45)="","",INDEX('Cronograma Asistente Técnico'!$I$5:$I$1000,$N45))))</f>
        <v/>
      </c>
      <c r="I45" s="68">
        <f>IF($N45="","",IF($P45&gt;0,IF(4&lt;=SemanaActual,INDEX('Cronograma Asistente Técnico'!$AB$5:$AB$1000,$N45),""),IF(INDEX('Cronograma Asistente Técnico'!$J$5:$J$1000,$N45)="","",INDEX('Cronograma Asistente Técnico'!$J$5:$J$1000,$N45))))</f>
        <v/>
      </c>
      <c r="J45" s="68">
        <f>IF($N45="","",INDEX('Cronograma Asistente Técnico'!$K$5:$K$1000,$N45))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Asistente Técnico'!$M$5:$M$1000,$N45)&amp;"")</f>
        <v/>
      </c>
      <c r="M45" s="71">
        <f>IF($N45="","",INDEX('Cronograma Asistente Técnico'!$N$5:$N$1000,$N45)&amp;"")</f>
        <v/>
      </c>
      <c r="N45">
        <f>IFERROR(MATCH(ROW()-4,rOrden_ATR,0),"")</f>
        <v/>
      </c>
      <c r="O45">
        <f>IF($N45="","",INDEX('Cronograma Asistente Técnico'!$S$5:$S$1000,$N45))</f>
        <v/>
      </c>
      <c r="P45">
        <f>IF($N45="","",N(INDEX('Cronograma Asistente Técnico'!$T$5:$T$1000,$N45)))</f>
        <v/>
      </c>
    </row>
    <row r="46">
      <c r="A46" s="62">
        <f>IF($N46="","",INDEX('Cronograma Asistente Técnico'!$A$5:$A$1000,$N46))</f>
        <v/>
      </c>
      <c r="B46" s="71">
        <f>IF($N46="","",IF($O46="Sub","      ↳  "&amp;INDEX('Cronograma Asistente Técnico'!$C$5:$C$1000,$N46),INDEX('Cronograma Asistente Técnico'!$C$5:$C$1000,$N46)&amp;""))</f>
        <v/>
      </c>
      <c r="C46" s="77">
        <f>IF($N46="","",IF(INDEX('Cronograma Asistente Técnico'!$D$5:$D$1000,$N46)="","",INDEX('Cronograma Asistente Técnico'!$D$5:$D$1000,$N46)))</f>
        <v/>
      </c>
      <c r="D46" s="77">
        <f>IF($N46="","",IF(INDEX('Cronograma Asistente Técnico'!$E$5:$E$1000,$N46)="","",INDEX('Cronograma Asistente Técnico'!$E$5:$E$1000,$N46)))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Asistente Técnico'!$Y$5:$Y$1000,$N46),""),IF(INDEX('Cronograma Asistente Técnico'!$G$5:$G$1000,$N46)="","",INDEX('Cronograma Asistente Técnico'!$G$5:$G$1000,$N46))))</f>
        <v/>
      </c>
      <c r="G46" s="68">
        <f>IF($N46="","",IF($P46&gt;0,IF(2&lt;=SemanaActual,INDEX('Cronograma Asistente Técnico'!$Z$5:$Z$1000,$N46),""),IF(INDEX('Cronograma Asistente Técnico'!$H$5:$H$1000,$N46)="","",INDEX('Cronograma Asistente Técnico'!$H$5:$H$1000,$N46))))</f>
        <v/>
      </c>
      <c r="H46" s="68">
        <f>IF($N46="","",IF($P46&gt;0,IF(3&lt;=SemanaActual,INDEX('Cronograma Asistente Técnico'!$AA$5:$AA$1000,$N46),""),IF(INDEX('Cronograma Asistente Técnico'!$I$5:$I$1000,$N46)="","",INDEX('Cronograma Asistente Técnico'!$I$5:$I$1000,$N46))))</f>
        <v/>
      </c>
      <c r="I46" s="68">
        <f>IF($N46="","",IF($P46&gt;0,IF(4&lt;=SemanaActual,INDEX('Cronograma Asistente Técnico'!$AB$5:$AB$1000,$N46),""),IF(INDEX('Cronograma Asistente Técnico'!$J$5:$J$1000,$N46)="","",INDEX('Cronograma Asistente Técnico'!$J$5:$J$1000,$N46))))</f>
        <v/>
      </c>
      <c r="J46" s="68">
        <f>IF($N46="","",INDEX('Cronograma Asistente Técnico'!$K$5:$K$1000,$N46))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Asistente Técnico'!$M$5:$M$1000,$N46)&amp;"")</f>
        <v/>
      </c>
      <c r="M46" s="71">
        <f>IF($N46="","",INDEX('Cronograma Asistente Técnico'!$N$5:$N$1000,$N46)&amp;"")</f>
        <v/>
      </c>
      <c r="N46">
        <f>IFERROR(MATCH(ROW()-4,rOrden_ATR,0),"")</f>
        <v/>
      </c>
      <c r="O46">
        <f>IF($N46="","",INDEX('Cronograma Asistente Técnico'!$S$5:$S$1000,$N46))</f>
        <v/>
      </c>
      <c r="P46">
        <f>IF($N46="","",N(INDEX('Cronograma Asistente Técnico'!$T$5:$T$1000,$N46)))</f>
        <v/>
      </c>
    </row>
    <row r="47">
      <c r="A47" s="62">
        <f>IF($N47="","",INDEX('Cronograma Asistente Técnico'!$A$5:$A$1000,$N47))</f>
        <v/>
      </c>
      <c r="B47" s="71">
        <f>IF($N47="","",IF($O47="Sub","      ↳  "&amp;INDEX('Cronograma Asistente Técnico'!$C$5:$C$1000,$N47),INDEX('Cronograma Asistente Técnico'!$C$5:$C$1000,$N47)&amp;""))</f>
        <v/>
      </c>
      <c r="C47" s="77">
        <f>IF($N47="","",IF(INDEX('Cronograma Asistente Técnico'!$D$5:$D$1000,$N47)="","",INDEX('Cronograma Asistente Técnico'!$D$5:$D$1000,$N47)))</f>
        <v/>
      </c>
      <c r="D47" s="77">
        <f>IF($N47="","",IF(INDEX('Cronograma Asistente Técnico'!$E$5:$E$1000,$N47)="","",INDEX('Cronograma Asistente Técnico'!$E$5:$E$1000,$N47)))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Asistente Técnico'!$Y$5:$Y$1000,$N47),""),IF(INDEX('Cronograma Asistente Técnico'!$G$5:$G$1000,$N47)="","",INDEX('Cronograma Asistente Técnico'!$G$5:$G$1000,$N47))))</f>
        <v/>
      </c>
      <c r="G47" s="68">
        <f>IF($N47="","",IF($P47&gt;0,IF(2&lt;=SemanaActual,INDEX('Cronograma Asistente Técnico'!$Z$5:$Z$1000,$N47),""),IF(INDEX('Cronograma Asistente Técnico'!$H$5:$H$1000,$N47)="","",INDEX('Cronograma Asistente Técnico'!$H$5:$H$1000,$N47))))</f>
        <v/>
      </c>
      <c r="H47" s="68">
        <f>IF($N47="","",IF($P47&gt;0,IF(3&lt;=SemanaActual,INDEX('Cronograma Asistente Técnico'!$AA$5:$AA$1000,$N47),""),IF(INDEX('Cronograma Asistente Técnico'!$I$5:$I$1000,$N47)="","",INDEX('Cronograma Asistente Técnico'!$I$5:$I$1000,$N47))))</f>
        <v/>
      </c>
      <c r="I47" s="68">
        <f>IF($N47="","",IF($P47&gt;0,IF(4&lt;=SemanaActual,INDEX('Cronograma Asistente Técnico'!$AB$5:$AB$1000,$N47),""),IF(INDEX('Cronograma Asistente Técnico'!$J$5:$J$1000,$N47)="","",INDEX('Cronograma Asistente Técnico'!$J$5:$J$1000,$N47))))</f>
        <v/>
      </c>
      <c r="J47" s="68">
        <f>IF($N47="","",INDEX('Cronograma Asistente Técnico'!$K$5:$K$1000,$N47))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Asistente Técnico'!$M$5:$M$1000,$N47)&amp;"")</f>
        <v/>
      </c>
      <c r="M47" s="71">
        <f>IF($N47="","",INDEX('Cronograma Asistente Técnico'!$N$5:$N$1000,$N47)&amp;"")</f>
        <v/>
      </c>
      <c r="N47">
        <f>IFERROR(MATCH(ROW()-4,rOrden_ATR,0),"")</f>
        <v/>
      </c>
      <c r="O47">
        <f>IF($N47="","",INDEX('Cronograma Asistente Técnico'!$S$5:$S$1000,$N47))</f>
        <v/>
      </c>
      <c r="P47">
        <f>IF($N47="","",N(INDEX('Cronograma Asistente Técnico'!$T$5:$T$1000,$N47)))</f>
        <v/>
      </c>
    </row>
    <row r="48">
      <c r="A48" s="62">
        <f>IF($N48="","",INDEX('Cronograma Asistente Técnico'!$A$5:$A$1000,$N48))</f>
        <v/>
      </c>
      <c r="B48" s="71">
        <f>IF($N48="","",IF($O48="Sub","      ↳  "&amp;INDEX('Cronograma Asistente Técnico'!$C$5:$C$1000,$N48),INDEX('Cronograma Asistente Técnico'!$C$5:$C$1000,$N48)&amp;""))</f>
        <v/>
      </c>
      <c r="C48" s="77">
        <f>IF($N48="","",IF(INDEX('Cronograma Asistente Técnico'!$D$5:$D$1000,$N48)="","",INDEX('Cronograma Asistente Técnico'!$D$5:$D$1000,$N48)))</f>
        <v/>
      </c>
      <c r="D48" s="77">
        <f>IF($N48="","",IF(INDEX('Cronograma Asistente Técnico'!$E$5:$E$1000,$N48)="","",INDEX('Cronograma Asistente Técnico'!$E$5:$E$1000,$N48)))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Asistente Técnico'!$Y$5:$Y$1000,$N48),""),IF(INDEX('Cronograma Asistente Técnico'!$G$5:$G$1000,$N48)="","",INDEX('Cronograma Asistente Técnico'!$G$5:$G$1000,$N48))))</f>
        <v/>
      </c>
      <c r="G48" s="68">
        <f>IF($N48="","",IF($P48&gt;0,IF(2&lt;=SemanaActual,INDEX('Cronograma Asistente Técnico'!$Z$5:$Z$1000,$N48),""),IF(INDEX('Cronograma Asistente Técnico'!$H$5:$H$1000,$N48)="","",INDEX('Cronograma Asistente Técnico'!$H$5:$H$1000,$N48))))</f>
        <v/>
      </c>
      <c r="H48" s="68">
        <f>IF($N48="","",IF($P48&gt;0,IF(3&lt;=SemanaActual,INDEX('Cronograma Asistente Técnico'!$AA$5:$AA$1000,$N48),""),IF(INDEX('Cronograma Asistente Técnico'!$I$5:$I$1000,$N48)="","",INDEX('Cronograma Asistente Técnico'!$I$5:$I$1000,$N48))))</f>
        <v/>
      </c>
      <c r="I48" s="68">
        <f>IF($N48="","",IF($P48&gt;0,IF(4&lt;=SemanaActual,INDEX('Cronograma Asistente Técnico'!$AB$5:$AB$1000,$N48),""),IF(INDEX('Cronograma Asistente Técnico'!$J$5:$J$1000,$N48)="","",INDEX('Cronograma Asistente Técnico'!$J$5:$J$1000,$N48))))</f>
        <v/>
      </c>
      <c r="J48" s="68">
        <f>IF($N48="","",INDEX('Cronograma Asistente Técnico'!$K$5:$K$1000,$N48))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Asistente Técnico'!$M$5:$M$1000,$N48)&amp;"")</f>
        <v/>
      </c>
      <c r="M48" s="71">
        <f>IF($N48="","",INDEX('Cronograma Asistente Técnico'!$N$5:$N$1000,$N48)&amp;"")</f>
        <v/>
      </c>
      <c r="N48">
        <f>IFERROR(MATCH(ROW()-4,rOrden_ATR,0),"")</f>
        <v/>
      </c>
      <c r="O48">
        <f>IF($N48="","",INDEX('Cronograma Asistente Técnico'!$S$5:$S$1000,$N48))</f>
        <v/>
      </c>
      <c r="P48">
        <f>IF($N48="","",N(INDEX('Cronograma Asistente Técnico'!$T$5:$T$1000,$N48)))</f>
        <v/>
      </c>
    </row>
    <row r="49">
      <c r="A49" s="62">
        <f>IF($N49="","",INDEX('Cronograma Asistente Técnico'!$A$5:$A$1000,$N49))</f>
        <v/>
      </c>
      <c r="B49" s="71">
        <f>IF($N49="","",IF($O49="Sub","      ↳  "&amp;INDEX('Cronograma Asistente Técnico'!$C$5:$C$1000,$N49),INDEX('Cronograma Asistente Técnico'!$C$5:$C$1000,$N49)&amp;""))</f>
        <v/>
      </c>
      <c r="C49" s="77">
        <f>IF($N49="","",IF(INDEX('Cronograma Asistente Técnico'!$D$5:$D$1000,$N49)="","",INDEX('Cronograma Asistente Técnico'!$D$5:$D$1000,$N49)))</f>
        <v/>
      </c>
      <c r="D49" s="77">
        <f>IF($N49="","",IF(INDEX('Cronograma Asistente Técnico'!$E$5:$E$1000,$N49)="","",INDEX('Cronograma Asistente Técnico'!$E$5:$E$1000,$N49)))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Asistente Técnico'!$Y$5:$Y$1000,$N49),""),IF(INDEX('Cronograma Asistente Técnico'!$G$5:$G$1000,$N49)="","",INDEX('Cronograma Asistente Técnico'!$G$5:$G$1000,$N49))))</f>
        <v/>
      </c>
      <c r="G49" s="68">
        <f>IF($N49="","",IF($P49&gt;0,IF(2&lt;=SemanaActual,INDEX('Cronograma Asistente Técnico'!$Z$5:$Z$1000,$N49),""),IF(INDEX('Cronograma Asistente Técnico'!$H$5:$H$1000,$N49)="","",INDEX('Cronograma Asistente Técnico'!$H$5:$H$1000,$N49))))</f>
        <v/>
      </c>
      <c r="H49" s="68">
        <f>IF($N49="","",IF($P49&gt;0,IF(3&lt;=SemanaActual,INDEX('Cronograma Asistente Técnico'!$AA$5:$AA$1000,$N49),""),IF(INDEX('Cronograma Asistente Técnico'!$I$5:$I$1000,$N49)="","",INDEX('Cronograma Asistente Técnico'!$I$5:$I$1000,$N49))))</f>
        <v/>
      </c>
      <c r="I49" s="68">
        <f>IF($N49="","",IF($P49&gt;0,IF(4&lt;=SemanaActual,INDEX('Cronograma Asistente Técnico'!$AB$5:$AB$1000,$N49),""),IF(INDEX('Cronograma Asistente Técnico'!$J$5:$J$1000,$N49)="","",INDEX('Cronograma Asistente Técnico'!$J$5:$J$1000,$N49))))</f>
        <v/>
      </c>
      <c r="J49" s="68">
        <f>IF($N49="","",INDEX('Cronograma Asistente Técnico'!$K$5:$K$1000,$N49))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Asistente Técnico'!$M$5:$M$1000,$N49)&amp;"")</f>
        <v/>
      </c>
      <c r="M49" s="71">
        <f>IF($N49="","",INDEX('Cronograma Asistente Técnico'!$N$5:$N$1000,$N49)&amp;"")</f>
        <v/>
      </c>
      <c r="N49">
        <f>IFERROR(MATCH(ROW()-4,rOrden_ATR,0),"")</f>
        <v/>
      </c>
      <c r="O49">
        <f>IF($N49="","",INDEX('Cronograma Asistente Técnico'!$S$5:$S$1000,$N49))</f>
        <v/>
      </c>
      <c r="P49">
        <f>IF($N49="","",N(INDEX('Cronograma Asistente Técnico'!$T$5:$T$1000,$N49)))</f>
        <v/>
      </c>
    </row>
    <row r="50">
      <c r="A50" s="62">
        <f>IF($N50="","",INDEX('Cronograma Asistente Técnico'!$A$5:$A$1000,$N50))</f>
        <v/>
      </c>
      <c r="B50" s="71">
        <f>IF($N50="","",IF($O50="Sub","      ↳  "&amp;INDEX('Cronograma Asistente Técnico'!$C$5:$C$1000,$N50),INDEX('Cronograma Asistente Técnico'!$C$5:$C$1000,$N50)&amp;""))</f>
        <v/>
      </c>
      <c r="C50" s="77">
        <f>IF($N50="","",IF(INDEX('Cronograma Asistente Técnico'!$D$5:$D$1000,$N50)="","",INDEX('Cronograma Asistente Técnico'!$D$5:$D$1000,$N50)))</f>
        <v/>
      </c>
      <c r="D50" s="77">
        <f>IF($N50="","",IF(INDEX('Cronograma Asistente Técnico'!$E$5:$E$1000,$N50)="","",INDEX('Cronograma Asistente Técnico'!$E$5:$E$1000,$N50)))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Asistente Técnico'!$Y$5:$Y$1000,$N50),""),IF(INDEX('Cronograma Asistente Técnico'!$G$5:$G$1000,$N50)="","",INDEX('Cronograma Asistente Técnico'!$G$5:$G$1000,$N50))))</f>
        <v/>
      </c>
      <c r="G50" s="68">
        <f>IF($N50="","",IF($P50&gt;0,IF(2&lt;=SemanaActual,INDEX('Cronograma Asistente Técnico'!$Z$5:$Z$1000,$N50),""),IF(INDEX('Cronograma Asistente Técnico'!$H$5:$H$1000,$N50)="","",INDEX('Cronograma Asistente Técnico'!$H$5:$H$1000,$N50))))</f>
        <v/>
      </c>
      <c r="H50" s="68">
        <f>IF($N50="","",IF($P50&gt;0,IF(3&lt;=SemanaActual,INDEX('Cronograma Asistente Técnico'!$AA$5:$AA$1000,$N50),""),IF(INDEX('Cronograma Asistente Técnico'!$I$5:$I$1000,$N50)="","",INDEX('Cronograma Asistente Técnico'!$I$5:$I$1000,$N50))))</f>
        <v/>
      </c>
      <c r="I50" s="68">
        <f>IF($N50="","",IF($P50&gt;0,IF(4&lt;=SemanaActual,INDEX('Cronograma Asistente Técnico'!$AB$5:$AB$1000,$N50),""),IF(INDEX('Cronograma Asistente Técnico'!$J$5:$J$1000,$N50)="","",INDEX('Cronograma Asistente Técnico'!$J$5:$J$1000,$N50))))</f>
        <v/>
      </c>
      <c r="J50" s="68">
        <f>IF($N50="","",INDEX('Cronograma Asistente Técnico'!$K$5:$K$1000,$N50))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Asistente Técnico'!$M$5:$M$1000,$N50)&amp;"")</f>
        <v/>
      </c>
      <c r="M50" s="71">
        <f>IF($N50="","",INDEX('Cronograma Asistente Técnico'!$N$5:$N$1000,$N50)&amp;"")</f>
        <v/>
      </c>
      <c r="N50">
        <f>IFERROR(MATCH(ROW()-4,rOrden_ATR,0),"")</f>
        <v/>
      </c>
      <c r="O50">
        <f>IF($N50="","",INDEX('Cronograma Asistente Técnico'!$S$5:$S$1000,$N50))</f>
        <v/>
      </c>
      <c r="P50">
        <f>IF($N50="","",N(INDEX('Cronograma Asistente Técnico'!$T$5:$T$1000,$N50)))</f>
        <v/>
      </c>
    </row>
    <row r="51">
      <c r="A51" s="62">
        <f>IF($N51="","",INDEX('Cronograma Asistente Técnico'!$A$5:$A$1000,$N51))</f>
        <v/>
      </c>
      <c r="B51" s="71">
        <f>IF($N51="","",IF($O51="Sub","      ↳  "&amp;INDEX('Cronograma Asistente Técnico'!$C$5:$C$1000,$N51),INDEX('Cronograma Asistente Técnico'!$C$5:$C$1000,$N51)&amp;""))</f>
        <v/>
      </c>
      <c r="C51" s="77">
        <f>IF($N51="","",IF(INDEX('Cronograma Asistente Técnico'!$D$5:$D$1000,$N51)="","",INDEX('Cronograma Asistente Técnico'!$D$5:$D$1000,$N51)))</f>
        <v/>
      </c>
      <c r="D51" s="77">
        <f>IF($N51="","",IF(INDEX('Cronograma Asistente Técnico'!$E$5:$E$1000,$N51)="","",INDEX('Cronograma Asistente Técnico'!$E$5:$E$1000,$N51)))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Asistente Técnico'!$Y$5:$Y$1000,$N51),""),IF(INDEX('Cronograma Asistente Técnico'!$G$5:$G$1000,$N51)="","",INDEX('Cronograma Asistente Técnico'!$G$5:$G$1000,$N51))))</f>
        <v/>
      </c>
      <c r="G51" s="68">
        <f>IF($N51="","",IF($P51&gt;0,IF(2&lt;=SemanaActual,INDEX('Cronograma Asistente Técnico'!$Z$5:$Z$1000,$N51),""),IF(INDEX('Cronograma Asistente Técnico'!$H$5:$H$1000,$N51)="","",INDEX('Cronograma Asistente Técnico'!$H$5:$H$1000,$N51))))</f>
        <v/>
      </c>
      <c r="H51" s="68">
        <f>IF($N51="","",IF($P51&gt;0,IF(3&lt;=SemanaActual,INDEX('Cronograma Asistente Técnico'!$AA$5:$AA$1000,$N51),""),IF(INDEX('Cronograma Asistente Técnico'!$I$5:$I$1000,$N51)="","",INDEX('Cronograma Asistente Técnico'!$I$5:$I$1000,$N51))))</f>
        <v/>
      </c>
      <c r="I51" s="68">
        <f>IF($N51="","",IF($P51&gt;0,IF(4&lt;=SemanaActual,INDEX('Cronograma Asistente Técnico'!$AB$5:$AB$1000,$N51),""),IF(INDEX('Cronograma Asistente Técnico'!$J$5:$J$1000,$N51)="","",INDEX('Cronograma Asistente Técnico'!$J$5:$J$1000,$N51))))</f>
        <v/>
      </c>
      <c r="J51" s="68">
        <f>IF($N51="","",INDEX('Cronograma Asistente Técnico'!$K$5:$K$1000,$N51))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Asistente Técnico'!$M$5:$M$1000,$N51)&amp;"")</f>
        <v/>
      </c>
      <c r="M51" s="71">
        <f>IF($N51="","",INDEX('Cronograma Asistente Técnico'!$N$5:$N$1000,$N51)&amp;"")</f>
        <v/>
      </c>
      <c r="N51">
        <f>IFERROR(MATCH(ROW()-4,rOrden_ATR,0),"")</f>
        <v/>
      </c>
      <c r="O51">
        <f>IF($N51="","",INDEX('Cronograma Asistente Técnico'!$S$5:$S$1000,$N51))</f>
        <v/>
      </c>
      <c r="P51">
        <f>IF($N51="","",N(INDEX('Cronograma Asistente Técnico'!$T$5:$T$1000,$N51)))</f>
        <v/>
      </c>
    </row>
    <row r="52">
      <c r="A52" s="62">
        <f>IF($N52="","",INDEX('Cronograma Asistente Técnico'!$A$5:$A$1000,$N52))</f>
        <v/>
      </c>
      <c r="B52" s="71">
        <f>IF($N52="","",IF($O52="Sub","      ↳  "&amp;INDEX('Cronograma Asistente Técnico'!$C$5:$C$1000,$N52),INDEX('Cronograma Asistente Técnico'!$C$5:$C$1000,$N52)&amp;""))</f>
        <v/>
      </c>
      <c r="C52" s="77">
        <f>IF($N52="","",IF(INDEX('Cronograma Asistente Técnico'!$D$5:$D$1000,$N52)="","",INDEX('Cronograma Asistente Técnico'!$D$5:$D$1000,$N52)))</f>
        <v/>
      </c>
      <c r="D52" s="77">
        <f>IF($N52="","",IF(INDEX('Cronograma Asistente Técnico'!$E$5:$E$1000,$N52)="","",INDEX('Cronograma Asistente Técnico'!$E$5:$E$1000,$N52)))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Asistente Técnico'!$Y$5:$Y$1000,$N52),""),IF(INDEX('Cronograma Asistente Técnico'!$G$5:$G$1000,$N52)="","",INDEX('Cronograma Asistente Técnico'!$G$5:$G$1000,$N52))))</f>
        <v/>
      </c>
      <c r="G52" s="68">
        <f>IF($N52="","",IF($P52&gt;0,IF(2&lt;=SemanaActual,INDEX('Cronograma Asistente Técnico'!$Z$5:$Z$1000,$N52),""),IF(INDEX('Cronograma Asistente Técnico'!$H$5:$H$1000,$N52)="","",INDEX('Cronograma Asistente Técnico'!$H$5:$H$1000,$N52))))</f>
        <v/>
      </c>
      <c r="H52" s="68">
        <f>IF($N52="","",IF($P52&gt;0,IF(3&lt;=SemanaActual,INDEX('Cronograma Asistente Técnico'!$AA$5:$AA$1000,$N52),""),IF(INDEX('Cronograma Asistente Técnico'!$I$5:$I$1000,$N52)="","",INDEX('Cronograma Asistente Técnico'!$I$5:$I$1000,$N52))))</f>
        <v/>
      </c>
      <c r="I52" s="68">
        <f>IF($N52="","",IF($P52&gt;0,IF(4&lt;=SemanaActual,INDEX('Cronograma Asistente Técnico'!$AB$5:$AB$1000,$N52),""),IF(INDEX('Cronograma Asistente Técnico'!$J$5:$J$1000,$N52)="","",INDEX('Cronograma Asistente Técnico'!$J$5:$J$1000,$N52))))</f>
        <v/>
      </c>
      <c r="J52" s="68">
        <f>IF($N52="","",INDEX('Cronograma Asistente Técnico'!$K$5:$K$1000,$N52))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Asistente Técnico'!$M$5:$M$1000,$N52)&amp;"")</f>
        <v/>
      </c>
      <c r="M52" s="71">
        <f>IF($N52="","",INDEX('Cronograma Asistente Técnico'!$N$5:$N$1000,$N52)&amp;"")</f>
        <v/>
      </c>
      <c r="N52">
        <f>IFERROR(MATCH(ROW()-4,rOrden_ATR,0),"")</f>
        <v/>
      </c>
      <c r="O52">
        <f>IF($N52="","",INDEX('Cronograma Asistente Técnico'!$S$5:$S$1000,$N52))</f>
        <v/>
      </c>
      <c r="P52">
        <f>IF($N52="","",N(INDEX('Cronograma Asistente Técnico'!$T$5:$T$1000,$N52)))</f>
        <v/>
      </c>
    </row>
    <row r="53">
      <c r="A53" s="62">
        <f>IF($N53="","",INDEX('Cronograma Asistente Técnico'!$A$5:$A$1000,$N53))</f>
        <v/>
      </c>
      <c r="B53" s="71">
        <f>IF($N53="","",IF($O53="Sub","      ↳  "&amp;INDEX('Cronograma Asistente Técnico'!$C$5:$C$1000,$N53),INDEX('Cronograma Asistente Técnico'!$C$5:$C$1000,$N53)&amp;""))</f>
        <v/>
      </c>
      <c r="C53" s="77">
        <f>IF($N53="","",IF(INDEX('Cronograma Asistente Técnico'!$D$5:$D$1000,$N53)="","",INDEX('Cronograma Asistente Técnico'!$D$5:$D$1000,$N53)))</f>
        <v/>
      </c>
      <c r="D53" s="77">
        <f>IF($N53="","",IF(INDEX('Cronograma Asistente Técnico'!$E$5:$E$1000,$N53)="","",INDEX('Cronograma Asistente Técnico'!$E$5:$E$1000,$N53)))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Asistente Técnico'!$Y$5:$Y$1000,$N53),""),IF(INDEX('Cronograma Asistente Técnico'!$G$5:$G$1000,$N53)="","",INDEX('Cronograma Asistente Técnico'!$G$5:$G$1000,$N53))))</f>
        <v/>
      </c>
      <c r="G53" s="68">
        <f>IF($N53="","",IF($P53&gt;0,IF(2&lt;=SemanaActual,INDEX('Cronograma Asistente Técnico'!$Z$5:$Z$1000,$N53),""),IF(INDEX('Cronograma Asistente Técnico'!$H$5:$H$1000,$N53)="","",INDEX('Cronograma Asistente Técnico'!$H$5:$H$1000,$N53))))</f>
        <v/>
      </c>
      <c r="H53" s="68">
        <f>IF($N53="","",IF($P53&gt;0,IF(3&lt;=SemanaActual,INDEX('Cronograma Asistente Técnico'!$AA$5:$AA$1000,$N53),""),IF(INDEX('Cronograma Asistente Técnico'!$I$5:$I$1000,$N53)="","",INDEX('Cronograma Asistente Técnico'!$I$5:$I$1000,$N53))))</f>
        <v/>
      </c>
      <c r="I53" s="68">
        <f>IF($N53="","",IF($P53&gt;0,IF(4&lt;=SemanaActual,INDEX('Cronograma Asistente Técnico'!$AB$5:$AB$1000,$N53),""),IF(INDEX('Cronograma Asistente Técnico'!$J$5:$J$1000,$N53)="","",INDEX('Cronograma Asistente Técnico'!$J$5:$J$1000,$N53))))</f>
        <v/>
      </c>
      <c r="J53" s="68">
        <f>IF($N53="","",INDEX('Cronograma Asistente Técnico'!$K$5:$K$1000,$N53))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Asistente Técnico'!$M$5:$M$1000,$N53)&amp;"")</f>
        <v/>
      </c>
      <c r="M53" s="71">
        <f>IF($N53="","",INDEX('Cronograma Asistente Técnico'!$N$5:$N$1000,$N53)&amp;"")</f>
        <v/>
      </c>
      <c r="N53">
        <f>IFERROR(MATCH(ROW()-4,rOrden_ATR,0),"")</f>
        <v/>
      </c>
      <c r="O53">
        <f>IF($N53="","",INDEX('Cronograma Asistente Técnico'!$S$5:$S$1000,$N53))</f>
        <v/>
      </c>
      <c r="P53">
        <f>IF($N53="","",N(INDEX('Cronograma Asistente Técnico'!$T$5:$T$1000,$N53)))</f>
        <v/>
      </c>
    </row>
    <row r="54">
      <c r="A54" s="62">
        <f>IF($N54="","",INDEX('Cronograma Asistente Técnico'!$A$5:$A$1000,$N54))</f>
        <v/>
      </c>
      <c r="B54" s="71">
        <f>IF($N54="","",IF($O54="Sub","      ↳  "&amp;INDEX('Cronograma Asistente Técnico'!$C$5:$C$1000,$N54),INDEX('Cronograma Asistente Técnico'!$C$5:$C$1000,$N54)&amp;""))</f>
        <v/>
      </c>
      <c r="C54" s="77">
        <f>IF($N54="","",IF(INDEX('Cronograma Asistente Técnico'!$D$5:$D$1000,$N54)="","",INDEX('Cronograma Asistente Técnico'!$D$5:$D$1000,$N54)))</f>
        <v/>
      </c>
      <c r="D54" s="77">
        <f>IF($N54="","",IF(INDEX('Cronograma Asistente Técnico'!$E$5:$E$1000,$N54)="","",INDEX('Cronograma Asistente Técnico'!$E$5:$E$1000,$N54)))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Asistente Técnico'!$Y$5:$Y$1000,$N54),""),IF(INDEX('Cronograma Asistente Técnico'!$G$5:$G$1000,$N54)="","",INDEX('Cronograma Asistente Técnico'!$G$5:$G$1000,$N54))))</f>
        <v/>
      </c>
      <c r="G54" s="68">
        <f>IF($N54="","",IF($P54&gt;0,IF(2&lt;=SemanaActual,INDEX('Cronograma Asistente Técnico'!$Z$5:$Z$1000,$N54),""),IF(INDEX('Cronograma Asistente Técnico'!$H$5:$H$1000,$N54)="","",INDEX('Cronograma Asistente Técnico'!$H$5:$H$1000,$N54))))</f>
        <v/>
      </c>
      <c r="H54" s="68">
        <f>IF($N54="","",IF($P54&gt;0,IF(3&lt;=SemanaActual,INDEX('Cronograma Asistente Técnico'!$AA$5:$AA$1000,$N54),""),IF(INDEX('Cronograma Asistente Técnico'!$I$5:$I$1000,$N54)="","",INDEX('Cronograma Asistente Técnico'!$I$5:$I$1000,$N54))))</f>
        <v/>
      </c>
      <c r="I54" s="68">
        <f>IF($N54="","",IF($P54&gt;0,IF(4&lt;=SemanaActual,INDEX('Cronograma Asistente Técnico'!$AB$5:$AB$1000,$N54),""),IF(INDEX('Cronograma Asistente Técnico'!$J$5:$J$1000,$N54)="","",INDEX('Cronograma Asistente Técnico'!$J$5:$J$1000,$N54))))</f>
        <v/>
      </c>
      <c r="J54" s="68">
        <f>IF($N54="","",INDEX('Cronograma Asistente Técnico'!$K$5:$K$1000,$N54))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Asistente Técnico'!$M$5:$M$1000,$N54)&amp;"")</f>
        <v/>
      </c>
      <c r="M54" s="71">
        <f>IF($N54="","",INDEX('Cronograma Asistente Técnico'!$N$5:$N$1000,$N54)&amp;"")</f>
        <v/>
      </c>
      <c r="N54">
        <f>IFERROR(MATCH(ROW()-4,rOrden_ATR,0),"")</f>
        <v/>
      </c>
      <c r="O54">
        <f>IF($N54="","",INDEX('Cronograma Asistente Técnico'!$S$5:$S$1000,$N54))</f>
        <v/>
      </c>
      <c r="P54">
        <f>IF($N54="","",N(INDEX('Cronograma Asistente Técnico'!$T$5:$T$1000,$N54)))</f>
        <v/>
      </c>
    </row>
    <row r="55">
      <c r="A55" s="62">
        <f>IF($N55="","",INDEX('Cronograma Asistente Técnico'!$A$5:$A$1000,$N55))</f>
        <v/>
      </c>
      <c r="B55" s="71">
        <f>IF($N55="","",IF($O55="Sub","      ↳  "&amp;INDEX('Cronograma Asistente Técnico'!$C$5:$C$1000,$N55),INDEX('Cronograma Asistente Técnico'!$C$5:$C$1000,$N55)&amp;""))</f>
        <v/>
      </c>
      <c r="C55" s="77">
        <f>IF($N55="","",IF(INDEX('Cronograma Asistente Técnico'!$D$5:$D$1000,$N55)="","",INDEX('Cronograma Asistente Técnico'!$D$5:$D$1000,$N55)))</f>
        <v/>
      </c>
      <c r="D55" s="77">
        <f>IF($N55="","",IF(INDEX('Cronograma Asistente Técnico'!$E$5:$E$1000,$N55)="","",INDEX('Cronograma Asistente Técnico'!$E$5:$E$1000,$N55)))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Asistente Técnico'!$Y$5:$Y$1000,$N55),""),IF(INDEX('Cronograma Asistente Técnico'!$G$5:$G$1000,$N55)="","",INDEX('Cronograma Asistente Técnico'!$G$5:$G$1000,$N55))))</f>
        <v/>
      </c>
      <c r="G55" s="68">
        <f>IF($N55="","",IF($P55&gt;0,IF(2&lt;=SemanaActual,INDEX('Cronograma Asistente Técnico'!$Z$5:$Z$1000,$N55),""),IF(INDEX('Cronograma Asistente Técnico'!$H$5:$H$1000,$N55)="","",INDEX('Cronograma Asistente Técnico'!$H$5:$H$1000,$N55))))</f>
        <v/>
      </c>
      <c r="H55" s="68">
        <f>IF($N55="","",IF($P55&gt;0,IF(3&lt;=SemanaActual,INDEX('Cronograma Asistente Técnico'!$AA$5:$AA$1000,$N55),""),IF(INDEX('Cronograma Asistente Técnico'!$I$5:$I$1000,$N55)="","",INDEX('Cronograma Asistente Técnico'!$I$5:$I$1000,$N55))))</f>
        <v/>
      </c>
      <c r="I55" s="68">
        <f>IF($N55="","",IF($P55&gt;0,IF(4&lt;=SemanaActual,INDEX('Cronograma Asistente Técnico'!$AB$5:$AB$1000,$N55),""),IF(INDEX('Cronograma Asistente Técnico'!$J$5:$J$1000,$N55)="","",INDEX('Cronograma Asistente Técnico'!$J$5:$J$1000,$N55))))</f>
        <v/>
      </c>
      <c r="J55" s="68">
        <f>IF($N55="","",INDEX('Cronograma Asistente Técnico'!$K$5:$K$1000,$N55))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Asistente Técnico'!$M$5:$M$1000,$N55)&amp;"")</f>
        <v/>
      </c>
      <c r="M55" s="71">
        <f>IF($N55="","",INDEX('Cronograma Asistente Técnico'!$N$5:$N$1000,$N55)&amp;"")</f>
        <v/>
      </c>
      <c r="N55">
        <f>IFERROR(MATCH(ROW()-4,rOrden_ATR,0),"")</f>
        <v/>
      </c>
      <c r="O55">
        <f>IF($N55="","",INDEX('Cronograma Asistente Técnico'!$S$5:$S$1000,$N55))</f>
        <v/>
      </c>
      <c r="P55">
        <f>IF($N55="","",N(INDEX('Cronograma Asistente Técnico'!$T$5:$T$1000,$N55)))</f>
        <v/>
      </c>
    </row>
    <row r="56">
      <c r="A56" s="62">
        <f>IF($N56="","",INDEX('Cronograma Asistente Técnico'!$A$5:$A$1000,$N56))</f>
        <v/>
      </c>
      <c r="B56" s="71">
        <f>IF($N56="","",IF($O56="Sub","      ↳  "&amp;INDEX('Cronograma Asistente Técnico'!$C$5:$C$1000,$N56),INDEX('Cronograma Asistente Técnico'!$C$5:$C$1000,$N56)&amp;""))</f>
        <v/>
      </c>
      <c r="C56" s="77">
        <f>IF($N56="","",IF(INDEX('Cronograma Asistente Técnico'!$D$5:$D$1000,$N56)="","",INDEX('Cronograma Asistente Técnico'!$D$5:$D$1000,$N56)))</f>
        <v/>
      </c>
      <c r="D56" s="77">
        <f>IF($N56="","",IF(INDEX('Cronograma Asistente Técnico'!$E$5:$E$1000,$N56)="","",INDEX('Cronograma Asistente Técnico'!$E$5:$E$1000,$N56)))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Asistente Técnico'!$Y$5:$Y$1000,$N56),""),IF(INDEX('Cronograma Asistente Técnico'!$G$5:$G$1000,$N56)="","",INDEX('Cronograma Asistente Técnico'!$G$5:$G$1000,$N56))))</f>
        <v/>
      </c>
      <c r="G56" s="68">
        <f>IF($N56="","",IF($P56&gt;0,IF(2&lt;=SemanaActual,INDEX('Cronograma Asistente Técnico'!$Z$5:$Z$1000,$N56),""),IF(INDEX('Cronograma Asistente Técnico'!$H$5:$H$1000,$N56)="","",INDEX('Cronograma Asistente Técnico'!$H$5:$H$1000,$N56))))</f>
        <v/>
      </c>
      <c r="H56" s="68">
        <f>IF($N56="","",IF($P56&gt;0,IF(3&lt;=SemanaActual,INDEX('Cronograma Asistente Técnico'!$AA$5:$AA$1000,$N56),""),IF(INDEX('Cronograma Asistente Técnico'!$I$5:$I$1000,$N56)="","",INDEX('Cronograma Asistente Técnico'!$I$5:$I$1000,$N56))))</f>
        <v/>
      </c>
      <c r="I56" s="68">
        <f>IF($N56="","",IF($P56&gt;0,IF(4&lt;=SemanaActual,INDEX('Cronograma Asistente Técnico'!$AB$5:$AB$1000,$N56),""),IF(INDEX('Cronograma Asistente Técnico'!$J$5:$J$1000,$N56)="","",INDEX('Cronograma Asistente Técnico'!$J$5:$J$1000,$N56))))</f>
        <v/>
      </c>
      <c r="J56" s="68">
        <f>IF($N56="","",INDEX('Cronograma Asistente Técnico'!$K$5:$K$1000,$N56))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Asistente Técnico'!$M$5:$M$1000,$N56)&amp;"")</f>
        <v/>
      </c>
      <c r="M56" s="71">
        <f>IF($N56="","",INDEX('Cronograma Asistente Técnico'!$N$5:$N$1000,$N56)&amp;"")</f>
        <v/>
      </c>
      <c r="N56">
        <f>IFERROR(MATCH(ROW()-4,rOrden_ATR,0),"")</f>
        <v/>
      </c>
      <c r="O56">
        <f>IF($N56="","",INDEX('Cronograma Asistente Técnico'!$S$5:$S$1000,$N56))</f>
        <v/>
      </c>
      <c r="P56">
        <f>IF($N56="","",N(INDEX('Cronograma Asistente Técnico'!$T$5:$T$1000,$N56)))</f>
        <v/>
      </c>
    </row>
    <row r="57">
      <c r="A57" s="62">
        <f>IF($N57="","",INDEX('Cronograma Asistente Técnico'!$A$5:$A$1000,$N57))</f>
        <v/>
      </c>
      <c r="B57" s="71">
        <f>IF($N57="","",IF($O57="Sub","      ↳  "&amp;INDEX('Cronograma Asistente Técnico'!$C$5:$C$1000,$N57),INDEX('Cronograma Asistente Técnico'!$C$5:$C$1000,$N57)&amp;""))</f>
        <v/>
      </c>
      <c r="C57" s="77">
        <f>IF($N57="","",IF(INDEX('Cronograma Asistente Técnico'!$D$5:$D$1000,$N57)="","",INDEX('Cronograma Asistente Técnico'!$D$5:$D$1000,$N57)))</f>
        <v/>
      </c>
      <c r="D57" s="77">
        <f>IF($N57="","",IF(INDEX('Cronograma Asistente Técnico'!$E$5:$E$1000,$N57)="","",INDEX('Cronograma Asistente Técnico'!$E$5:$E$1000,$N57)))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Asistente Técnico'!$Y$5:$Y$1000,$N57),""),IF(INDEX('Cronograma Asistente Técnico'!$G$5:$G$1000,$N57)="","",INDEX('Cronograma Asistente Técnico'!$G$5:$G$1000,$N57))))</f>
        <v/>
      </c>
      <c r="G57" s="68">
        <f>IF($N57="","",IF($P57&gt;0,IF(2&lt;=SemanaActual,INDEX('Cronograma Asistente Técnico'!$Z$5:$Z$1000,$N57),""),IF(INDEX('Cronograma Asistente Técnico'!$H$5:$H$1000,$N57)="","",INDEX('Cronograma Asistente Técnico'!$H$5:$H$1000,$N57))))</f>
        <v/>
      </c>
      <c r="H57" s="68">
        <f>IF($N57="","",IF($P57&gt;0,IF(3&lt;=SemanaActual,INDEX('Cronograma Asistente Técnico'!$AA$5:$AA$1000,$N57),""),IF(INDEX('Cronograma Asistente Técnico'!$I$5:$I$1000,$N57)="","",INDEX('Cronograma Asistente Técnico'!$I$5:$I$1000,$N57))))</f>
        <v/>
      </c>
      <c r="I57" s="68">
        <f>IF($N57="","",IF($P57&gt;0,IF(4&lt;=SemanaActual,INDEX('Cronograma Asistente Técnico'!$AB$5:$AB$1000,$N57),""),IF(INDEX('Cronograma Asistente Técnico'!$J$5:$J$1000,$N57)="","",INDEX('Cronograma Asistente Técnico'!$J$5:$J$1000,$N57))))</f>
        <v/>
      </c>
      <c r="J57" s="68">
        <f>IF($N57="","",INDEX('Cronograma Asistente Técnico'!$K$5:$K$1000,$N57))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Asistente Técnico'!$M$5:$M$1000,$N57)&amp;"")</f>
        <v/>
      </c>
      <c r="M57" s="71">
        <f>IF($N57="","",INDEX('Cronograma Asistente Técnico'!$N$5:$N$1000,$N57)&amp;"")</f>
        <v/>
      </c>
      <c r="N57">
        <f>IFERROR(MATCH(ROW()-4,rOrden_ATR,0),"")</f>
        <v/>
      </c>
      <c r="O57">
        <f>IF($N57="","",INDEX('Cronograma Asistente Técnico'!$S$5:$S$1000,$N57))</f>
        <v/>
      </c>
      <c r="P57">
        <f>IF($N57="","",N(INDEX('Cronograma Asistente Técnico'!$T$5:$T$1000,$N57)))</f>
        <v/>
      </c>
    </row>
    <row r="58">
      <c r="A58" s="62">
        <f>IF($N58="","",INDEX('Cronograma Asistente Técnico'!$A$5:$A$1000,$N58))</f>
        <v/>
      </c>
      <c r="B58" s="71">
        <f>IF($N58="","",IF($O58="Sub","      ↳  "&amp;INDEX('Cronograma Asistente Técnico'!$C$5:$C$1000,$N58),INDEX('Cronograma Asistente Técnico'!$C$5:$C$1000,$N58)&amp;""))</f>
        <v/>
      </c>
      <c r="C58" s="77">
        <f>IF($N58="","",IF(INDEX('Cronograma Asistente Técnico'!$D$5:$D$1000,$N58)="","",INDEX('Cronograma Asistente Técnico'!$D$5:$D$1000,$N58)))</f>
        <v/>
      </c>
      <c r="D58" s="77">
        <f>IF($N58="","",IF(INDEX('Cronograma Asistente Técnico'!$E$5:$E$1000,$N58)="","",INDEX('Cronograma Asistente Técnico'!$E$5:$E$1000,$N58)))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Asistente Técnico'!$Y$5:$Y$1000,$N58),""),IF(INDEX('Cronograma Asistente Técnico'!$G$5:$G$1000,$N58)="","",INDEX('Cronograma Asistente Técnico'!$G$5:$G$1000,$N58))))</f>
        <v/>
      </c>
      <c r="G58" s="68">
        <f>IF($N58="","",IF($P58&gt;0,IF(2&lt;=SemanaActual,INDEX('Cronograma Asistente Técnico'!$Z$5:$Z$1000,$N58),""),IF(INDEX('Cronograma Asistente Técnico'!$H$5:$H$1000,$N58)="","",INDEX('Cronograma Asistente Técnico'!$H$5:$H$1000,$N58))))</f>
        <v/>
      </c>
      <c r="H58" s="68">
        <f>IF($N58="","",IF($P58&gt;0,IF(3&lt;=SemanaActual,INDEX('Cronograma Asistente Técnico'!$AA$5:$AA$1000,$N58),""),IF(INDEX('Cronograma Asistente Técnico'!$I$5:$I$1000,$N58)="","",INDEX('Cronograma Asistente Técnico'!$I$5:$I$1000,$N58))))</f>
        <v/>
      </c>
      <c r="I58" s="68">
        <f>IF($N58="","",IF($P58&gt;0,IF(4&lt;=SemanaActual,INDEX('Cronograma Asistente Técnico'!$AB$5:$AB$1000,$N58),""),IF(INDEX('Cronograma Asistente Técnico'!$J$5:$J$1000,$N58)="","",INDEX('Cronograma Asistente Técnico'!$J$5:$J$1000,$N58))))</f>
        <v/>
      </c>
      <c r="J58" s="68">
        <f>IF($N58="","",INDEX('Cronograma Asistente Técnico'!$K$5:$K$1000,$N58))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Asistente Técnico'!$M$5:$M$1000,$N58)&amp;"")</f>
        <v/>
      </c>
      <c r="M58" s="71">
        <f>IF($N58="","",INDEX('Cronograma Asistente Técnico'!$N$5:$N$1000,$N58)&amp;"")</f>
        <v/>
      </c>
      <c r="N58">
        <f>IFERROR(MATCH(ROW()-4,rOrden_ATR,0),"")</f>
        <v/>
      </c>
      <c r="O58">
        <f>IF($N58="","",INDEX('Cronograma Asistente Técnico'!$S$5:$S$1000,$N58))</f>
        <v/>
      </c>
      <c r="P58">
        <f>IF($N58="","",N(INDEX('Cronograma Asistente Técnico'!$T$5:$T$1000,$N58)))</f>
        <v/>
      </c>
    </row>
    <row r="59">
      <c r="A59" s="62">
        <f>IF($N59="","",INDEX('Cronograma Asistente Técnico'!$A$5:$A$1000,$N59))</f>
        <v/>
      </c>
      <c r="B59" s="71">
        <f>IF($N59="","",IF($O59="Sub","      ↳  "&amp;INDEX('Cronograma Asistente Técnico'!$C$5:$C$1000,$N59),INDEX('Cronograma Asistente Técnico'!$C$5:$C$1000,$N59)&amp;""))</f>
        <v/>
      </c>
      <c r="C59" s="77">
        <f>IF($N59="","",IF(INDEX('Cronograma Asistente Técnico'!$D$5:$D$1000,$N59)="","",INDEX('Cronograma Asistente Técnico'!$D$5:$D$1000,$N59)))</f>
        <v/>
      </c>
      <c r="D59" s="77">
        <f>IF($N59="","",IF(INDEX('Cronograma Asistente Técnico'!$E$5:$E$1000,$N59)="","",INDEX('Cronograma Asistente Técnico'!$E$5:$E$1000,$N59)))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Asistente Técnico'!$Y$5:$Y$1000,$N59),""),IF(INDEX('Cronograma Asistente Técnico'!$G$5:$G$1000,$N59)="","",INDEX('Cronograma Asistente Técnico'!$G$5:$G$1000,$N59))))</f>
        <v/>
      </c>
      <c r="G59" s="68">
        <f>IF($N59="","",IF($P59&gt;0,IF(2&lt;=SemanaActual,INDEX('Cronograma Asistente Técnico'!$Z$5:$Z$1000,$N59),""),IF(INDEX('Cronograma Asistente Técnico'!$H$5:$H$1000,$N59)="","",INDEX('Cronograma Asistente Técnico'!$H$5:$H$1000,$N59))))</f>
        <v/>
      </c>
      <c r="H59" s="68">
        <f>IF($N59="","",IF($P59&gt;0,IF(3&lt;=SemanaActual,INDEX('Cronograma Asistente Técnico'!$AA$5:$AA$1000,$N59),""),IF(INDEX('Cronograma Asistente Técnico'!$I$5:$I$1000,$N59)="","",INDEX('Cronograma Asistente Técnico'!$I$5:$I$1000,$N59))))</f>
        <v/>
      </c>
      <c r="I59" s="68">
        <f>IF($N59="","",IF($P59&gt;0,IF(4&lt;=SemanaActual,INDEX('Cronograma Asistente Técnico'!$AB$5:$AB$1000,$N59),""),IF(INDEX('Cronograma Asistente Técnico'!$J$5:$J$1000,$N59)="","",INDEX('Cronograma Asistente Técnico'!$J$5:$J$1000,$N59))))</f>
        <v/>
      </c>
      <c r="J59" s="68">
        <f>IF($N59="","",INDEX('Cronograma Asistente Técnico'!$K$5:$K$1000,$N59))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Asistente Técnico'!$M$5:$M$1000,$N59)&amp;"")</f>
        <v/>
      </c>
      <c r="M59" s="71">
        <f>IF($N59="","",INDEX('Cronograma Asistente Técnico'!$N$5:$N$1000,$N59)&amp;"")</f>
        <v/>
      </c>
      <c r="N59">
        <f>IFERROR(MATCH(ROW()-4,rOrden_ATR,0),"")</f>
        <v/>
      </c>
      <c r="O59">
        <f>IF($N59="","",INDEX('Cronograma Asistente Técnico'!$S$5:$S$1000,$N59))</f>
        <v/>
      </c>
      <c r="P59">
        <f>IF($N59="","",N(INDEX('Cronograma Asistente Técnico'!$T$5:$T$1000,$N59)))</f>
        <v/>
      </c>
    </row>
    <row r="60">
      <c r="A60" s="62">
        <f>IF($N60="","",INDEX('Cronograma Asistente Técnico'!$A$5:$A$1000,$N60))</f>
        <v/>
      </c>
      <c r="B60" s="71">
        <f>IF($N60="","",IF($O60="Sub","      ↳  "&amp;INDEX('Cronograma Asistente Técnico'!$C$5:$C$1000,$N60),INDEX('Cronograma Asistente Técnico'!$C$5:$C$1000,$N60)&amp;""))</f>
        <v/>
      </c>
      <c r="C60" s="77">
        <f>IF($N60="","",IF(INDEX('Cronograma Asistente Técnico'!$D$5:$D$1000,$N60)="","",INDEX('Cronograma Asistente Técnico'!$D$5:$D$1000,$N60)))</f>
        <v/>
      </c>
      <c r="D60" s="77">
        <f>IF($N60="","",IF(INDEX('Cronograma Asistente Técnico'!$E$5:$E$1000,$N60)="","",INDEX('Cronograma Asistente Técnico'!$E$5:$E$1000,$N60)))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Asistente Técnico'!$Y$5:$Y$1000,$N60),""),IF(INDEX('Cronograma Asistente Técnico'!$G$5:$G$1000,$N60)="","",INDEX('Cronograma Asistente Técnico'!$G$5:$G$1000,$N60))))</f>
        <v/>
      </c>
      <c r="G60" s="68">
        <f>IF($N60="","",IF($P60&gt;0,IF(2&lt;=SemanaActual,INDEX('Cronograma Asistente Técnico'!$Z$5:$Z$1000,$N60),""),IF(INDEX('Cronograma Asistente Técnico'!$H$5:$H$1000,$N60)="","",INDEX('Cronograma Asistente Técnico'!$H$5:$H$1000,$N60))))</f>
        <v/>
      </c>
      <c r="H60" s="68">
        <f>IF($N60="","",IF($P60&gt;0,IF(3&lt;=SemanaActual,INDEX('Cronograma Asistente Técnico'!$AA$5:$AA$1000,$N60),""),IF(INDEX('Cronograma Asistente Técnico'!$I$5:$I$1000,$N60)="","",INDEX('Cronograma Asistente Técnico'!$I$5:$I$1000,$N60))))</f>
        <v/>
      </c>
      <c r="I60" s="68">
        <f>IF($N60="","",IF($P60&gt;0,IF(4&lt;=SemanaActual,INDEX('Cronograma Asistente Técnico'!$AB$5:$AB$1000,$N60),""),IF(INDEX('Cronograma Asistente Técnico'!$J$5:$J$1000,$N60)="","",INDEX('Cronograma Asistente Técnico'!$J$5:$J$1000,$N60))))</f>
        <v/>
      </c>
      <c r="J60" s="68">
        <f>IF($N60="","",INDEX('Cronograma Asistente Técnico'!$K$5:$K$1000,$N60))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Asistente Técnico'!$M$5:$M$1000,$N60)&amp;"")</f>
        <v/>
      </c>
      <c r="M60" s="71">
        <f>IF($N60="","",INDEX('Cronograma Asistente Técnico'!$N$5:$N$1000,$N60)&amp;"")</f>
        <v/>
      </c>
      <c r="N60">
        <f>IFERROR(MATCH(ROW()-4,rOrden_ATR,0),"")</f>
        <v/>
      </c>
      <c r="O60">
        <f>IF($N60="","",INDEX('Cronograma Asistente Técnico'!$S$5:$S$1000,$N60))</f>
        <v/>
      </c>
      <c r="P60">
        <f>IF($N60="","",N(INDEX('Cronograma Asistente Técnico'!$T$5:$T$1000,$N60)))</f>
        <v/>
      </c>
    </row>
    <row r="61">
      <c r="A61" s="62">
        <f>IF($N61="","",INDEX('Cronograma Asistente Técnico'!$A$5:$A$1000,$N61))</f>
        <v/>
      </c>
      <c r="B61" s="71">
        <f>IF($N61="","",IF($O61="Sub","      ↳  "&amp;INDEX('Cronograma Asistente Técnico'!$C$5:$C$1000,$N61),INDEX('Cronograma Asistente Técnico'!$C$5:$C$1000,$N61)&amp;""))</f>
        <v/>
      </c>
      <c r="C61" s="77">
        <f>IF($N61="","",IF(INDEX('Cronograma Asistente Técnico'!$D$5:$D$1000,$N61)="","",INDEX('Cronograma Asistente Técnico'!$D$5:$D$1000,$N61)))</f>
        <v/>
      </c>
      <c r="D61" s="77">
        <f>IF($N61="","",IF(INDEX('Cronograma Asistente Técnico'!$E$5:$E$1000,$N61)="","",INDEX('Cronograma Asistente Técnico'!$E$5:$E$1000,$N61)))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Asistente Técnico'!$Y$5:$Y$1000,$N61),""),IF(INDEX('Cronograma Asistente Técnico'!$G$5:$G$1000,$N61)="","",INDEX('Cronograma Asistente Técnico'!$G$5:$G$1000,$N61))))</f>
        <v/>
      </c>
      <c r="G61" s="68">
        <f>IF($N61="","",IF($P61&gt;0,IF(2&lt;=SemanaActual,INDEX('Cronograma Asistente Técnico'!$Z$5:$Z$1000,$N61),""),IF(INDEX('Cronograma Asistente Técnico'!$H$5:$H$1000,$N61)="","",INDEX('Cronograma Asistente Técnico'!$H$5:$H$1000,$N61))))</f>
        <v/>
      </c>
      <c r="H61" s="68">
        <f>IF($N61="","",IF($P61&gt;0,IF(3&lt;=SemanaActual,INDEX('Cronograma Asistente Técnico'!$AA$5:$AA$1000,$N61),""),IF(INDEX('Cronograma Asistente Técnico'!$I$5:$I$1000,$N61)="","",INDEX('Cronograma Asistente Técnico'!$I$5:$I$1000,$N61))))</f>
        <v/>
      </c>
      <c r="I61" s="68">
        <f>IF($N61="","",IF($P61&gt;0,IF(4&lt;=SemanaActual,INDEX('Cronograma Asistente Técnico'!$AB$5:$AB$1000,$N61),""),IF(INDEX('Cronograma Asistente Técnico'!$J$5:$J$1000,$N61)="","",INDEX('Cronograma Asistente Técnico'!$J$5:$J$1000,$N61))))</f>
        <v/>
      </c>
      <c r="J61" s="68">
        <f>IF($N61="","",INDEX('Cronograma Asistente Técnico'!$K$5:$K$1000,$N61))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Asistente Técnico'!$M$5:$M$1000,$N61)&amp;"")</f>
        <v/>
      </c>
      <c r="M61" s="71">
        <f>IF($N61="","",INDEX('Cronograma Asistente Técnico'!$N$5:$N$1000,$N61)&amp;"")</f>
        <v/>
      </c>
      <c r="N61">
        <f>IFERROR(MATCH(ROW()-4,rOrden_ATR,0),"")</f>
        <v/>
      </c>
      <c r="O61">
        <f>IF($N61="","",INDEX('Cronograma Asistente Técnico'!$S$5:$S$1000,$N61))</f>
        <v/>
      </c>
      <c r="P61">
        <f>IF($N61="","",N(INDEX('Cronograma Asistente Técnico'!$T$5:$T$1000,$N61)))</f>
        <v/>
      </c>
    </row>
    <row r="62">
      <c r="A62" s="62">
        <f>IF($N62="","",INDEX('Cronograma Asistente Técnico'!$A$5:$A$1000,$N62))</f>
        <v/>
      </c>
      <c r="B62" s="71">
        <f>IF($N62="","",IF($O62="Sub","      ↳  "&amp;INDEX('Cronograma Asistente Técnico'!$C$5:$C$1000,$N62),INDEX('Cronograma Asistente Técnico'!$C$5:$C$1000,$N62)&amp;""))</f>
        <v/>
      </c>
      <c r="C62" s="77">
        <f>IF($N62="","",IF(INDEX('Cronograma Asistente Técnico'!$D$5:$D$1000,$N62)="","",INDEX('Cronograma Asistente Técnico'!$D$5:$D$1000,$N62)))</f>
        <v/>
      </c>
      <c r="D62" s="77">
        <f>IF($N62="","",IF(INDEX('Cronograma Asistente Técnico'!$E$5:$E$1000,$N62)="","",INDEX('Cronograma Asistente Técnico'!$E$5:$E$1000,$N62)))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Asistente Técnico'!$Y$5:$Y$1000,$N62),""),IF(INDEX('Cronograma Asistente Técnico'!$G$5:$G$1000,$N62)="","",INDEX('Cronograma Asistente Técnico'!$G$5:$G$1000,$N62))))</f>
        <v/>
      </c>
      <c r="G62" s="68">
        <f>IF($N62="","",IF($P62&gt;0,IF(2&lt;=SemanaActual,INDEX('Cronograma Asistente Técnico'!$Z$5:$Z$1000,$N62),""),IF(INDEX('Cronograma Asistente Técnico'!$H$5:$H$1000,$N62)="","",INDEX('Cronograma Asistente Técnico'!$H$5:$H$1000,$N62))))</f>
        <v/>
      </c>
      <c r="H62" s="68">
        <f>IF($N62="","",IF($P62&gt;0,IF(3&lt;=SemanaActual,INDEX('Cronograma Asistente Técnico'!$AA$5:$AA$1000,$N62),""),IF(INDEX('Cronograma Asistente Técnico'!$I$5:$I$1000,$N62)="","",INDEX('Cronograma Asistente Técnico'!$I$5:$I$1000,$N62))))</f>
        <v/>
      </c>
      <c r="I62" s="68">
        <f>IF($N62="","",IF($P62&gt;0,IF(4&lt;=SemanaActual,INDEX('Cronograma Asistente Técnico'!$AB$5:$AB$1000,$N62),""),IF(INDEX('Cronograma Asistente Técnico'!$J$5:$J$1000,$N62)="","",INDEX('Cronograma Asistente Técnico'!$J$5:$J$1000,$N62))))</f>
        <v/>
      </c>
      <c r="J62" s="68">
        <f>IF($N62="","",INDEX('Cronograma Asistente Técnico'!$K$5:$K$1000,$N62))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Asistente Técnico'!$M$5:$M$1000,$N62)&amp;"")</f>
        <v/>
      </c>
      <c r="M62" s="71">
        <f>IF($N62="","",INDEX('Cronograma Asistente Técnico'!$N$5:$N$1000,$N62)&amp;"")</f>
        <v/>
      </c>
      <c r="N62">
        <f>IFERROR(MATCH(ROW()-4,rOrden_ATR,0),"")</f>
        <v/>
      </c>
      <c r="O62">
        <f>IF($N62="","",INDEX('Cronograma Asistente Técnico'!$S$5:$S$1000,$N62))</f>
        <v/>
      </c>
      <c r="P62">
        <f>IF($N62="","",N(INDEX('Cronograma Asistente Técnico'!$T$5:$T$1000,$N62)))</f>
        <v/>
      </c>
    </row>
    <row r="63">
      <c r="A63" s="62">
        <f>IF($N63="","",INDEX('Cronograma Asistente Técnico'!$A$5:$A$1000,$N63))</f>
        <v/>
      </c>
      <c r="B63" s="71">
        <f>IF($N63="","",IF($O63="Sub","      ↳  "&amp;INDEX('Cronograma Asistente Técnico'!$C$5:$C$1000,$N63),INDEX('Cronograma Asistente Técnico'!$C$5:$C$1000,$N63)&amp;""))</f>
        <v/>
      </c>
      <c r="C63" s="77">
        <f>IF($N63="","",IF(INDEX('Cronograma Asistente Técnico'!$D$5:$D$1000,$N63)="","",INDEX('Cronograma Asistente Técnico'!$D$5:$D$1000,$N63)))</f>
        <v/>
      </c>
      <c r="D63" s="77">
        <f>IF($N63="","",IF(INDEX('Cronograma Asistente Técnico'!$E$5:$E$1000,$N63)="","",INDEX('Cronograma Asistente Técnico'!$E$5:$E$1000,$N63)))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Asistente Técnico'!$Y$5:$Y$1000,$N63),""),IF(INDEX('Cronograma Asistente Técnico'!$G$5:$G$1000,$N63)="","",INDEX('Cronograma Asistente Técnico'!$G$5:$G$1000,$N63))))</f>
        <v/>
      </c>
      <c r="G63" s="68">
        <f>IF($N63="","",IF($P63&gt;0,IF(2&lt;=SemanaActual,INDEX('Cronograma Asistente Técnico'!$Z$5:$Z$1000,$N63),""),IF(INDEX('Cronograma Asistente Técnico'!$H$5:$H$1000,$N63)="","",INDEX('Cronograma Asistente Técnico'!$H$5:$H$1000,$N63))))</f>
        <v/>
      </c>
      <c r="H63" s="68">
        <f>IF($N63="","",IF($P63&gt;0,IF(3&lt;=SemanaActual,INDEX('Cronograma Asistente Técnico'!$AA$5:$AA$1000,$N63),""),IF(INDEX('Cronograma Asistente Técnico'!$I$5:$I$1000,$N63)="","",INDEX('Cronograma Asistente Técnico'!$I$5:$I$1000,$N63))))</f>
        <v/>
      </c>
      <c r="I63" s="68">
        <f>IF($N63="","",IF($P63&gt;0,IF(4&lt;=SemanaActual,INDEX('Cronograma Asistente Técnico'!$AB$5:$AB$1000,$N63),""),IF(INDEX('Cronograma Asistente Técnico'!$J$5:$J$1000,$N63)="","",INDEX('Cronograma Asistente Técnico'!$J$5:$J$1000,$N63))))</f>
        <v/>
      </c>
      <c r="J63" s="68">
        <f>IF($N63="","",INDEX('Cronograma Asistente Técnico'!$K$5:$K$1000,$N63))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Asistente Técnico'!$M$5:$M$1000,$N63)&amp;"")</f>
        <v/>
      </c>
      <c r="M63" s="71">
        <f>IF($N63="","",INDEX('Cronograma Asistente Técnico'!$N$5:$N$1000,$N63)&amp;"")</f>
        <v/>
      </c>
      <c r="N63">
        <f>IFERROR(MATCH(ROW()-4,rOrden_ATR,0),"")</f>
        <v/>
      </c>
      <c r="O63">
        <f>IF($N63="","",INDEX('Cronograma Asistente Técnico'!$S$5:$S$1000,$N63))</f>
        <v/>
      </c>
      <c r="P63">
        <f>IF($N63="","",N(INDEX('Cronograma Asistente Técnico'!$T$5:$T$1000,$N63)))</f>
        <v/>
      </c>
    </row>
    <row r="64">
      <c r="A64" s="62">
        <f>IF($N64="","",INDEX('Cronograma Asistente Técnico'!$A$5:$A$1000,$N64))</f>
        <v/>
      </c>
      <c r="B64" s="71">
        <f>IF($N64="","",IF($O64="Sub","      ↳  "&amp;INDEX('Cronograma Asistente Técnico'!$C$5:$C$1000,$N64),INDEX('Cronograma Asistente Técnico'!$C$5:$C$1000,$N64)&amp;""))</f>
        <v/>
      </c>
      <c r="C64" s="77">
        <f>IF($N64="","",IF(INDEX('Cronograma Asistente Técnico'!$D$5:$D$1000,$N64)="","",INDEX('Cronograma Asistente Técnico'!$D$5:$D$1000,$N64)))</f>
        <v/>
      </c>
      <c r="D64" s="77">
        <f>IF($N64="","",IF(INDEX('Cronograma Asistente Técnico'!$E$5:$E$1000,$N64)="","",INDEX('Cronograma Asistente Técnico'!$E$5:$E$1000,$N64)))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Asistente Técnico'!$Y$5:$Y$1000,$N64),""),IF(INDEX('Cronograma Asistente Técnico'!$G$5:$G$1000,$N64)="","",INDEX('Cronograma Asistente Técnico'!$G$5:$G$1000,$N64))))</f>
        <v/>
      </c>
      <c r="G64" s="68">
        <f>IF($N64="","",IF($P64&gt;0,IF(2&lt;=SemanaActual,INDEX('Cronograma Asistente Técnico'!$Z$5:$Z$1000,$N64),""),IF(INDEX('Cronograma Asistente Técnico'!$H$5:$H$1000,$N64)="","",INDEX('Cronograma Asistente Técnico'!$H$5:$H$1000,$N64))))</f>
        <v/>
      </c>
      <c r="H64" s="68">
        <f>IF($N64="","",IF($P64&gt;0,IF(3&lt;=SemanaActual,INDEX('Cronograma Asistente Técnico'!$AA$5:$AA$1000,$N64),""),IF(INDEX('Cronograma Asistente Técnico'!$I$5:$I$1000,$N64)="","",INDEX('Cronograma Asistente Técnico'!$I$5:$I$1000,$N64))))</f>
        <v/>
      </c>
      <c r="I64" s="68">
        <f>IF($N64="","",IF($P64&gt;0,IF(4&lt;=SemanaActual,INDEX('Cronograma Asistente Técnico'!$AB$5:$AB$1000,$N64),""),IF(INDEX('Cronograma Asistente Técnico'!$J$5:$J$1000,$N64)="","",INDEX('Cronograma Asistente Técnico'!$J$5:$J$1000,$N64))))</f>
        <v/>
      </c>
      <c r="J64" s="68">
        <f>IF($N64="","",INDEX('Cronograma Asistente Técnico'!$K$5:$K$1000,$N64))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Asistente Técnico'!$M$5:$M$1000,$N64)&amp;"")</f>
        <v/>
      </c>
      <c r="M64" s="71">
        <f>IF($N64="","",INDEX('Cronograma Asistente Técnico'!$N$5:$N$1000,$N64)&amp;"")</f>
        <v/>
      </c>
      <c r="N64">
        <f>IFERROR(MATCH(ROW()-4,rOrden_ATR,0),"")</f>
        <v/>
      </c>
      <c r="O64">
        <f>IF($N64="","",INDEX('Cronograma Asistente Técnico'!$S$5:$S$1000,$N64))</f>
        <v/>
      </c>
      <c r="P64">
        <f>IF($N64="","",N(INDEX('Cronograma Asistente Técnico'!$T$5:$T$1000,$N64)))</f>
        <v/>
      </c>
    </row>
    <row r="65">
      <c r="A65" s="62">
        <f>IF($N65="","",INDEX('Cronograma Asistente Técnico'!$A$5:$A$1000,$N65))</f>
        <v/>
      </c>
      <c r="B65" s="71">
        <f>IF($N65="","",IF($O65="Sub","      ↳  "&amp;INDEX('Cronograma Asistente Técnico'!$C$5:$C$1000,$N65),INDEX('Cronograma Asistente Técnico'!$C$5:$C$1000,$N65)&amp;""))</f>
        <v/>
      </c>
      <c r="C65" s="77">
        <f>IF($N65="","",IF(INDEX('Cronograma Asistente Técnico'!$D$5:$D$1000,$N65)="","",INDEX('Cronograma Asistente Técnico'!$D$5:$D$1000,$N65)))</f>
        <v/>
      </c>
      <c r="D65" s="77">
        <f>IF($N65="","",IF(INDEX('Cronograma Asistente Técnico'!$E$5:$E$1000,$N65)="","",INDEX('Cronograma Asistente Técnico'!$E$5:$E$1000,$N65)))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Asistente Técnico'!$Y$5:$Y$1000,$N65),""),IF(INDEX('Cronograma Asistente Técnico'!$G$5:$G$1000,$N65)="","",INDEX('Cronograma Asistente Técnico'!$G$5:$G$1000,$N65))))</f>
        <v/>
      </c>
      <c r="G65" s="68">
        <f>IF($N65="","",IF($P65&gt;0,IF(2&lt;=SemanaActual,INDEX('Cronograma Asistente Técnico'!$Z$5:$Z$1000,$N65),""),IF(INDEX('Cronograma Asistente Técnico'!$H$5:$H$1000,$N65)="","",INDEX('Cronograma Asistente Técnico'!$H$5:$H$1000,$N65))))</f>
        <v/>
      </c>
      <c r="H65" s="68">
        <f>IF($N65="","",IF($P65&gt;0,IF(3&lt;=SemanaActual,INDEX('Cronograma Asistente Técnico'!$AA$5:$AA$1000,$N65),""),IF(INDEX('Cronograma Asistente Técnico'!$I$5:$I$1000,$N65)="","",INDEX('Cronograma Asistente Técnico'!$I$5:$I$1000,$N65))))</f>
        <v/>
      </c>
      <c r="I65" s="68">
        <f>IF($N65="","",IF($P65&gt;0,IF(4&lt;=SemanaActual,INDEX('Cronograma Asistente Técnico'!$AB$5:$AB$1000,$N65),""),IF(INDEX('Cronograma Asistente Técnico'!$J$5:$J$1000,$N65)="","",INDEX('Cronograma Asistente Técnico'!$J$5:$J$1000,$N65))))</f>
        <v/>
      </c>
      <c r="J65" s="68">
        <f>IF($N65="","",INDEX('Cronograma Asistente Técnico'!$K$5:$K$1000,$N65))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Asistente Técnico'!$M$5:$M$1000,$N65)&amp;"")</f>
        <v/>
      </c>
      <c r="M65" s="71">
        <f>IF($N65="","",INDEX('Cronograma Asistente Técnico'!$N$5:$N$1000,$N65)&amp;"")</f>
        <v/>
      </c>
      <c r="N65">
        <f>IFERROR(MATCH(ROW()-4,rOrden_ATR,0),"")</f>
        <v/>
      </c>
      <c r="O65">
        <f>IF($N65="","",INDEX('Cronograma Asistente Técnico'!$S$5:$S$1000,$N65))</f>
        <v/>
      </c>
      <c r="P65">
        <f>IF($N65="","",N(INDEX('Cronograma Asistente Técnico'!$T$5:$T$1000,$N65)))</f>
        <v/>
      </c>
    </row>
    <row r="66">
      <c r="A66" s="62">
        <f>IF($N66="","",INDEX('Cronograma Asistente Técnico'!$A$5:$A$1000,$N66))</f>
        <v/>
      </c>
      <c r="B66" s="71">
        <f>IF($N66="","",IF($O66="Sub","      ↳  "&amp;INDEX('Cronograma Asistente Técnico'!$C$5:$C$1000,$N66),INDEX('Cronograma Asistente Técnico'!$C$5:$C$1000,$N66)&amp;""))</f>
        <v/>
      </c>
      <c r="C66" s="77">
        <f>IF($N66="","",IF(INDEX('Cronograma Asistente Técnico'!$D$5:$D$1000,$N66)="","",INDEX('Cronograma Asistente Técnico'!$D$5:$D$1000,$N66)))</f>
        <v/>
      </c>
      <c r="D66" s="77">
        <f>IF($N66="","",IF(INDEX('Cronograma Asistente Técnico'!$E$5:$E$1000,$N66)="","",INDEX('Cronograma Asistente Técnico'!$E$5:$E$1000,$N66)))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Asistente Técnico'!$Y$5:$Y$1000,$N66),""),IF(INDEX('Cronograma Asistente Técnico'!$G$5:$G$1000,$N66)="","",INDEX('Cronograma Asistente Técnico'!$G$5:$G$1000,$N66))))</f>
        <v/>
      </c>
      <c r="G66" s="68">
        <f>IF($N66="","",IF($P66&gt;0,IF(2&lt;=SemanaActual,INDEX('Cronograma Asistente Técnico'!$Z$5:$Z$1000,$N66),""),IF(INDEX('Cronograma Asistente Técnico'!$H$5:$H$1000,$N66)="","",INDEX('Cronograma Asistente Técnico'!$H$5:$H$1000,$N66))))</f>
        <v/>
      </c>
      <c r="H66" s="68">
        <f>IF($N66="","",IF($P66&gt;0,IF(3&lt;=SemanaActual,INDEX('Cronograma Asistente Técnico'!$AA$5:$AA$1000,$N66),""),IF(INDEX('Cronograma Asistente Técnico'!$I$5:$I$1000,$N66)="","",INDEX('Cronograma Asistente Técnico'!$I$5:$I$1000,$N66))))</f>
        <v/>
      </c>
      <c r="I66" s="68">
        <f>IF($N66="","",IF($P66&gt;0,IF(4&lt;=SemanaActual,INDEX('Cronograma Asistente Técnico'!$AB$5:$AB$1000,$N66),""),IF(INDEX('Cronograma Asistente Técnico'!$J$5:$J$1000,$N66)="","",INDEX('Cronograma Asistente Técnico'!$J$5:$J$1000,$N66))))</f>
        <v/>
      </c>
      <c r="J66" s="68">
        <f>IF($N66="","",INDEX('Cronograma Asistente Técnico'!$K$5:$K$1000,$N66))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Asistente Técnico'!$M$5:$M$1000,$N66)&amp;"")</f>
        <v/>
      </c>
      <c r="M66" s="71">
        <f>IF($N66="","",INDEX('Cronograma Asistente Técnico'!$N$5:$N$1000,$N66)&amp;"")</f>
        <v/>
      </c>
      <c r="N66">
        <f>IFERROR(MATCH(ROW()-4,rOrden_ATR,0),"")</f>
        <v/>
      </c>
      <c r="O66">
        <f>IF($N66="","",INDEX('Cronograma Asistente Técnico'!$S$5:$S$1000,$N66))</f>
        <v/>
      </c>
      <c r="P66">
        <f>IF($N66="","",N(INDEX('Cronograma Asistente Técnico'!$T$5:$T$1000,$N66)))</f>
        <v/>
      </c>
    </row>
    <row r="67">
      <c r="A67" s="62">
        <f>IF($N67="","",INDEX('Cronograma Asistente Técnico'!$A$5:$A$1000,$N67))</f>
        <v/>
      </c>
      <c r="B67" s="71">
        <f>IF($N67="","",IF($O67="Sub","      ↳  "&amp;INDEX('Cronograma Asistente Técnico'!$C$5:$C$1000,$N67),INDEX('Cronograma Asistente Técnico'!$C$5:$C$1000,$N67)&amp;""))</f>
        <v/>
      </c>
      <c r="C67" s="77">
        <f>IF($N67="","",IF(INDEX('Cronograma Asistente Técnico'!$D$5:$D$1000,$N67)="","",INDEX('Cronograma Asistente Técnico'!$D$5:$D$1000,$N67)))</f>
        <v/>
      </c>
      <c r="D67" s="77">
        <f>IF($N67="","",IF(INDEX('Cronograma Asistente Técnico'!$E$5:$E$1000,$N67)="","",INDEX('Cronograma Asistente Técnico'!$E$5:$E$1000,$N67)))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Asistente Técnico'!$Y$5:$Y$1000,$N67),""),IF(INDEX('Cronograma Asistente Técnico'!$G$5:$G$1000,$N67)="","",INDEX('Cronograma Asistente Técnico'!$G$5:$G$1000,$N67))))</f>
        <v/>
      </c>
      <c r="G67" s="68">
        <f>IF($N67="","",IF($P67&gt;0,IF(2&lt;=SemanaActual,INDEX('Cronograma Asistente Técnico'!$Z$5:$Z$1000,$N67),""),IF(INDEX('Cronograma Asistente Técnico'!$H$5:$H$1000,$N67)="","",INDEX('Cronograma Asistente Técnico'!$H$5:$H$1000,$N67))))</f>
        <v/>
      </c>
      <c r="H67" s="68">
        <f>IF($N67="","",IF($P67&gt;0,IF(3&lt;=SemanaActual,INDEX('Cronograma Asistente Técnico'!$AA$5:$AA$1000,$N67),""),IF(INDEX('Cronograma Asistente Técnico'!$I$5:$I$1000,$N67)="","",INDEX('Cronograma Asistente Técnico'!$I$5:$I$1000,$N67))))</f>
        <v/>
      </c>
      <c r="I67" s="68">
        <f>IF($N67="","",IF($P67&gt;0,IF(4&lt;=SemanaActual,INDEX('Cronograma Asistente Técnico'!$AB$5:$AB$1000,$N67),""),IF(INDEX('Cronograma Asistente Técnico'!$J$5:$J$1000,$N67)="","",INDEX('Cronograma Asistente Técnico'!$J$5:$J$1000,$N67))))</f>
        <v/>
      </c>
      <c r="J67" s="68">
        <f>IF($N67="","",INDEX('Cronograma Asistente Técnico'!$K$5:$K$1000,$N67))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Asistente Técnico'!$M$5:$M$1000,$N67)&amp;"")</f>
        <v/>
      </c>
      <c r="M67" s="71">
        <f>IF($N67="","",INDEX('Cronograma Asistente Técnico'!$N$5:$N$1000,$N67)&amp;"")</f>
        <v/>
      </c>
      <c r="N67">
        <f>IFERROR(MATCH(ROW()-4,rOrden_ATR,0),"")</f>
        <v/>
      </c>
      <c r="O67">
        <f>IF($N67="","",INDEX('Cronograma Asistente Técnico'!$S$5:$S$1000,$N67))</f>
        <v/>
      </c>
      <c r="P67">
        <f>IF($N67="","",N(INDEX('Cronograma Asistente Técnico'!$T$5:$T$1000,$N67)))</f>
        <v/>
      </c>
    </row>
    <row r="68">
      <c r="A68" s="62">
        <f>IF($N68="","",INDEX('Cronograma Asistente Técnico'!$A$5:$A$1000,$N68))</f>
        <v/>
      </c>
      <c r="B68" s="71">
        <f>IF($N68="","",IF($O68="Sub","      ↳  "&amp;INDEX('Cronograma Asistente Técnico'!$C$5:$C$1000,$N68),INDEX('Cronograma Asistente Técnico'!$C$5:$C$1000,$N68)&amp;""))</f>
        <v/>
      </c>
      <c r="C68" s="77">
        <f>IF($N68="","",IF(INDEX('Cronograma Asistente Técnico'!$D$5:$D$1000,$N68)="","",INDEX('Cronograma Asistente Técnico'!$D$5:$D$1000,$N68)))</f>
        <v/>
      </c>
      <c r="D68" s="77">
        <f>IF($N68="","",IF(INDEX('Cronograma Asistente Técnico'!$E$5:$E$1000,$N68)="","",INDEX('Cronograma Asistente Técnico'!$E$5:$E$1000,$N68)))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Asistente Técnico'!$Y$5:$Y$1000,$N68),""),IF(INDEX('Cronograma Asistente Técnico'!$G$5:$G$1000,$N68)="","",INDEX('Cronograma Asistente Técnico'!$G$5:$G$1000,$N68))))</f>
        <v/>
      </c>
      <c r="G68" s="68">
        <f>IF($N68="","",IF($P68&gt;0,IF(2&lt;=SemanaActual,INDEX('Cronograma Asistente Técnico'!$Z$5:$Z$1000,$N68),""),IF(INDEX('Cronograma Asistente Técnico'!$H$5:$H$1000,$N68)="","",INDEX('Cronograma Asistente Técnico'!$H$5:$H$1000,$N68))))</f>
        <v/>
      </c>
      <c r="H68" s="68">
        <f>IF($N68="","",IF($P68&gt;0,IF(3&lt;=SemanaActual,INDEX('Cronograma Asistente Técnico'!$AA$5:$AA$1000,$N68),""),IF(INDEX('Cronograma Asistente Técnico'!$I$5:$I$1000,$N68)="","",INDEX('Cronograma Asistente Técnico'!$I$5:$I$1000,$N68))))</f>
        <v/>
      </c>
      <c r="I68" s="68">
        <f>IF($N68="","",IF($P68&gt;0,IF(4&lt;=SemanaActual,INDEX('Cronograma Asistente Técnico'!$AB$5:$AB$1000,$N68),""),IF(INDEX('Cronograma Asistente Técnico'!$J$5:$J$1000,$N68)="","",INDEX('Cronograma Asistente Técnico'!$J$5:$J$1000,$N68))))</f>
        <v/>
      </c>
      <c r="J68" s="68">
        <f>IF($N68="","",INDEX('Cronograma Asistente Técnico'!$K$5:$K$1000,$N68))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Asistente Técnico'!$M$5:$M$1000,$N68)&amp;"")</f>
        <v/>
      </c>
      <c r="M68" s="71">
        <f>IF($N68="","",INDEX('Cronograma Asistente Técnico'!$N$5:$N$1000,$N68)&amp;"")</f>
        <v/>
      </c>
      <c r="N68">
        <f>IFERROR(MATCH(ROW()-4,rOrden_ATR,0),"")</f>
        <v/>
      </c>
      <c r="O68">
        <f>IF($N68="","",INDEX('Cronograma Asistente Técnico'!$S$5:$S$1000,$N68))</f>
        <v/>
      </c>
      <c r="P68">
        <f>IF($N68="","",N(INDEX('Cronograma Asistente Técnico'!$T$5:$T$1000,$N68)))</f>
        <v/>
      </c>
    </row>
    <row r="69">
      <c r="A69" s="62">
        <f>IF($N69="","",INDEX('Cronograma Asistente Técnico'!$A$5:$A$1000,$N69))</f>
        <v/>
      </c>
      <c r="B69" s="71">
        <f>IF($N69="","",IF($O69="Sub","      ↳  "&amp;INDEX('Cronograma Asistente Técnico'!$C$5:$C$1000,$N69),INDEX('Cronograma Asistente Técnico'!$C$5:$C$1000,$N69)&amp;""))</f>
        <v/>
      </c>
      <c r="C69" s="77">
        <f>IF($N69="","",IF(INDEX('Cronograma Asistente Técnico'!$D$5:$D$1000,$N69)="","",INDEX('Cronograma Asistente Técnico'!$D$5:$D$1000,$N69)))</f>
        <v/>
      </c>
      <c r="D69" s="77">
        <f>IF($N69="","",IF(INDEX('Cronograma Asistente Técnico'!$E$5:$E$1000,$N69)="","",INDEX('Cronograma Asistente Técnico'!$E$5:$E$1000,$N69)))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Asistente Técnico'!$Y$5:$Y$1000,$N69),""),IF(INDEX('Cronograma Asistente Técnico'!$G$5:$G$1000,$N69)="","",INDEX('Cronograma Asistente Técnico'!$G$5:$G$1000,$N69))))</f>
        <v/>
      </c>
      <c r="G69" s="68">
        <f>IF($N69="","",IF($P69&gt;0,IF(2&lt;=SemanaActual,INDEX('Cronograma Asistente Técnico'!$Z$5:$Z$1000,$N69),""),IF(INDEX('Cronograma Asistente Técnico'!$H$5:$H$1000,$N69)="","",INDEX('Cronograma Asistente Técnico'!$H$5:$H$1000,$N69))))</f>
        <v/>
      </c>
      <c r="H69" s="68">
        <f>IF($N69="","",IF($P69&gt;0,IF(3&lt;=SemanaActual,INDEX('Cronograma Asistente Técnico'!$AA$5:$AA$1000,$N69),""),IF(INDEX('Cronograma Asistente Técnico'!$I$5:$I$1000,$N69)="","",INDEX('Cronograma Asistente Técnico'!$I$5:$I$1000,$N69))))</f>
        <v/>
      </c>
      <c r="I69" s="68">
        <f>IF($N69="","",IF($P69&gt;0,IF(4&lt;=SemanaActual,INDEX('Cronograma Asistente Técnico'!$AB$5:$AB$1000,$N69),""),IF(INDEX('Cronograma Asistente Técnico'!$J$5:$J$1000,$N69)="","",INDEX('Cronograma Asistente Técnico'!$J$5:$J$1000,$N69))))</f>
        <v/>
      </c>
      <c r="J69" s="68">
        <f>IF($N69="","",INDEX('Cronograma Asistente Técnico'!$K$5:$K$1000,$N69))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Asistente Técnico'!$M$5:$M$1000,$N69)&amp;"")</f>
        <v/>
      </c>
      <c r="M69" s="71">
        <f>IF($N69="","",INDEX('Cronograma Asistente Técnico'!$N$5:$N$1000,$N69)&amp;"")</f>
        <v/>
      </c>
      <c r="N69">
        <f>IFERROR(MATCH(ROW()-4,rOrden_ATR,0),"")</f>
        <v/>
      </c>
      <c r="O69">
        <f>IF($N69="","",INDEX('Cronograma Asistente Técnico'!$S$5:$S$1000,$N69))</f>
        <v/>
      </c>
      <c r="P69">
        <f>IF($N69="","",N(INDEX('Cronograma Asistente Técnico'!$T$5:$T$1000,$N69)))</f>
        <v/>
      </c>
    </row>
    <row r="70">
      <c r="A70" s="62">
        <f>IF($N70="","",INDEX('Cronograma Asistente Técnico'!$A$5:$A$1000,$N70))</f>
        <v/>
      </c>
      <c r="B70" s="71">
        <f>IF($N70="","",IF($O70="Sub","      ↳  "&amp;INDEX('Cronograma Asistente Técnico'!$C$5:$C$1000,$N70),INDEX('Cronograma Asistente Técnico'!$C$5:$C$1000,$N70)&amp;""))</f>
        <v/>
      </c>
      <c r="C70" s="77">
        <f>IF($N70="","",IF(INDEX('Cronograma Asistente Técnico'!$D$5:$D$1000,$N70)="","",INDEX('Cronograma Asistente Técnico'!$D$5:$D$1000,$N70)))</f>
        <v/>
      </c>
      <c r="D70" s="77">
        <f>IF($N70="","",IF(INDEX('Cronograma Asistente Técnico'!$E$5:$E$1000,$N70)="","",INDEX('Cronograma Asistente Técnico'!$E$5:$E$1000,$N70)))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Asistente Técnico'!$Y$5:$Y$1000,$N70),""),IF(INDEX('Cronograma Asistente Técnico'!$G$5:$G$1000,$N70)="","",INDEX('Cronograma Asistente Técnico'!$G$5:$G$1000,$N70))))</f>
        <v/>
      </c>
      <c r="G70" s="68">
        <f>IF($N70="","",IF($P70&gt;0,IF(2&lt;=SemanaActual,INDEX('Cronograma Asistente Técnico'!$Z$5:$Z$1000,$N70),""),IF(INDEX('Cronograma Asistente Técnico'!$H$5:$H$1000,$N70)="","",INDEX('Cronograma Asistente Técnico'!$H$5:$H$1000,$N70))))</f>
        <v/>
      </c>
      <c r="H70" s="68">
        <f>IF($N70="","",IF($P70&gt;0,IF(3&lt;=SemanaActual,INDEX('Cronograma Asistente Técnico'!$AA$5:$AA$1000,$N70),""),IF(INDEX('Cronograma Asistente Técnico'!$I$5:$I$1000,$N70)="","",INDEX('Cronograma Asistente Técnico'!$I$5:$I$1000,$N70))))</f>
        <v/>
      </c>
      <c r="I70" s="68">
        <f>IF($N70="","",IF($P70&gt;0,IF(4&lt;=SemanaActual,INDEX('Cronograma Asistente Técnico'!$AB$5:$AB$1000,$N70),""),IF(INDEX('Cronograma Asistente Técnico'!$J$5:$J$1000,$N70)="","",INDEX('Cronograma Asistente Técnico'!$J$5:$J$1000,$N70))))</f>
        <v/>
      </c>
      <c r="J70" s="68">
        <f>IF($N70="","",INDEX('Cronograma Asistente Técnico'!$K$5:$K$1000,$N70))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Asistente Técnico'!$M$5:$M$1000,$N70)&amp;"")</f>
        <v/>
      </c>
      <c r="M70" s="71">
        <f>IF($N70="","",INDEX('Cronograma Asistente Técnico'!$N$5:$N$1000,$N70)&amp;"")</f>
        <v/>
      </c>
      <c r="N70">
        <f>IFERROR(MATCH(ROW()-4,rOrden_ATR,0),"")</f>
        <v/>
      </c>
      <c r="O70">
        <f>IF($N70="","",INDEX('Cronograma Asistente Técnico'!$S$5:$S$1000,$N70))</f>
        <v/>
      </c>
      <c r="P70">
        <f>IF($N70="","",N(INDEX('Cronograma Asistente Técnico'!$T$5:$T$1000,$N70)))</f>
        <v/>
      </c>
    </row>
    <row r="71">
      <c r="A71" s="62">
        <f>IF($N71="","",INDEX('Cronograma Asistente Técnico'!$A$5:$A$1000,$N71))</f>
        <v/>
      </c>
      <c r="B71" s="71">
        <f>IF($N71="","",IF($O71="Sub","      ↳  "&amp;INDEX('Cronograma Asistente Técnico'!$C$5:$C$1000,$N71),INDEX('Cronograma Asistente Técnico'!$C$5:$C$1000,$N71)&amp;""))</f>
        <v/>
      </c>
      <c r="C71" s="77">
        <f>IF($N71="","",IF(INDEX('Cronograma Asistente Técnico'!$D$5:$D$1000,$N71)="","",INDEX('Cronograma Asistente Técnico'!$D$5:$D$1000,$N71)))</f>
        <v/>
      </c>
      <c r="D71" s="77">
        <f>IF($N71="","",IF(INDEX('Cronograma Asistente Técnico'!$E$5:$E$1000,$N71)="","",INDEX('Cronograma Asistente Técnico'!$E$5:$E$1000,$N71)))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Asistente Técnico'!$Y$5:$Y$1000,$N71),""),IF(INDEX('Cronograma Asistente Técnico'!$G$5:$G$1000,$N71)="","",INDEX('Cronograma Asistente Técnico'!$G$5:$G$1000,$N71))))</f>
        <v/>
      </c>
      <c r="G71" s="68">
        <f>IF($N71="","",IF($P71&gt;0,IF(2&lt;=SemanaActual,INDEX('Cronograma Asistente Técnico'!$Z$5:$Z$1000,$N71),""),IF(INDEX('Cronograma Asistente Técnico'!$H$5:$H$1000,$N71)="","",INDEX('Cronograma Asistente Técnico'!$H$5:$H$1000,$N71))))</f>
        <v/>
      </c>
      <c r="H71" s="68">
        <f>IF($N71="","",IF($P71&gt;0,IF(3&lt;=SemanaActual,INDEX('Cronograma Asistente Técnico'!$AA$5:$AA$1000,$N71),""),IF(INDEX('Cronograma Asistente Técnico'!$I$5:$I$1000,$N71)="","",INDEX('Cronograma Asistente Técnico'!$I$5:$I$1000,$N71))))</f>
        <v/>
      </c>
      <c r="I71" s="68">
        <f>IF($N71="","",IF($P71&gt;0,IF(4&lt;=SemanaActual,INDEX('Cronograma Asistente Técnico'!$AB$5:$AB$1000,$N71),""),IF(INDEX('Cronograma Asistente Técnico'!$J$5:$J$1000,$N71)="","",INDEX('Cronograma Asistente Técnico'!$J$5:$J$1000,$N71))))</f>
        <v/>
      </c>
      <c r="J71" s="68">
        <f>IF($N71="","",INDEX('Cronograma Asistente Técnico'!$K$5:$K$1000,$N71))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Asistente Técnico'!$M$5:$M$1000,$N71)&amp;"")</f>
        <v/>
      </c>
      <c r="M71" s="71">
        <f>IF($N71="","",INDEX('Cronograma Asistente Técnico'!$N$5:$N$1000,$N71)&amp;"")</f>
        <v/>
      </c>
      <c r="N71">
        <f>IFERROR(MATCH(ROW()-4,rOrden_ATR,0),"")</f>
        <v/>
      </c>
      <c r="O71">
        <f>IF($N71="","",INDEX('Cronograma Asistente Técnico'!$S$5:$S$1000,$N71))</f>
        <v/>
      </c>
      <c r="P71">
        <f>IF($N71="","",N(INDEX('Cronograma Asistente Técnico'!$T$5:$T$1000,$N71)))</f>
        <v/>
      </c>
    </row>
    <row r="72">
      <c r="A72" s="62">
        <f>IF($N72="","",INDEX('Cronograma Asistente Técnico'!$A$5:$A$1000,$N72))</f>
        <v/>
      </c>
      <c r="B72" s="71">
        <f>IF($N72="","",IF($O72="Sub","      ↳  "&amp;INDEX('Cronograma Asistente Técnico'!$C$5:$C$1000,$N72),INDEX('Cronograma Asistente Técnico'!$C$5:$C$1000,$N72)&amp;""))</f>
        <v/>
      </c>
      <c r="C72" s="77">
        <f>IF($N72="","",IF(INDEX('Cronograma Asistente Técnico'!$D$5:$D$1000,$N72)="","",INDEX('Cronograma Asistente Técnico'!$D$5:$D$1000,$N72)))</f>
        <v/>
      </c>
      <c r="D72" s="77">
        <f>IF($N72="","",IF(INDEX('Cronograma Asistente Técnico'!$E$5:$E$1000,$N72)="","",INDEX('Cronograma Asistente Técnico'!$E$5:$E$1000,$N72)))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Asistente Técnico'!$Y$5:$Y$1000,$N72),""),IF(INDEX('Cronograma Asistente Técnico'!$G$5:$G$1000,$N72)="","",INDEX('Cronograma Asistente Técnico'!$G$5:$G$1000,$N72))))</f>
        <v/>
      </c>
      <c r="G72" s="68">
        <f>IF($N72="","",IF($P72&gt;0,IF(2&lt;=SemanaActual,INDEX('Cronograma Asistente Técnico'!$Z$5:$Z$1000,$N72),""),IF(INDEX('Cronograma Asistente Técnico'!$H$5:$H$1000,$N72)="","",INDEX('Cronograma Asistente Técnico'!$H$5:$H$1000,$N72))))</f>
        <v/>
      </c>
      <c r="H72" s="68">
        <f>IF($N72="","",IF($P72&gt;0,IF(3&lt;=SemanaActual,INDEX('Cronograma Asistente Técnico'!$AA$5:$AA$1000,$N72),""),IF(INDEX('Cronograma Asistente Técnico'!$I$5:$I$1000,$N72)="","",INDEX('Cronograma Asistente Técnico'!$I$5:$I$1000,$N72))))</f>
        <v/>
      </c>
      <c r="I72" s="68">
        <f>IF($N72="","",IF($P72&gt;0,IF(4&lt;=SemanaActual,INDEX('Cronograma Asistente Técnico'!$AB$5:$AB$1000,$N72),""),IF(INDEX('Cronograma Asistente Técnico'!$J$5:$J$1000,$N72)="","",INDEX('Cronograma Asistente Técnico'!$J$5:$J$1000,$N72))))</f>
        <v/>
      </c>
      <c r="J72" s="68">
        <f>IF($N72="","",INDEX('Cronograma Asistente Técnico'!$K$5:$K$1000,$N72))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Asistente Técnico'!$M$5:$M$1000,$N72)&amp;"")</f>
        <v/>
      </c>
      <c r="M72" s="71">
        <f>IF($N72="","",INDEX('Cronograma Asistente Técnico'!$N$5:$N$1000,$N72)&amp;"")</f>
        <v/>
      </c>
      <c r="N72">
        <f>IFERROR(MATCH(ROW()-4,rOrden_ATR,0),"")</f>
        <v/>
      </c>
      <c r="O72">
        <f>IF($N72="","",INDEX('Cronograma Asistente Técnico'!$S$5:$S$1000,$N72))</f>
        <v/>
      </c>
      <c r="P72">
        <f>IF($N72="","",N(INDEX('Cronograma Asistente Técnico'!$T$5:$T$1000,$N72)))</f>
        <v/>
      </c>
    </row>
    <row r="73">
      <c r="A73" s="62">
        <f>IF($N73="","",INDEX('Cronograma Asistente Técnico'!$A$5:$A$1000,$N73))</f>
        <v/>
      </c>
      <c r="B73" s="71">
        <f>IF($N73="","",IF($O73="Sub","      ↳  "&amp;INDEX('Cronograma Asistente Técnico'!$C$5:$C$1000,$N73),INDEX('Cronograma Asistente Técnico'!$C$5:$C$1000,$N73)&amp;""))</f>
        <v/>
      </c>
      <c r="C73" s="77">
        <f>IF($N73="","",IF(INDEX('Cronograma Asistente Técnico'!$D$5:$D$1000,$N73)="","",INDEX('Cronograma Asistente Técnico'!$D$5:$D$1000,$N73)))</f>
        <v/>
      </c>
      <c r="D73" s="77">
        <f>IF($N73="","",IF(INDEX('Cronograma Asistente Técnico'!$E$5:$E$1000,$N73)="","",INDEX('Cronograma Asistente Técnico'!$E$5:$E$1000,$N73)))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Asistente Técnico'!$Y$5:$Y$1000,$N73),""),IF(INDEX('Cronograma Asistente Técnico'!$G$5:$G$1000,$N73)="","",INDEX('Cronograma Asistente Técnico'!$G$5:$G$1000,$N73))))</f>
        <v/>
      </c>
      <c r="G73" s="68">
        <f>IF($N73="","",IF($P73&gt;0,IF(2&lt;=SemanaActual,INDEX('Cronograma Asistente Técnico'!$Z$5:$Z$1000,$N73),""),IF(INDEX('Cronograma Asistente Técnico'!$H$5:$H$1000,$N73)="","",INDEX('Cronograma Asistente Técnico'!$H$5:$H$1000,$N73))))</f>
        <v/>
      </c>
      <c r="H73" s="68">
        <f>IF($N73="","",IF($P73&gt;0,IF(3&lt;=SemanaActual,INDEX('Cronograma Asistente Técnico'!$AA$5:$AA$1000,$N73),""),IF(INDEX('Cronograma Asistente Técnico'!$I$5:$I$1000,$N73)="","",INDEX('Cronograma Asistente Técnico'!$I$5:$I$1000,$N73))))</f>
        <v/>
      </c>
      <c r="I73" s="68">
        <f>IF($N73="","",IF($P73&gt;0,IF(4&lt;=SemanaActual,INDEX('Cronograma Asistente Técnico'!$AB$5:$AB$1000,$N73),""),IF(INDEX('Cronograma Asistente Técnico'!$J$5:$J$1000,$N73)="","",INDEX('Cronograma Asistente Técnico'!$J$5:$J$1000,$N73))))</f>
        <v/>
      </c>
      <c r="J73" s="68">
        <f>IF($N73="","",INDEX('Cronograma Asistente Técnico'!$K$5:$K$1000,$N73))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Asistente Técnico'!$M$5:$M$1000,$N73)&amp;"")</f>
        <v/>
      </c>
      <c r="M73" s="71">
        <f>IF($N73="","",INDEX('Cronograma Asistente Técnico'!$N$5:$N$1000,$N73)&amp;"")</f>
        <v/>
      </c>
      <c r="N73">
        <f>IFERROR(MATCH(ROW()-4,rOrden_ATR,0),"")</f>
        <v/>
      </c>
      <c r="O73">
        <f>IF($N73="","",INDEX('Cronograma Asistente Técnico'!$S$5:$S$1000,$N73))</f>
        <v/>
      </c>
      <c r="P73">
        <f>IF($N73="","",N(INDEX('Cronograma Asistente Técnico'!$T$5:$T$1000,$N73)))</f>
        <v/>
      </c>
    </row>
    <row r="74">
      <c r="A74" s="62">
        <f>IF($N74="","",INDEX('Cronograma Asistente Técnico'!$A$5:$A$1000,$N74))</f>
        <v/>
      </c>
      <c r="B74" s="71">
        <f>IF($N74="","",IF($O74="Sub","      ↳  "&amp;INDEX('Cronograma Asistente Técnico'!$C$5:$C$1000,$N74),INDEX('Cronograma Asistente Técnico'!$C$5:$C$1000,$N74)&amp;""))</f>
        <v/>
      </c>
      <c r="C74" s="77">
        <f>IF($N74="","",IF(INDEX('Cronograma Asistente Técnico'!$D$5:$D$1000,$N74)="","",INDEX('Cronograma Asistente Técnico'!$D$5:$D$1000,$N74)))</f>
        <v/>
      </c>
      <c r="D74" s="77">
        <f>IF($N74="","",IF(INDEX('Cronograma Asistente Técnico'!$E$5:$E$1000,$N74)="","",INDEX('Cronograma Asistente Técnico'!$E$5:$E$1000,$N74)))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Asistente Técnico'!$Y$5:$Y$1000,$N74),""),IF(INDEX('Cronograma Asistente Técnico'!$G$5:$G$1000,$N74)="","",INDEX('Cronograma Asistente Técnico'!$G$5:$G$1000,$N74))))</f>
        <v/>
      </c>
      <c r="G74" s="68">
        <f>IF($N74="","",IF($P74&gt;0,IF(2&lt;=SemanaActual,INDEX('Cronograma Asistente Técnico'!$Z$5:$Z$1000,$N74),""),IF(INDEX('Cronograma Asistente Técnico'!$H$5:$H$1000,$N74)="","",INDEX('Cronograma Asistente Técnico'!$H$5:$H$1000,$N74))))</f>
        <v/>
      </c>
      <c r="H74" s="68">
        <f>IF($N74="","",IF($P74&gt;0,IF(3&lt;=SemanaActual,INDEX('Cronograma Asistente Técnico'!$AA$5:$AA$1000,$N74),""),IF(INDEX('Cronograma Asistente Técnico'!$I$5:$I$1000,$N74)="","",INDEX('Cronograma Asistente Técnico'!$I$5:$I$1000,$N74))))</f>
        <v/>
      </c>
      <c r="I74" s="68">
        <f>IF($N74="","",IF($P74&gt;0,IF(4&lt;=SemanaActual,INDEX('Cronograma Asistente Técnico'!$AB$5:$AB$1000,$N74),""),IF(INDEX('Cronograma Asistente Técnico'!$J$5:$J$1000,$N74)="","",INDEX('Cronograma Asistente Técnico'!$J$5:$J$1000,$N74))))</f>
        <v/>
      </c>
      <c r="J74" s="68">
        <f>IF($N74="","",INDEX('Cronograma Asistente Técnico'!$K$5:$K$1000,$N74))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Asistente Técnico'!$M$5:$M$1000,$N74)&amp;"")</f>
        <v/>
      </c>
      <c r="M74" s="71">
        <f>IF($N74="","",INDEX('Cronograma Asistente Técnico'!$N$5:$N$1000,$N74)&amp;"")</f>
        <v/>
      </c>
      <c r="N74">
        <f>IFERROR(MATCH(ROW()-4,rOrden_ATR,0),"")</f>
        <v/>
      </c>
      <c r="O74">
        <f>IF($N74="","",INDEX('Cronograma Asistente Técnico'!$S$5:$S$1000,$N74))</f>
        <v/>
      </c>
      <c r="P74">
        <f>IF($N74="","",N(INDEX('Cronograma Asistente Técnico'!$T$5:$T$1000,$N74)))</f>
        <v/>
      </c>
    </row>
    <row r="75">
      <c r="A75" s="62">
        <f>IF($N75="","",INDEX('Cronograma Asistente Técnico'!$A$5:$A$1000,$N75))</f>
        <v/>
      </c>
      <c r="B75" s="71">
        <f>IF($N75="","",IF($O75="Sub","      ↳  "&amp;INDEX('Cronograma Asistente Técnico'!$C$5:$C$1000,$N75),INDEX('Cronograma Asistente Técnico'!$C$5:$C$1000,$N75)&amp;""))</f>
        <v/>
      </c>
      <c r="C75" s="77">
        <f>IF($N75="","",IF(INDEX('Cronograma Asistente Técnico'!$D$5:$D$1000,$N75)="","",INDEX('Cronograma Asistente Técnico'!$D$5:$D$1000,$N75)))</f>
        <v/>
      </c>
      <c r="D75" s="77">
        <f>IF($N75="","",IF(INDEX('Cronograma Asistente Técnico'!$E$5:$E$1000,$N75)="","",INDEX('Cronograma Asistente Técnico'!$E$5:$E$1000,$N75)))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Asistente Técnico'!$Y$5:$Y$1000,$N75),""),IF(INDEX('Cronograma Asistente Técnico'!$G$5:$G$1000,$N75)="","",INDEX('Cronograma Asistente Técnico'!$G$5:$G$1000,$N75))))</f>
        <v/>
      </c>
      <c r="G75" s="68">
        <f>IF($N75="","",IF($P75&gt;0,IF(2&lt;=SemanaActual,INDEX('Cronograma Asistente Técnico'!$Z$5:$Z$1000,$N75),""),IF(INDEX('Cronograma Asistente Técnico'!$H$5:$H$1000,$N75)="","",INDEX('Cronograma Asistente Técnico'!$H$5:$H$1000,$N75))))</f>
        <v/>
      </c>
      <c r="H75" s="68">
        <f>IF($N75="","",IF($P75&gt;0,IF(3&lt;=SemanaActual,INDEX('Cronograma Asistente Técnico'!$AA$5:$AA$1000,$N75),""),IF(INDEX('Cronograma Asistente Técnico'!$I$5:$I$1000,$N75)="","",INDEX('Cronograma Asistente Técnico'!$I$5:$I$1000,$N75))))</f>
        <v/>
      </c>
      <c r="I75" s="68">
        <f>IF($N75="","",IF($P75&gt;0,IF(4&lt;=SemanaActual,INDEX('Cronograma Asistente Técnico'!$AB$5:$AB$1000,$N75),""),IF(INDEX('Cronograma Asistente Técnico'!$J$5:$J$1000,$N75)="","",INDEX('Cronograma Asistente Técnico'!$J$5:$J$1000,$N75))))</f>
        <v/>
      </c>
      <c r="J75" s="68">
        <f>IF($N75="","",INDEX('Cronograma Asistente Técnico'!$K$5:$K$1000,$N75))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Asistente Técnico'!$M$5:$M$1000,$N75)&amp;"")</f>
        <v/>
      </c>
      <c r="M75" s="71">
        <f>IF($N75="","",INDEX('Cronograma Asistente Técnico'!$N$5:$N$1000,$N75)&amp;"")</f>
        <v/>
      </c>
      <c r="N75">
        <f>IFERROR(MATCH(ROW()-4,rOrden_ATR,0),"")</f>
        <v/>
      </c>
      <c r="O75">
        <f>IF($N75="","",INDEX('Cronograma Asistente Técnico'!$S$5:$S$1000,$N75))</f>
        <v/>
      </c>
      <c r="P75">
        <f>IF($N75="","",N(INDEX('Cronograma Asistente Técnico'!$T$5:$T$1000,$N75)))</f>
        <v/>
      </c>
    </row>
    <row r="76">
      <c r="A76" s="62">
        <f>IF($N76="","",INDEX('Cronograma Asistente Técnico'!$A$5:$A$1000,$N76))</f>
        <v/>
      </c>
      <c r="B76" s="71">
        <f>IF($N76="","",IF($O76="Sub","      ↳  "&amp;INDEX('Cronograma Asistente Técnico'!$C$5:$C$1000,$N76),INDEX('Cronograma Asistente Técnico'!$C$5:$C$1000,$N76)&amp;""))</f>
        <v/>
      </c>
      <c r="C76" s="77">
        <f>IF($N76="","",IF(INDEX('Cronograma Asistente Técnico'!$D$5:$D$1000,$N76)="","",INDEX('Cronograma Asistente Técnico'!$D$5:$D$1000,$N76)))</f>
        <v/>
      </c>
      <c r="D76" s="77">
        <f>IF($N76="","",IF(INDEX('Cronograma Asistente Técnico'!$E$5:$E$1000,$N76)="","",INDEX('Cronograma Asistente Técnico'!$E$5:$E$1000,$N76)))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Asistente Técnico'!$Y$5:$Y$1000,$N76),""),IF(INDEX('Cronograma Asistente Técnico'!$G$5:$G$1000,$N76)="","",INDEX('Cronograma Asistente Técnico'!$G$5:$G$1000,$N76))))</f>
        <v/>
      </c>
      <c r="G76" s="68">
        <f>IF($N76="","",IF($P76&gt;0,IF(2&lt;=SemanaActual,INDEX('Cronograma Asistente Técnico'!$Z$5:$Z$1000,$N76),""),IF(INDEX('Cronograma Asistente Técnico'!$H$5:$H$1000,$N76)="","",INDEX('Cronograma Asistente Técnico'!$H$5:$H$1000,$N76))))</f>
        <v/>
      </c>
      <c r="H76" s="68">
        <f>IF($N76="","",IF($P76&gt;0,IF(3&lt;=SemanaActual,INDEX('Cronograma Asistente Técnico'!$AA$5:$AA$1000,$N76),""),IF(INDEX('Cronograma Asistente Técnico'!$I$5:$I$1000,$N76)="","",INDEX('Cronograma Asistente Técnico'!$I$5:$I$1000,$N76))))</f>
        <v/>
      </c>
      <c r="I76" s="68">
        <f>IF($N76="","",IF($P76&gt;0,IF(4&lt;=SemanaActual,INDEX('Cronograma Asistente Técnico'!$AB$5:$AB$1000,$N76),""),IF(INDEX('Cronograma Asistente Técnico'!$J$5:$J$1000,$N76)="","",INDEX('Cronograma Asistente Técnico'!$J$5:$J$1000,$N76))))</f>
        <v/>
      </c>
      <c r="J76" s="68">
        <f>IF($N76="","",INDEX('Cronograma Asistente Técnico'!$K$5:$K$1000,$N76))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Asistente Técnico'!$M$5:$M$1000,$N76)&amp;"")</f>
        <v/>
      </c>
      <c r="M76" s="71">
        <f>IF($N76="","",INDEX('Cronograma Asistente Técnico'!$N$5:$N$1000,$N76)&amp;"")</f>
        <v/>
      </c>
      <c r="N76">
        <f>IFERROR(MATCH(ROW()-4,rOrden_ATR,0),"")</f>
        <v/>
      </c>
      <c r="O76">
        <f>IF($N76="","",INDEX('Cronograma Asistente Técnico'!$S$5:$S$1000,$N76))</f>
        <v/>
      </c>
      <c r="P76">
        <f>IF($N76="","",N(INDEX('Cronograma Asistente Técnico'!$T$5:$T$1000,$N76)))</f>
        <v/>
      </c>
    </row>
    <row r="77">
      <c r="A77" s="62">
        <f>IF($N77="","",INDEX('Cronograma Asistente Técnico'!$A$5:$A$1000,$N77))</f>
        <v/>
      </c>
      <c r="B77" s="71">
        <f>IF($N77="","",IF($O77="Sub","      ↳  "&amp;INDEX('Cronograma Asistente Técnico'!$C$5:$C$1000,$N77),INDEX('Cronograma Asistente Técnico'!$C$5:$C$1000,$N77)&amp;""))</f>
        <v/>
      </c>
      <c r="C77" s="77">
        <f>IF($N77="","",IF(INDEX('Cronograma Asistente Técnico'!$D$5:$D$1000,$N77)="","",INDEX('Cronograma Asistente Técnico'!$D$5:$D$1000,$N77)))</f>
        <v/>
      </c>
      <c r="D77" s="77">
        <f>IF($N77="","",IF(INDEX('Cronograma Asistente Técnico'!$E$5:$E$1000,$N77)="","",INDEX('Cronograma Asistente Técnico'!$E$5:$E$1000,$N77)))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Asistente Técnico'!$Y$5:$Y$1000,$N77),""),IF(INDEX('Cronograma Asistente Técnico'!$G$5:$G$1000,$N77)="","",INDEX('Cronograma Asistente Técnico'!$G$5:$G$1000,$N77))))</f>
        <v/>
      </c>
      <c r="G77" s="68">
        <f>IF($N77="","",IF($P77&gt;0,IF(2&lt;=SemanaActual,INDEX('Cronograma Asistente Técnico'!$Z$5:$Z$1000,$N77),""),IF(INDEX('Cronograma Asistente Técnico'!$H$5:$H$1000,$N77)="","",INDEX('Cronograma Asistente Técnico'!$H$5:$H$1000,$N77))))</f>
        <v/>
      </c>
      <c r="H77" s="68">
        <f>IF($N77="","",IF($P77&gt;0,IF(3&lt;=SemanaActual,INDEX('Cronograma Asistente Técnico'!$AA$5:$AA$1000,$N77),""),IF(INDEX('Cronograma Asistente Técnico'!$I$5:$I$1000,$N77)="","",INDEX('Cronograma Asistente Técnico'!$I$5:$I$1000,$N77))))</f>
        <v/>
      </c>
      <c r="I77" s="68">
        <f>IF($N77="","",IF($P77&gt;0,IF(4&lt;=SemanaActual,INDEX('Cronograma Asistente Técnico'!$AB$5:$AB$1000,$N77),""),IF(INDEX('Cronograma Asistente Técnico'!$J$5:$J$1000,$N77)="","",INDEX('Cronograma Asistente Técnico'!$J$5:$J$1000,$N77))))</f>
        <v/>
      </c>
      <c r="J77" s="68">
        <f>IF($N77="","",INDEX('Cronograma Asistente Técnico'!$K$5:$K$1000,$N77))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Asistente Técnico'!$M$5:$M$1000,$N77)&amp;"")</f>
        <v/>
      </c>
      <c r="M77" s="71">
        <f>IF($N77="","",INDEX('Cronograma Asistente Técnico'!$N$5:$N$1000,$N77)&amp;"")</f>
        <v/>
      </c>
      <c r="N77">
        <f>IFERROR(MATCH(ROW()-4,rOrden_ATR,0),"")</f>
        <v/>
      </c>
      <c r="O77">
        <f>IF($N77="","",INDEX('Cronograma Asistente Técnico'!$S$5:$S$1000,$N77))</f>
        <v/>
      </c>
      <c r="P77">
        <f>IF($N77="","",N(INDEX('Cronograma Asistente Técnico'!$T$5:$T$1000,$N77)))</f>
        <v/>
      </c>
    </row>
    <row r="78">
      <c r="A78" s="62">
        <f>IF($N78="","",INDEX('Cronograma Asistente Técnico'!$A$5:$A$1000,$N78))</f>
        <v/>
      </c>
      <c r="B78" s="71">
        <f>IF($N78="","",IF($O78="Sub","      ↳  "&amp;INDEX('Cronograma Asistente Técnico'!$C$5:$C$1000,$N78),INDEX('Cronograma Asistente Técnico'!$C$5:$C$1000,$N78)&amp;""))</f>
        <v/>
      </c>
      <c r="C78" s="77">
        <f>IF($N78="","",IF(INDEX('Cronograma Asistente Técnico'!$D$5:$D$1000,$N78)="","",INDEX('Cronograma Asistente Técnico'!$D$5:$D$1000,$N78)))</f>
        <v/>
      </c>
      <c r="D78" s="77">
        <f>IF($N78="","",IF(INDEX('Cronograma Asistente Técnico'!$E$5:$E$1000,$N78)="","",INDEX('Cronograma Asistente Técnico'!$E$5:$E$1000,$N78)))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Asistente Técnico'!$Y$5:$Y$1000,$N78),""),IF(INDEX('Cronograma Asistente Técnico'!$G$5:$G$1000,$N78)="","",INDEX('Cronograma Asistente Técnico'!$G$5:$G$1000,$N78))))</f>
        <v/>
      </c>
      <c r="G78" s="68">
        <f>IF($N78="","",IF($P78&gt;0,IF(2&lt;=SemanaActual,INDEX('Cronograma Asistente Técnico'!$Z$5:$Z$1000,$N78),""),IF(INDEX('Cronograma Asistente Técnico'!$H$5:$H$1000,$N78)="","",INDEX('Cronograma Asistente Técnico'!$H$5:$H$1000,$N78))))</f>
        <v/>
      </c>
      <c r="H78" s="68">
        <f>IF($N78="","",IF($P78&gt;0,IF(3&lt;=SemanaActual,INDEX('Cronograma Asistente Técnico'!$AA$5:$AA$1000,$N78),""),IF(INDEX('Cronograma Asistente Técnico'!$I$5:$I$1000,$N78)="","",INDEX('Cronograma Asistente Técnico'!$I$5:$I$1000,$N78))))</f>
        <v/>
      </c>
      <c r="I78" s="68">
        <f>IF($N78="","",IF($P78&gt;0,IF(4&lt;=SemanaActual,INDEX('Cronograma Asistente Técnico'!$AB$5:$AB$1000,$N78),""),IF(INDEX('Cronograma Asistente Técnico'!$J$5:$J$1000,$N78)="","",INDEX('Cronograma Asistente Técnico'!$J$5:$J$1000,$N78))))</f>
        <v/>
      </c>
      <c r="J78" s="68">
        <f>IF($N78="","",INDEX('Cronograma Asistente Técnico'!$K$5:$K$1000,$N78))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Asistente Técnico'!$M$5:$M$1000,$N78)&amp;"")</f>
        <v/>
      </c>
      <c r="M78" s="71">
        <f>IF($N78="","",INDEX('Cronograma Asistente Técnico'!$N$5:$N$1000,$N78)&amp;"")</f>
        <v/>
      </c>
      <c r="N78">
        <f>IFERROR(MATCH(ROW()-4,rOrden_ATR,0),"")</f>
        <v/>
      </c>
      <c r="O78">
        <f>IF($N78="","",INDEX('Cronograma Asistente Técnico'!$S$5:$S$1000,$N78))</f>
        <v/>
      </c>
      <c r="P78">
        <f>IF($N78="","",N(INDEX('Cronograma Asistente Técnico'!$T$5:$T$1000,$N78)))</f>
        <v/>
      </c>
    </row>
    <row r="79">
      <c r="A79" s="62">
        <f>IF($N79="","",INDEX('Cronograma Asistente Técnico'!$A$5:$A$1000,$N79))</f>
        <v/>
      </c>
      <c r="B79" s="71">
        <f>IF($N79="","",IF($O79="Sub","      ↳  "&amp;INDEX('Cronograma Asistente Técnico'!$C$5:$C$1000,$N79),INDEX('Cronograma Asistente Técnico'!$C$5:$C$1000,$N79)&amp;""))</f>
        <v/>
      </c>
      <c r="C79" s="77">
        <f>IF($N79="","",IF(INDEX('Cronograma Asistente Técnico'!$D$5:$D$1000,$N79)="","",INDEX('Cronograma Asistente Técnico'!$D$5:$D$1000,$N79)))</f>
        <v/>
      </c>
      <c r="D79" s="77">
        <f>IF($N79="","",IF(INDEX('Cronograma Asistente Técnico'!$E$5:$E$1000,$N79)="","",INDEX('Cronograma Asistente Técnico'!$E$5:$E$1000,$N79)))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Asistente Técnico'!$Y$5:$Y$1000,$N79),""),IF(INDEX('Cronograma Asistente Técnico'!$G$5:$G$1000,$N79)="","",INDEX('Cronograma Asistente Técnico'!$G$5:$G$1000,$N79))))</f>
        <v/>
      </c>
      <c r="G79" s="68">
        <f>IF($N79="","",IF($P79&gt;0,IF(2&lt;=SemanaActual,INDEX('Cronograma Asistente Técnico'!$Z$5:$Z$1000,$N79),""),IF(INDEX('Cronograma Asistente Técnico'!$H$5:$H$1000,$N79)="","",INDEX('Cronograma Asistente Técnico'!$H$5:$H$1000,$N79))))</f>
        <v/>
      </c>
      <c r="H79" s="68">
        <f>IF($N79="","",IF($P79&gt;0,IF(3&lt;=SemanaActual,INDEX('Cronograma Asistente Técnico'!$AA$5:$AA$1000,$N79),""),IF(INDEX('Cronograma Asistente Técnico'!$I$5:$I$1000,$N79)="","",INDEX('Cronograma Asistente Técnico'!$I$5:$I$1000,$N79))))</f>
        <v/>
      </c>
      <c r="I79" s="68">
        <f>IF($N79="","",IF($P79&gt;0,IF(4&lt;=SemanaActual,INDEX('Cronograma Asistente Técnico'!$AB$5:$AB$1000,$N79),""),IF(INDEX('Cronograma Asistente Técnico'!$J$5:$J$1000,$N79)="","",INDEX('Cronograma Asistente Técnico'!$J$5:$J$1000,$N79))))</f>
        <v/>
      </c>
      <c r="J79" s="68">
        <f>IF($N79="","",INDEX('Cronograma Asistente Técnico'!$K$5:$K$1000,$N79))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Asistente Técnico'!$M$5:$M$1000,$N79)&amp;"")</f>
        <v/>
      </c>
      <c r="M79" s="71">
        <f>IF($N79="","",INDEX('Cronograma Asistente Técnico'!$N$5:$N$1000,$N79)&amp;"")</f>
        <v/>
      </c>
      <c r="N79">
        <f>IFERROR(MATCH(ROW()-4,rOrden_ATR,0),"")</f>
        <v/>
      </c>
      <c r="O79">
        <f>IF($N79="","",INDEX('Cronograma Asistente Técnico'!$S$5:$S$1000,$N79))</f>
        <v/>
      </c>
      <c r="P79">
        <f>IF($N79="","",N(INDEX('Cronograma Asistente Técnico'!$T$5:$T$1000,$N79)))</f>
        <v/>
      </c>
    </row>
    <row r="80">
      <c r="A80" s="62">
        <f>IF($N80="","",INDEX('Cronograma Asistente Técnico'!$A$5:$A$1000,$N80))</f>
        <v/>
      </c>
      <c r="B80" s="71">
        <f>IF($N80="","",IF($O80="Sub","      ↳  "&amp;INDEX('Cronograma Asistente Técnico'!$C$5:$C$1000,$N80),INDEX('Cronograma Asistente Técnico'!$C$5:$C$1000,$N80)&amp;""))</f>
        <v/>
      </c>
      <c r="C80" s="77">
        <f>IF($N80="","",IF(INDEX('Cronograma Asistente Técnico'!$D$5:$D$1000,$N80)="","",INDEX('Cronograma Asistente Técnico'!$D$5:$D$1000,$N80)))</f>
        <v/>
      </c>
      <c r="D80" s="77">
        <f>IF($N80="","",IF(INDEX('Cronograma Asistente Técnico'!$E$5:$E$1000,$N80)="","",INDEX('Cronograma Asistente Técnico'!$E$5:$E$1000,$N80)))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Asistente Técnico'!$Y$5:$Y$1000,$N80),""),IF(INDEX('Cronograma Asistente Técnico'!$G$5:$G$1000,$N80)="","",INDEX('Cronograma Asistente Técnico'!$G$5:$G$1000,$N80))))</f>
        <v/>
      </c>
      <c r="G80" s="68">
        <f>IF($N80="","",IF($P80&gt;0,IF(2&lt;=SemanaActual,INDEX('Cronograma Asistente Técnico'!$Z$5:$Z$1000,$N80),""),IF(INDEX('Cronograma Asistente Técnico'!$H$5:$H$1000,$N80)="","",INDEX('Cronograma Asistente Técnico'!$H$5:$H$1000,$N80))))</f>
        <v/>
      </c>
      <c r="H80" s="68">
        <f>IF($N80="","",IF($P80&gt;0,IF(3&lt;=SemanaActual,INDEX('Cronograma Asistente Técnico'!$AA$5:$AA$1000,$N80),""),IF(INDEX('Cronograma Asistente Técnico'!$I$5:$I$1000,$N80)="","",INDEX('Cronograma Asistente Técnico'!$I$5:$I$1000,$N80))))</f>
        <v/>
      </c>
      <c r="I80" s="68">
        <f>IF($N80="","",IF($P80&gt;0,IF(4&lt;=SemanaActual,INDEX('Cronograma Asistente Técnico'!$AB$5:$AB$1000,$N80),""),IF(INDEX('Cronograma Asistente Técnico'!$J$5:$J$1000,$N80)="","",INDEX('Cronograma Asistente Técnico'!$J$5:$J$1000,$N80))))</f>
        <v/>
      </c>
      <c r="J80" s="68">
        <f>IF($N80="","",INDEX('Cronograma Asistente Técnico'!$K$5:$K$1000,$N80))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Asistente Técnico'!$M$5:$M$1000,$N80)&amp;"")</f>
        <v/>
      </c>
      <c r="M80" s="71">
        <f>IF($N80="","",INDEX('Cronograma Asistente Técnico'!$N$5:$N$1000,$N80)&amp;"")</f>
        <v/>
      </c>
      <c r="N80">
        <f>IFERROR(MATCH(ROW()-4,rOrden_ATR,0),"")</f>
        <v/>
      </c>
      <c r="O80">
        <f>IF($N80="","",INDEX('Cronograma Asistente Técnico'!$S$5:$S$1000,$N80))</f>
        <v/>
      </c>
      <c r="P80">
        <f>IF($N80="","",N(INDEX('Cronograma Asistente Técnico'!$T$5:$T$1000,$N80)))</f>
        <v/>
      </c>
    </row>
    <row r="81">
      <c r="A81" s="62">
        <f>IF($N81="","",INDEX('Cronograma Asistente Técnico'!$A$5:$A$1000,$N81))</f>
        <v/>
      </c>
      <c r="B81" s="71">
        <f>IF($N81="","",IF($O81="Sub","      ↳  "&amp;INDEX('Cronograma Asistente Técnico'!$C$5:$C$1000,$N81),INDEX('Cronograma Asistente Técnico'!$C$5:$C$1000,$N81)&amp;""))</f>
        <v/>
      </c>
      <c r="C81" s="77">
        <f>IF($N81="","",IF(INDEX('Cronograma Asistente Técnico'!$D$5:$D$1000,$N81)="","",INDEX('Cronograma Asistente Técnico'!$D$5:$D$1000,$N81)))</f>
        <v/>
      </c>
      <c r="D81" s="77">
        <f>IF($N81="","",IF(INDEX('Cronograma Asistente Técnico'!$E$5:$E$1000,$N81)="","",INDEX('Cronograma Asistente Técnico'!$E$5:$E$1000,$N81)))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Asistente Técnico'!$Y$5:$Y$1000,$N81),""),IF(INDEX('Cronograma Asistente Técnico'!$G$5:$G$1000,$N81)="","",INDEX('Cronograma Asistente Técnico'!$G$5:$G$1000,$N81))))</f>
        <v/>
      </c>
      <c r="G81" s="68">
        <f>IF($N81="","",IF($P81&gt;0,IF(2&lt;=SemanaActual,INDEX('Cronograma Asistente Técnico'!$Z$5:$Z$1000,$N81),""),IF(INDEX('Cronograma Asistente Técnico'!$H$5:$H$1000,$N81)="","",INDEX('Cronograma Asistente Técnico'!$H$5:$H$1000,$N81))))</f>
        <v/>
      </c>
      <c r="H81" s="68">
        <f>IF($N81="","",IF($P81&gt;0,IF(3&lt;=SemanaActual,INDEX('Cronograma Asistente Técnico'!$AA$5:$AA$1000,$N81),""),IF(INDEX('Cronograma Asistente Técnico'!$I$5:$I$1000,$N81)="","",INDEX('Cronograma Asistente Técnico'!$I$5:$I$1000,$N81))))</f>
        <v/>
      </c>
      <c r="I81" s="68">
        <f>IF($N81="","",IF($P81&gt;0,IF(4&lt;=SemanaActual,INDEX('Cronograma Asistente Técnico'!$AB$5:$AB$1000,$N81),""),IF(INDEX('Cronograma Asistente Técnico'!$J$5:$J$1000,$N81)="","",INDEX('Cronograma Asistente Técnico'!$J$5:$J$1000,$N81))))</f>
        <v/>
      </c>
      <c r="J81" s="68">
        <f>IF($N81="","",INDEX('Cronograma Asistente Técnico'!$K$5:$K$1000,$N81))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Asistente Técnico'!$M$5:$M$1000,$N81)&amp;"")</f>
        <v/>
      </c>
      <c r="M81" s="71">
        <f>IF($N81="","",INDEX('Cronograma Asistente Técnico'!$N$5:$N$1000,$N81)&amp;"")</f>
        <v/>
      </c>
      <c r="N81">
        <f>IFERROR(MATCH(ROW()-4,rOrden_ATR,0),"")</f>
        <v/>
      </c>
      <c r="O81">
        <f>IF($N81="","",INDEX('Cronograma Asistente Técnico'!$S$5:$S$1000,$N81))</f>
        <v/>
      </c>
      <c r="P81">
        <f>IF($N81="","",N(INDEX('Cronograma Asistente Técnico'!$T$5:$T$1000,$N81)))</f>
        <v/>
      </c>
    </row>
    <row r="82">
      <c r="A82" s="62">
        <f>IF($N82="","",INDEX('Cronograma Asistente Técnico'!$A$5:$A$1000,$N82))</f>
        <v/>
      </c>
      <c r="B82" s="71">
        <f>IF($N82="","",IF($O82="Sub","      ↳  "&amp;INDEX('Cronograma Asistente Técnico'!$C$5:$C$1000,$N82),INDEX('Cronograma Asistente Técnico'!$C$5:$C$1000,$N82)&amp;""))</f>
        <v/>
      </c>
      <c r="C82" s="77">
        <f>IF($N82="","",IF(INDEX('Cronograma Asistente Técnico'!$D$5:$D$1000,$N82)="","",INDEX('Cronograma Asistente Técnico'!$D$5:$D$1000,$N82)))</f>
        <v/>
      </c>
      <c r="D82" s="77">
        <f>IF($N82="","",IF(INDEX('Cronograma Asistente Técnico'!$E$5:$E$1000,$N82)="","",INDEX('Cronograma Asistente Técnico'!$E$5:$E$1000,$N82)))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Asistente Técnico'!$Y$5:$Y$1000,$N82),""),IF(INDEX('Cronograma Asistente Técnico'!$G$5:$G$1000,$N82)="","",INDEX('Cronograma Asistente Técnico'!$G$5:$G$1000,$N82))))</f>
        <v/>
      </c>
      <c r="G82" s="68">
        <f>IF($N82="","",IF($P82&gt;0,IF(2&lt;=SemanaActual,INDEX('Cronograma Asistente Técnico'!$Z$5:$Z$1000,$N82),""),IF(INDEX('Cronograma Asistente Técnico'!$H$5:$H$1000,$N82)="","",INDEX('Cronograma Asistente Técnico'!$H$5:$H$1000,$N82))))</f>
        <v/>
      </c>
      <c r="H82" s="68">
        <f>IF($N82="","",IF($P82&gt;0,IF(3&lt;=SemanaActual,INDEX('Cronograma Asistente Técnico'!$AA$5:$AA$1000,$N82),""),IF(INDEX('Cronograma Asistente Técnico'!$I$5:$I$1000,$N82)="","",INDEX('Cronograma Asistente Técnico'!$I$5:$I$1000,$N82))))</f>
        <v/>
      </c>
      <c r="I82" s="68">
        <f>IF($N82="","",IF($P82&gt;0,IF(4&lt;=SemanaActual,INDEX('Cronograma Asistente Técnico'!$AB$5:$AB$1000,$N82),""),IF(INDEX('Cronograma Asistente Técnico'!$J$5:$J$1000,$N82)="","",INDEX('Cronograma Asistente Técnico'!$J$5:$J$1000,$N82))))</f>
        <v/>
      </c>
      <c r="J82" s="68">
        <f>IF($N82="","",INDEX('Cronograma Asistente Técnico'!$K$5:$K$1000,$N82))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Asistente Técnico'!$M$5:$M$1000,$N82)&amp;"")</f>
        <v/>
      </c>
      <c r="M82" s="71">
        <f>IF($N82="","",INDEX('Cronograma Asistente Técnico'!$N$5:$N$1000,$N82)&amp;"")</f>
        <v/>
      </c>
      <c r="N82">
        <f>IFERROR(MATCH(ROW()-4,rOrden_ATR,0),"")</f>
        <v/>
      </c>
      <c r="O82">
        <f>IF($N82="","",INDEX('Cronograma Asistente Técnico'!$S$5:$S$1000,$N82))</f>
        <v/>
      </c>
      <c r="P82">
        <f>IF($N82="","",N(INDEX('Cronograma Asistente Técnico'!$T$5:$T$1000,$N82)))</f>
        <v/>
      </c>
    </row>
    <row r="83">
      <c r="A83" s="62">
        <f>IF($N83="","",INDEX('Cronograma Asistente Técnico'!$A$5:$A$1000,$N83))</f>
        <v/>
      </c>
      <c r="B83" s="71">
        <f>IF($N83="","",IF($O83="Sub","      ↳  "&amp;INDEX('Cronograma Asistente Técnico'!$C$5:$C$1000,$N83),INDEX('Cronograma Asistente Técnico'!$C$5:$C$1000,$N83)&amp;""))</f>
        <v/>
      </c>
      <c r="C83" s="77">
        <f>IF($N83="","",IF(INDEX('Cronograma Asistente Técnico'!$D$5:$D$1000,$N83)="","",INDEX('Cronograma Asistente Técnico'!$D$5:$D$1000,$N83)))</f>
        <v/>
      </c>
      <c r="D83" s="77">
        <f>IF($N83="","",IF(INDEX('Cronograma Asistente Técnico'!$E$5:$E$1000,$N83)="","",INDEX('Cronograma Asistente Técnico'!$E$5:$E$1000,$N83)))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Asistente Técnico'!$Y$5:$Y$1000,$N83),""),IF(INDEX('Cronograma Asistente Técnico'!$G$5:$G$1000,$N83)="","",INDEX('Cronograma Asistente Técnico'!$G$5:$G$1000,$N83))))</f>
        <v/>
      </c>
      <c r="G83" s="68">
        <f>IF($N83="","",IF($P83&gt;0,IF(2&lt;=SemanaActual,INDEX('Cronograma Asistente Técnico'!$Z$5:$Z$1000,$N83),""),IF(INDEX('Cronograma Asistente Técnico'!$H$5:$H$1000,$N83)="","",INDEX('Cronograma Asistente Técnico'!$H$5:$H$1000,$N83))))</f>
        <v/>
      </c>
      <c r="H83" s="68">
        <f>IF($N83="","",IF($P83&gt;0,IF(3&lt;=SemanaActual,INDEX('Cronograma Asistente Técnico'!$AA$5:$AA$1000,$N83),""),IF(INDEX('Cronograma Asistente Técnico'!$I$5:$I$1000,$N83)="","",INDEX('Cronograma Asistente Técnico'!$I$5:$I$1000,$N83))))</f>
        <v/>
      </c>
      <c r="I83" s="68">
        <f>IF($N83="","",IF($P83&gt;0,IF(4&lt;=SemanaActual,INDEX('Cronograma Asistente Técnico'!$AB$5:$AB$1000,$N83),""),IF(INDEX('Cronograma Asistente Técnico'!$J$5:$J$1000,$N83)="","",INDEX('Cronograma Asistente Técnico'!$J$5:$J$1000,$N83))))</f>
        <v/>
      </c>
      <c r="J83" s="68">
        <f>IF($N83="","",INDEX('Cronograma Asistente Técnico'!$K$5:$K$1000,$N83))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Asistente Técnico'!$M$5:$M$1000,$N83)&amp;"")</f>
        <v/>
      </c>
      <c r="M83" s="71">
        <f>IF($N83="","",INDEX('Cronograma Asistente Técnico'!$N$5:$N$1000,$N83)&amp;"")</f>
        <v/>
      </c>
      <c r="N83">
        <f>IFERROR(MATCH(ROW()-4,rOrden_ATR,0),"")</f>
        <v/>
      </c>
      <c r="O83">
        <f>IF($N83="","",INDEX('Cronograma Asistente Técnico'!$S$5:$S$1000,$N83))</f>
        <v/>
      </c>
      <c r="P83">
        <f>IF($N83="","",N(INDEX('Cronograma Asistente Técnico'!$T$5:$T$1000,$N83)))</f>
        <v/>
      </c>
    </row>
    <row r="84">
      <c r="A84" s="62">
        <f>IF($N84="","",INDEX('Cronograma Asistente Técnico'!$A$5:$A$1000,$N84))</f>
        <v/>
      </c>
      <c r="B84" s="71">
        <f>IF($N84="","",IF($O84="Sub","      ↳  "&amp;INDEX('Cronograma Asistente Técnico'!$C$5:$C$1000,$N84),INDEX('Cronograma Asistente Técnico'!$C$5:$C$1000,$N84)&amp;""))</f>
        <v/>
      </c>
      <c r="C84" s="77">
        <f>IF($N84="","",IF(INDEX('Cronograma Asistente Técnico'!$D$5:$D$1000,$N84)="","",INDEX('Cronograma Asistente Técnico'!$D$5:$D$1000,$N84)))</f>
        <v/>
      </c>
      <c r="D84" s="77">
        <f>IF($N84="","",IF(INDEX('Cronograma Asistente Técnico'!$E$5:$E$1000,$N84)="","",INDEX('Cronograma Asistente Técnico'!$E$5:$E$1000,$N84)))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Asistente Técnico'!$Y$5:$Y$1000,$N84),""),IF(INDEX('Cronograma Asistente Técnico'!$G$5:$G$1000,$N84)="","",INDEX('Cronograma Asistente Técnico'!$G$5:$G$1000,$N84))))</f>
        <v/>
      </c>
      <c r="G84" s="68">
        <f>IF($N84="","",IF($P84&gt;0,IF(2&lt;=SemanaActual,INDEX('Cronograma Asistente Técnico'!$Z$5:$Z$1000,$N84),""),IF(INDEX('Cronograma Asistente Técnico'!$H$5:$H$1000,$N84)="","",INDEX('Cronograma Asistente Técnico'!$H$5:$H$1000,$N84))))</f>
        <v/>
      </c>
      <c r="H84" s="68">
        <f>IF($N84="","",IF($P84&gt;0,IF(3&lt;=SemanaActual,INDEX('Cronograma Asistente Técnico'!$AA$5:$AA$1000,$N84),""),IF(INDEX('Cronograma Asistente Técnico'!$I$5:$I$1000,$N84)="","",INDEX('Cronograma Asistente Técnico'!$I$5:$I$1000,$N84))))</f>
        <v/>
      </c>
      <c r="I84" s="68">
        <f>IF($N84="","",IF($P84&gt;0,IF(4&lt;=SemanaActual,INDEX('Cronograma Asistente Técnico'!$AB$5:$AB$1000,$N84),""),IF(INDEX('Cronograma Asistente Técnico'!$J$5:$J$1000,$N84)="","",INDEX('Cronograma Asistente Técnico'!$J$5:$J$1000,$N84))))</f>
        <v/>
      </c>
      <c r="J84" s="68">
        <f>IF($N84="","",INDEX('Cronograma Asistente Técnico'!$K$5:$K$1000,$N84))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Asistente Técnico'!$M$5:$M$1000,$N84)&amp;"")</f>
        <v/>
      </c>
      <c r="M84" s="71">
        <f>IF($N84="","",INDEX('Cronograma Asistente Técnico'!$N$5:$N$1000,$N84)&amp;"")</f>
        <v/>
      </c>
      <c r="N84">
        <f>IFERROR(MATCH(ROW()-4,rOrden_ATR,0),"")</f>
        <v/>
      </c>
      <c r="O84">
        <f>IF($N84="","",INDEX('Cronograma Asistente Técnico'!$S$5:$S$1000,$N84))</f>
        <v/>
      </c>
      <c r="P84">
        <f>IF($N84="","",N(INDEX('Cronograma Asistente Técnico'!$T$5:$T$1000,$N84)))</f>
        <v/>
      </c>
    </row>
    <row r="85">
      <c r="A85" s="62">
        <f>IF($N85="","",INDEX('Cronograma Asistente Técnico'!$A$5:$A$1000,$N85))</f>
        <v/>
      </c>
      <c r="B85" s="71">
        <f>IF($N85="","",IF($O85="Sub","      ↳  "&amp;INDEX('Cronograma Asistente Técnico'!$C$5:$C$1000,$N85),INDEX('Cronograma Asistente Técnico'!$C$5:$C$1000,$N85)&amp;""))</f>
        <v/>
      </c>
      <c r="C85" s="77">
        <f>IF($N85="","",IF(INDEX('Cronograma Asistente Técnico'!$D$5:$D$1000,$N85)="","",INDEX('Cronograma Asistente Técnico'!$D$5:$D$1000,$N85)))</f>
        <v/>
      </c>
      <c r="D85" s="77">
        <f>IF($N85="","",IF(INDEX('Cronograma Asistente Técnico'!$E$5:$E$1000,$N85)="","",INDEX('Cronograma Asistente Técnico'!$E$5:$E$1000,$N85)))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Asistente Técnico'!$Y$5:$Y$1000,$N85),""),IF(INDEX('Cronograma Asistente Técnico'!$G$5:$G$1000,$N85)="","",INDEX('Cronograma Asistente Técnico'!$G$5:$G$1000,$N85))))</f>
        <v/>
      </c>
      <c r="G85" s="68">
        <f>IF($N85="","",IF($P85&gt;0,IF(2&lt;=SemanaActual,INDEX('Cronograma Asistente Técnico'!$Z$5:$Z$1000,$N85),""),IF(INDEX('Cronograma Asistente Técnico'!$H$5:$H$1000,$N85)="","",INDEX('Cronograma Asistente Técnico'!$H$5:$H$1000,$N85))))</f>
        <v/>
      </c>
      <c r="H85" s="68">
        <f>IF($N85="","",IF($P85&gt;0,IF(3&lt;=SemanaActual,INDEX('Cronograma Asistente Técnico'!$AA$5:$AA$1000,$N85),""),IF(INDEX('Cronograma Asistente Técnico'!$I$5:$I$1000,$N85)="","",INDEX('Cronograma Asistente Técnico'!$I$5:$I$1000,$N85))))</f>
        <v/>
      </c>
      <c r="I85" s="68">
        <f>IF($N85="","",IF($P85&gt;0,IF(4&lt;=SemanaActual,INDEX('Cronograma Asistente Técnico'!$AB$5:$AB$1000,$N85),""),IF(INDEX('Cronograma Asistente Técnico'!$J$5:$J$1000,$N85)="","",INDEX('Cronograma Asistente Técnico'!$J$5:$J$1000,$N85))))</f>
        <v/>
      </c>
      <c r="J85" s="68">
        <f>IF($N85="","",INDEX('Cronograma Asistente Técnico'!$K$5:$K$1000,$N85))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Asistente Técnico'!$M$5:$M$1000,$N85)&amp;"")</f>
        <v/>
      </c>
      <c r="M85" s="71">
        <f>IF($N85="","",INDEX('Cronograma Asistente Técnico'!$N$5:$N$1000,$N85)&amp;"")</f>
        <v/>
      </c>
      <c r="N85">
        <f>IFERROR(MATCH(ROW()-4,rOrden_ATR,0),"")</f>
        <v/>
      </c>
      <c r="O85">
        <f>IF($N85="","",INDEX('Cronograma Asistente Técnico'!$S$5:$S$1000,$N85))</f>
        <v/>
      </c>
      <c r="P85">
        <f>IF($N85="","",N(INDEX('Cronograma Asistente Técnico'!$T$5:$T$1000,$N85)))</f>
        <v/>
      </c>
    </row>
    <row r="86">
      <c r="A86" s="62">
        <f>IF($N86="","",INDEX('Cronograma Asistente Técnico'!$A$5:$A$1000,$N86))</f>
        <v/>
      </c>
      <c r="B86" s="71">
        <f>IF($N86="","",IF($O86="Sub","      ↳  "&amp;INDEX('Cronograma Asistente Técnico'!$C$5:$C$1000,$N86),INDEX('Cronograma Asistente Técnico'!$C$5:$C$1000,$N86)&amp;""))</f>
        <v/>
      </c>
      <c r="C86" s="77">
        <f>IF($N86="","",IF(INDEX('Cronograma Asistente Técnico'!$D$5:$D$1000,$N86)="","",INDEX('Cronograma Asistente Técnico'!$D$5:$D$1000,$N86)))</f>
        <v/>
      </c>
      <c r="D86" s="77">
        <f>IF($N86="","",IF(INDEX('Cronograma Asistente Técnico'!$E$5:$E$1000,$N86)="","",INDEX('Cronograma Asistente Técnico'!$E$5:$E$1000,$N86)))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Asistente Técnico'!$Y$5:$Y$1000,$N86),""),IF(INDEX('Cronograma Asistente Técnico'!$G$5:$G$1000,$N86)="","",INDEX('Cronograma Asistente Técnico'!$G$5:$G$1000,$N86))))</f>
        <v/>
      </c>
      <c r="G86" s="68">
        <f>IF($N86="","",IF($P86&gt;0,IF(2&lt;=SemanaActual,INDEX('Cronograma Asistente Técnico'!$Z$5:$Z$1000,$N86),""),IF(INDEX('Cronograma Asistente Técnico'!$H$5:$H$1000,$N86)="","",INDEX('Cronograma Asistente Técnico'!$H$5:$H$1000,$N86))))</f>
        <v/>
      </c>
      <c r="H86" s="68">
        <f>IF($N86="","",IF($P86&gt;0,IF(3&lt;=SemanaActual,INDEX('Cronograma Asistente Técnico'!$AA$5:$AA$1000,$N86),""),IF(INDEX('Cronograma Asistente Técnico'!$I$5:$I$1000,$N86)="","",INDEX('Cronograma Asistente Técnico'!$I$5:$I$1000,$N86))))</f>
        <v/>
      </c>
      <c r="I86" s="68">
        <f>IF($N86="","",IF($P86&gt;0,IF(4&lt;=SemanaActual,INDEX('Cronograma Asistente Técnico'!$AB$5:$AB$1000,$N86),""),IF(INDEX('Cronograma Asistente Técnico'!$J$5:$J$1000,$N86)="","",INDEX('Cronograma Asistente Técnico'!$J$5:$J$1000,$N86))))</f>
        <v/>
      </c>
      <c r="J86" s="68">
        <f>IF($N86="","",INDEX('Cronograma Asistente Técnico'!$K$5:$K$1000,$N86))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Asistente Técnico'!$M$5:$M$1000,$N86)&amp;"")</f>
        <v/>
      </c>
      <c r="M86" s="71">
        <f>IF($N86="","",INDEX('Cronograma Asistente Técnico'!$N$5:$N$1000,$N86)&amp;"")</f>
        <v/>
      </c>
      <c r="N86">
        <f>IFERROR(MATCH(ROW()-4,rOrden_ATR,0),"")</f>
        <v/>
      </c>
      <c r="O86">
        <f>IF($N86="","",INDEX('Cronograma Asistente Técnico'!$S$5:$S$1000,$N86))</f>
        <v/>
      </c>
      <c r="P86">
        <f>IF($N86="","",N(INDEX('Cronograma Asistente Técnico'!$T$5:$T$1000,$N86)))</f>
        <v/>
      </c>
    </row>
    <row r="87">
      <c r="A87" s="62">
        <f>IF($N87="","",INDEX('Cronograma Asistente Técnico'!$A$5:$A$1000,$N87))</f>
        <v/>
      </c>
      <c r="B87" s="71">
        <f>IF($N87="","",IF($O87="Sub","      ↳  "&amp;INDEX('Cronograma Asistente Técnico'!$C$5:$C$1000,$N87),INDEX('Cronograma Asistente Técnico'!$C$5:$C$1000,$N87)&amp;""))</f>
        <v/>
      </c>
      <c r="C87" s="77">
        <f>IF($N87="","",IF(INDEX('Cronograma Asistente Técnico'!$D$5:$D$1000,$N87)="","",INDEX('Cronograma Asistente Técnico'!$D$5:$D$1000,$N87)))</f>
        <v/>
      </c>
      <c r="D87" s="77">
        <f>IF($N87="","",IF(INDEX('Cronograma Asistente Técnico'!$E$5:$E$1000,$N87)="","",INDEX('Cronograma Asistente Técnico'!$E$5:$E$1000,$N87)))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Asistente Técnico'!$Y$5:$Y$1000,$N87),""),IF(INDEX('Cronograma Asistente Técnico'!$G$5:$G$1000,$N87)="","",INDEX('Cronograma Asistente Técnico'!$G$5:$G$1000,$N87))))</f>
        <v/>
      </c>
      <c r="G87" s="68">
        <f>IF($N87="","",IF($P87&gt;0,IF(2&lt;=SemanaActual,INDEX('Cronograma Asistente Técnico'!$Z$5:$Z$1000,$N87),""),IF(INDEX('Cronograma Asistente Técnico'!$H$5:$H$1000,$N87)="","",INDEX('Cronograma Asistente Técnico'!$H$5:$H$1000,$N87))))</f>
        <v/>
      </c>
      <c r="H87" s="68">
        <f>IF($N87="","",IF($P87&gt;0,IF(3&lt;=SemanaActual,INDEX('Cronograma Asistente Técnico'!$AA$5:$AA$1000,$N87),""),IF(INDEX('Cronograma Asistente Técnico'!$I$5:$I$1000,$N87)="","",INDEX('Cronograma Asistente Técnico'!$I$5:$I$1000,$N87))))</f>
        <v/>
      </c>
      <c r="I87" s="68">
        <f>IF($N87="","",IF($P87&gt;0,IF(4&lt;=SemanaActual,INDEX('Cronograma Asistente Técnico'!$AB$5:$AB$1000,$N87),""),IF(INDEX('Cronograma Asistente Técnico'!$J$5:$J$1000,$N87)="","",INDEX('Cronograma Asistente Técnico'!$J$5:$J$1000,$N87))))</f>
        <v/>
      </c>
      <c r="J87" s="68">
        <f>IF($N87="","",INDEX('Cronograma Asistente Técnico'!$K$5:$K$1000,$N87))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Asistente Técnico'!$M$5:$M$1000,$N87)&amp;"")</f>
        <v/>
      </c>
      <c r="M87" s="71">
        <f>IF($N87="","",INDEX('Cronograma Asistente Técnico'!$N$5:$N$1000,$N87)&amp;"")</f>
        <v/>
      </c>
      <c r="N87">
        <f>IFERROR(MATCH(ROW()-4,rOrden_ATR,0),"")</f>
        <v/>
      </c>
      <c r="O87">
        <f>IF($N87="","",INDEX('Cronograma Asistente Técnico'!$S$5:$S$1000,$N87))</f>
        <v/>
      </c>
      <c r="P87">
        <f>IF($N87="","",N(INDEX('Cronograma Asistente Técnico'!$T$5:$T$1000,$N87)))</f>
        <v/>
      </c>
    </row>
    <row r="88">
      <c r="A88" s="62">
        <f>IF($N88="","",INDEX('Cronograma Asistente Técnico'!$A$5:$A$1000,$N88))</f>
        <v/>
      </c>
      <c r="B88" s="71">
        <f>IF($N88="","",IF($O88="Sub","      ↳  "&amp;INDEX('Cronograma Asistente Técnico'!$C$5:$C$1000,$N88),INDEX('Cronograma Asistente Técnico'!$C$5:$C$1000,$N88)&amp;""))</f>
        <v/>
      </c>
      <c r="C88" s="77">
        <f>IF($N88="","",IF(INDEX('Cronograma Asistente Técnico'!$D$5:$D$1000,$N88)="","",INDEX('Cronograma Asistente Técnico'!$D$5:$D$1000,$N88)))</f>
        <v/>
      </c>
      <c r="D88" s="77">
        <f>IF($N88="","",IF(INDEX('Cronograma Asistente Técnico'!$E$5:$E$1000,$N88)="","",INDEX('Cronograma Asistente Técnico'!$E$5:$E$1000,$N88)))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Asistente Técnico'!$Y$5:$Y$1000,$N88),""),IF(INDEX('Cronograma Asistente Técnico'!$G$5:$G$1000,$N88)="","",INDEX('Cronograma Asistente Técnico'!$G$5:$G$1000,$N88))))</f>
        <v/>
      </c>
      <c r="G88" s="68">
        <f>IF($N88="","",IF($P88&gt;0,IF(2&lt;=SemanaActual,INDEX('Cronograma Asistente Técnico'!$Z$5:$Z$1000,$N88),""),IF(INDEX('Cronograma Asistente Técnico'!$H$5:$H$1000,$N88)="","",INDEX('Cronograma Asistente Técnico'!$H$5:$H$1000,$N88))))</f>
        <v/>
      </c>
      <c r="H88" s="68">
        <f>IF($N88="","",IF($P88&gt;0,IF(3&lt;=SemanaActual,INDEX('Cronograma Asistente Técnico'!$AA$5:$AA$1000,$N88),""),IF(INDEX('Cronograma Asistente Técnico'!$I$5:$I$1000,$N88)="","",INDEX('Cronograma Asistente Técnico'!$I$5:$I$1000,$N88))))</f>
        <v/>
      </c>
      <c r="I88" s="68">
        <f>IF($N88="","",IF($P88&gt;0,IF(4&lt;=SemanaActual,INDEX('Cronograma Asistente Técnico'!$AB$5:$AB$1000,$N88),""),IF(INDEX('Cronograma Asistente Técnico'!$J$5:$J$1000,$N88)="","",INDEX('Cronograma Asistente Técnico'!$J$5:$J$1000,$N88))))</f>
        <v/>
      </c>
      <c r="J88" s="68">
        <f>IF($N88="","",INDEX('Cronograma Asistente Técnico'!$K$5:$K$1000,$N88))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Asistente Técnico'!$M$5:$M$1000,$N88)&amp;"")</f>
        <v/>
      </c>
      <c r="M88" s="71">
        <f>IF($N88="","",INDEX('Cronograma Asistente Técnico'!$N$5:$N$1000,$N88)&amp;"")</f>
        <v/>
      </c>
      <c r="N88">
        <f>IFERROR(MATCH(ROW()-4,rOrden_ATR,0),"")</f>
        <v/>
      </c>
      <c r="O88">
        <f>IF($N88="","",INDEX('Cronograma Asistente Técnico'!$S$5:$S$1000,$N88))</f>
        <v/>
      </c>
      <c r="P88">
        <f>IF($N88="","",N(INDEX('Cronograma Asistente Técnico'!$T$5:$T$1000,$N88)))</f>
        <v/>
      </c>
    </row>
    <row r="89">
      <c r="A89" s="62">
        <f>IF($N89="","",INDEX('Cronograma Asistente Técnico'!$A$5:$A$1000,$N89))</f>
        <v/>
      </c>
      <c r="B89" s="71">
        <f>IF($N89="","",IF($O89="Sub","      ↳  "&amp;INDEX('Cronograma Asistente Técnico'!$C$5:$C$1000,$N89),INDEX('Cronograma Asistente Técnico'!$C$5:$C$1000,$N89)&amp;""))</f>
        <v/>
      </c>
      <c r="C89" s="77">
        <f>IF($N89="","",IF(INDEX('Cronograma Asistente Técnico'!$D$5:$D$1000,$N89)="","",INDEX('Cronograma Asistente Técnico'!$D$5:$D$1000,$N89)))</f>
        <v/>
      </c>
      <c r="D89" s="77">
        <f>IF($N89="","",IF(INDEX('Cronograma Asistente Técnico'!$E$5:$E$1000,$N89)="","",INDEX('Cronograma Asistente Técnico'!$E$5:$E$1000,$N89)))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Asistente Técnico'!$Y$5:$Y$1000,$N89),""),IF(INDEX('Cronograma Asistente Técnico'!$G$5:$G$1000,$N89)="","",INDEX('Cronograma Asistente Técnico'!$G$5:$G$1000,$N89))))</f>
        <v/>
      </c>
      <c r="G89" s="68">
        <f>IF($N89="","",IF($P89&gt;0,IF(2&lt;=SemanaActual,INDEX('Cronograma Asistente Técnico'!$Z$5:$Z$1000,$N89),""),IF(INDEX('Cronograma Asistente Técnico'!$H$5:$H$1000,$N89)="","",INDEX('Cronograma Asistente Técnico'!$H$5:$H$1000,$N89))))</f>
        <v/>
      </c>
      <c r="H89" s="68">
        <f>IF($N89="","",IF($P89&gt;0,IF(3&lt;=SemanaActual,INDEX('Cronograma Asistente Técnico'!$AA$5:$AA$1000,$N89),""),IF(INDEX('Cronograma Asistente Técnico'!$I$5:$I$1000,$N89)="","",INDEX('Cronograma Asistente Técnico'!$I$5:$I$1000,$N89))))</f>
        <v/>
      </c>
      <c r="I89" s="68">
        <f>IF($N89="","",IF($P89&gt;0,IF(4&lt;=SemanaActual,INDEX('Cronograma Asistente Técnico'!$AB$5:$AB$1000,$N89),""),IF(INDEX('Cronograma Asistente Técnico'!$J$5:$J$1000,$N89)="","",INDEX('Cronograma Asistente Técnico'!$J$5:$J$1000,$N89))))</f>
        <v/>
      </c>
      <c r="J89" s="68">
        <f>IF($N89="","",INDEX('Cronograma Asistente Técnico'!$K$5:$K$1000,$N89))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Asistente Técnico'!$M$5:$M$1000,$N89)&amp;"")</f>
        <v/>
      </c>
      <c r="M89" s="71">
        <f>IF($N89="","",INDEX('Cronograma Asistente Técnico'!$N$5:$N$1000,$N89)&amp;"")</f>
        <v/>
      </c>
      <c r="N89">
        <f>IFERROR(MATCH(ROW()-4,rOrden_ATR,0),"")</f>
        <v/>
      </c>
      <c r="O89">
        <f>IF($N89="","",INDEX('Cronograma Asistente Técnico'!$S$5:$S$1000,$N89))</f>
        <v/>
      </c>
      <c r="P89">
        <f>IF($N89="","",N(INDEX('Cronograma Asistente Técnico'!$T$5:$T$1000,$N89)))</f>
        <v/>
      </c>
    </row>
    <row r="90">
      <c r="A90" s="62">
        <f>IF($N90="","",INDEX('Cronograma Asistente Técnico'!$A$5:$A$1000,$N90))</f>
        <v/>
      </c>
      <c r="B90" s="71">
        <f>IF($N90="","",IF($O90="Sub","      ↳  "&amp;INDEX('Cronograma Asistente Técnico'!$C$5:$C$1000,$N90),INDEX('Cronograma Asistente Técnico'!$C$5:$C$1000,$N90)&amp;""))</f>
        <v/>
      </c>
      <c r="C90" s="77">
        <f>IF($N90="","",IF(INDEX('Cronograma Asistente Técnico'!$D$5:$D$1000,$N90)="","",INDEX('Cronograma Asistente Técnico'!$D$5:$D$1000,$N90)))</f>
        <v/>
      </c>
      <c r="D90" s="77">
        <f>IF($N90="","",IF(INDEX('Cronograma Asistente Técnico'!$E$5:$E$1000,$N90)="","",INDEX('Cronograma Asistente Técnico'!$E$5:$E$1000,$N90)))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Asistente Técnico'!$Y$5:$Y$1000,$N90),""),IF(INDEX('Cronograma Asistente Técnico'!$G$5:$G$1000,$N90)="","",INDEX('Cronograma Asistente Técnico'!$G$5:$G$1000,$N90))))</f>
        <v/>
      </c>
      <c r="G90" s="68">
        <f>IF($N90="","",IF($P90&gt;0,IF(2&lt;=SemanaActual,INDEX('Cronograma Asistente Técnico'!$Z$5:$Z$1000,$N90),""),IF(INDEX('Cronograma Asistente Técnico'!$H$5:$H$1000,$N90)="","",INDEX('Cronograma Asistente Técnico'!$H$5:$H$1000,$N90))))</f>
        <v/>
      </c>
      <c r="H90" s="68">
        <f>IF($N90="","",IF($P90&gt;0,IF(3&lt;=SemanaActual,INDEX('Cronograma Asistente Técnico'!$AA$5:$AA$1000,$N90),""),IF(INDEX('Cronograma Asistente Técnico'!$I$5:$I$1000,$N90)="","",INDEX('Cronograma Asistente Técnico'!$I$5:$I$1000,$N90))))</f>
        <v/>
      </c>
      <c r="I90" s="68">
        <f>IF($N90="","",IF($P90&gt;0,IF(4&lt;=SemanaActual,INDEX('Cronograma Asistente Técnico'!$AB$5:$AB$1000,$N90),""),IF(INDEX('Cronograma Asistente Técnico'!$J$5:$J$1000,$N90)="","",INDEX('Cronograma Asistente Técnico'!$J$5:$J$1000,$N90))))</f>
        <v/>
      </c>
      <c r="J90" s="68">
        <f>IF($N90="","",INDEX('Cronograma Asistente Técnico'!$K$5:$K$1000,$N90))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Asistente Técnico'!$M$5:$M$1000,$N90)&amp;"")</f>
        <v/>
      </c>
      <c r="M90" s="71">
        <f>IF($N90="","",INDEX('Cronograma Asistente Técnico'!$N$5:$N$1000,$N90)&amp;"")</f>
        <v/>
      </c>
      <c r="N90">
        <f>IFERROR(MATCH(ROW()-4,rOrden_ATR,0),"")</f>
        <v/>
      </c>
      <c r="O90">
        <f>IF($N90="","",INDEX('Cronograma Asistente Técnico'!$S$5:$S$1000,$N90))</f>
        <v/>
      </c>
      <c r="P90">
        <f>IF($N90="","",N(INDEX('Cronograma Asistente Técnico'!$T$5:$T$1000,$N90)))</f>
        <v/>
      </c>
    </row>
    <row r="91">
      <c r="A91" s="62">
        <f>IF($N91="","",INDEX('Cronograma Asistente Técnico'!$A$5:$A$1000,$N91))</f>
        <v/>
      </c>
      <c r="B91" s="71">
        <f>IF($N91="","",IF($O91="Sub","      ↳  "&amp;INDEX('Cronograma Asistente Técnico'!$C$5:$C$1000,$N91),INDEX('Cronograma Asistente Técnico'!$C$5:$C$1000,$N91)&amp;""))</f>
        <v/>
      </c>
      <c r="C91" s="77">
        <f>IF($N91="","",IF(INDEX('Cronograma Asistente Técnico'!$D$5:$D$1000,$N91)="","",INDEX('Cronograma Asistente Técnico'!$D$5:$D$1000,$N91)))</f>
        <v/>
      </c>
      <c r="D91" s="77">
        <f>IF($N91="","",IF(INDEX('Cronograma Asistente Técnico'!$E$5:$E$1000,$N91)="","",INDEX('Cronograma Asistente Técnico'!$E$5:$E$1000,$N91)))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Asistente Técnico'!$Y$5:$Y$1000,$N91),""),IF(INDEX('Cronograma Asistente Técnico'!$G$5:$G$1000,$N91)="","",INDEX('Cronograma Asistente Técnico'!$G$5:$G$1000,$N91))))</f>
        <v/>
      </c>
      <c r="G91" s="68">
        <f>IF($N91="","",IF($P91&gt;0,IF(2&lt;=SemanaActual,INDEX('Cronograma Asistente Técnico'!$Z$5:$Z$1000,$N91),""),IF(INDEX('Cronograma Asistente Técnico'!$H$5:$H$1000,$N91)="","",INDEX('Cronograma Asistente Técnico'!$H$5:$H$1000,$N91))))</f>
        <v/>
      </c>
      <c r="H91" s="68">
        <f>IF($N91="","",IF($P91&gt;0,IF(3&lt;=SemanaActual,INDEX('Cronograma Asistente Técnico'!$AA$5:$AA$1000,$N91),""),IF(INDEX('Cronograma Asistente Técnico'!$I$5:$I$1000,$N91)="","",INDEX('Cronograma Asistente Técnico'!$I$5:$I$1000,$N91))))</f>
        <v/>
      </c>
      <c r="I91" s="68">
        <f>IF($N91="","",IF($P91&gt;0,IF(4&lt;=SemanaActual,INDEX('Cronograma Asistente Técnico'!$AB$5:$AB$1000,$N91),""),IF(INDEX('Cronograma Asistente Técnico'!$J$5:$J$1000,$N91)="","",INDEX('Cronograma Asistente Técnico'!$J$5:$J$1000,$N91))))</f>
        <v/>
      </c>
      <c r="J91" s="68">
        <f>IF($N91="","",INDEX('Cronograma Asistente Técnico'!$K$5:$K$1000,$N91))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Asistente Técnico'!$M$5:$M$1000,$N91)&amp;"")</f>
        <v/>
      </c>
      <c r="M91" s="71">
        <f>IF($N91="","",INDEX('Cronograma Asistente Técnico'!$N$5:$N$1000,$N91)&amp;"")</f>
        <v/>
      </c>
      <c r="N91">
        <f>IFERROR(MATCH(ROW()-4,rOrden_ATR,0),"")</f>
        <v/>
      </c>
      <c r="O91">
        <f>IF($N91="","",INDEX('Cronograma Asistente Técnico'!$S$5:$S$1000,$N91))</f>
        <v/>
      </c>
      <c r="P91">
        <f>IF($N91="","",N(INDEX('Cronograma Asistente Técnico'!$T$5:$T$1000,$N91)))</f>
        <v/>
      </c>
    </row>
    <row r="92">
      <c r="A92" s="62">
        <f>IF($N92="","",INDEX('Cronograma Asistente Técnico'!$A$5:$A$1000,$N92))</f>
        <v/>
      </c>
      <c r="B92" s="71">
        <f>IF($N92="","",IF($O92="Sub","      ↳  "&amp;INDEX('Cronograma Asistente Técnico'!$C$5:$C$1000,$N92),INDEX('Cronograma Asistente Técnico'!$C$5:$C$1000,$N92)&amp;""))</f>
        <v/>
      </c>
      <c r="C92" s="77">
        <f>IF($N92="","",IF(INDEX('Cronograma Asistente Técnico'!$D$5:$D$1000,$N92)="","",INDEX('Cronograma Asistente Técnico'!$D$5:$D$1000,$N92)))</f>
        <v/>
      </c>
      <c r="D92" s="77">
        <f>IF($N92="","",IF(INDEX('Cronograma Asistente Técnico'!$E$5:$E$1000,$N92)="","",INDEX('Cronograma Asistente Técnico'!$E$5:$E$1000,$N92)))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Asistente Técnico'!$Y$5:$Y$1000,$N92),""),IF(INDEX('Cronograma Asistente Técnico'!$G$5:$G$1000,$N92)="","",INDEX('Cronograma Asistente Técnico'!$G$5:$G$1000,$N92))))</f>
        <v/>
      </c>
      <c r="G92" s="68">
        <f>IF($N92="","",IF($P92&gt;0,IF(2&lt;=SemanaActual,INDEX('Cronograma Asistente Técnico'!$Z$5:$Z$1000,$N92),""),IF(INDEX('Cronograma Asistente Técnico'!$H$5:$H$1000,$N92)="","",INDEX('Cronograma Asistente Técnico'!$H$5:$H$1000,$N92))))</f>
        <v/>
      </c>
      <c r="H92" s="68">
        <f>IF($N92="","",IF($P92&gt;0,IF(3&lt;=SemanaActual,INDEX('Cronograma Asistente Técnico'!$AA$5:$AA$1000,$N92),""),IF(INDEX('Cronograma Asistente Técnico'!$I$5:$I$1000,$N92)="","",INDEX('Cronograma Asistente Técnico'!$I$5:$I$1000,$N92))))</f>
        <v/>
      </c>
      <c r="I92" s="68">
        <f>IF($N92="","",IF($P92&gt;0,IF(4&lt;=SemanaActual,INDEX('Cronograma Asistente Técnico'!$AB$5:$AB$1000,$N92),""),IF(INDEX('Cronograma Asistente Técnico'!$J$5:$J$1000,$N92)="","",INDEX('Cronograma Asistente Técnico'!$J$5:$J$1000,$N92))))</f>
        <v/>
      </c>
      <c r="J92" s="68">
        <f>IF($N92="","",INDEX('Cronograma Asistente Técnico'!$K$5:$K$1000,$N92))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Asistente Técnico'!$M$5:$M$1000,$N92)&amp;"")</f>
        <v/>
      </c>
      <c r="M92" s="71">
        <f>IF($N92="","",INDEX('Cronograma Asistente Técnico'!$N$5:$N$1000,$N92)&amp;"")</f>
        <v/>
      </c>
      <c r="N92">
        <f>IFERROR(MATCH(ROW()-4,rOrden_ATR,0),"")</f>
        <v/>
      </c>
      <c r="O92">
        <f>IF($N92="","",INDEX('Cronograma Asistente Técnico'!$S$5:$S$1000,$N92))</f>
        <v/>
      </c>
      <c r="P92">
        <f>IF($N92="","",N(INDEX('Cronograma Asistente Técnico'!$T$5:$T$1000,$N92)))</f>
        <v/>
      </c>
    </row>
    <row r="93">
      <c r="A93" s="62">
        <f>IF($N93="","",INDEX('Cronograma Asistente Técnico'!$A$5:$A$1000,$N93))</f>
        <v/>
      </c>
      <c r="B93" s="71">
        <f>IF($N93="","",IF($O93="Sub","      ↳  "&amp;INDEX('Cronograma Asistente Técnico'!$C$5:$C$1000,$N93),INDEX('Cronograma Asistente Técnico'!$C$5:$C$1000,$N93)&amp;""))</f>
        <v/>
      </c>
      <c r="C93" s="77">
        <f>IF($N93="","",IF(INDEX('Cronograma Asistente Técnico'!$D$5:$D$1000,$N93)="","",INDEX('Cronograma Asistente Técnico'!$D$5:$D$1000,$N93)))</f>
        <v/>
      </c>
      <c r="D93" s="77">
        <f>IF($N93="","",IF(INDEX('Cronograma Asistente Técnico'!$E$5:$E$1000,$N93)="","",INDEX('Cronograma Asistente Técnico'!$E$5:$E$1000,$N93)))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Asistente Técnico'!$Y$5:$Y$1000,$N93),""),IF(INDEX('Cronograma Asistente Técnico'!$G$5:$G$1000,$N93)="","",INDEX('Cronograma Asistente Técnico'!$G$5:$G$1000,$N93))))</f>
        <v/>
      </c>
      <c r="G93" s="68">
        <f>IF($N93="","",IF($P93&gt;0,IF(2&lt;=SemanaActual,INDEX('Cronograma Asistente Técnico'!$Z$5:$Z$1000,$N93),""),IF(INDEX('Cronograma Asistente Técnico'!$H$5:$H$1000,$N93)="","",INDEX('Cronograma Asistente Técnico'!$H$5:$H$1000,$N93))))</f>
        <v/>
      </c>
      <c r="H93" s="68">
        <f>IF($N93="","",IF($P93&gt;0,IF(3&lt;=SemanaActual,INDEX('Cronograma Asistente Técnico'!$AA$5:$AA$1000,$N93),""),IF(INDEX('Cronograma Asistente Técnico'!$I$5:$I$1000,$N93)="","",INDEX('Cronograma Asistente Técnico'!$I$5:$I$1000,$N93))))</f>
        <v/>
      </c>
      <c r="I93" s="68">
        <f>IF($N93="","",IF($P93&gt;0,IF(4&lt;=SemanaActual,INDEX('Cronograma Asistente Técnico'!$AB$5:$AB$1000,$N93),""),IF(INDEX('Cronograma Asistente Técnico'!$J$5:$J$1000,$N93)="","",INDEX('Cronograma Asistente Técnico'!$J$5:$J$1000,$N93))))</f>
        <v/>
      </c>
      <c r="J93" s="68">
        <f>IF($N93="","",INDEX('Cronograma Asistente Técnico'!$K$5:$K$1000,$N93))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Asistente Técnico'!$M$5:$M$1000,$N93)&amp;"")</f>
        <v/>
      </c>
      <c r="M93" s="71">
        <f>IF($N93="","",INDEX('Cronograma Asistente Técnico'!$N$5:$N$1000,$N93)&amp;"")</f>
        <v/>
      </c>
      <c r="N93">
        <f>IFERROR(MATCH(ROW()-4,rOrden_ATR,0),"")</f>
        <v/>
      </c>
      <c r="O93">
        <f>IF($N93="","",INDEX('Cronograma Asistente Técnico'!$S$5:$S$1000,$N93))</f>
        <v/>
      </c>
      <c r="P93">
        <f>IF($N93="","",N(INDEX('Cronograma Asistente Técnico'!$T$5:$T$1000,$N93)))</f>
        <v/>
      </c>
    </row>
    <row r="94">
      <c r="A94" s="62">
        <f>IF($N94="","",INDEX('Cronograma Asistente Técnico'!$A$5:$A$1000,$N94))</f>
        <v/>
      </c>
      <c r="B94" s="71">
        <f>IF($N94="","",IF($O94="Sub","      ↳  "&amp;INDEX('Cronograma Asistente Técnico'!$C$5:$C$1000,$N94),INDEX('Cronograma Asistente Técnico'!$C$5:$C$1000,$N94)&amp;""))</f>
        <v/>
      </c>
      <c r="C94" s="77">
        <f>IF($N94="","",IF(INDEX('Cronograma Asistente Técnico'!$D$5:$D$1000,$N94)="","",INDEX('Cronograma Asistente Técnico'!$D$5:$D$1000,$N94)))</f>
        <v/>
      </c>
      <c r="D94" s="77">
        <f>IF($N94="","",IF(INDEX('Cronograma Asistente Técnico'!$E$5:$E$1000,$N94)="","",INDEX('Cronograma Asistente Técnico'!$E$5:$E$1000,$N94)))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Asistente Técnico'!$Y$5:$Y$1000,$N94),""),IF(INDEX('Cronograma Asistente Técnico'!$G$5:$G$1000,$N94)="","",INDEX('Cronograma Asistente Técnico'!$G$5:$G$1000,$N94))))</f>
        <v/>
      </c>
      <c r="G94" s="68">
        <f>IF($N94="","",IF($P94&gt;0,IF(2&lt;=SemanaActual,INDEX('Cronograma Asistente Técnico'!$Z$5:$Z$1000,$N94),""),IF(INDEX('Cronograma Asistente Técnico'!$H$5:$H$1000,$N94)="","",INDEX('Cronograma Asistente Técnico'!$H$5:$H$1000,$N94))))</f>
        <v/>
      </c>
      <c r="H94" s="68">
        <f>IF($N94="","",IF($P94&gt;0,IF(3&lt;=SemanaActual,INDEX('Cronograma Asistente Técnico'!$AA$5:$AA$1000,$N94),""),IF(INDEX('Cronograma Asistente Técnico'!$I$5:$I$1000,$N94)="","",INDEX('Cronograma Asistente Técnico'!$I$5:$I$1000,$N94))))</f>
        <v/>
      </c>
      <c r="I94" s="68">
        <f>IF($N94="","",IF($P94&gt;0,IF(4&lt;=SemanaActual,INDEX('Cronograma Asistente Técnico'!$AB$5:$AB$1000,$N94),""),IF(INDEX('Cronograma Asistente Técnico'!$J$5:$J$1000,$N94)="","",INDEX('Cronograma Asistente Técnico'!$J$5:$J$1000,$N94))))</f>
        <v/>
      </c>
      <c r="J94" s="68">
        <f>IF($N94="","",INDEX('Cronograma Asistente Técnico'!$K$5:$K$1000,$N94))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Asistente Técnico'!$M$5:$M$1000,$N94)&amp;"")</f>
        <v/>
      </c>
      <c r="M94" s="71">
        <f>IF($N94="","",INDEX('Cronograma Asistente Técnico'!$N$5:$N$1000,$N94)&amp;"")</f>
        <v/>
      </c>
      <c r="N94">
        <f>IFERROR(MATCH(ROW()-4,rOrden_ATR,0),"")</f>
        <v/>
      </c>
      <c r="O94">
        <f>IF($N94="","",INDEX('Cronograma Asistente Técnico'!$S$5:$S$1000,$N94))</f>
        <v/>
      </c>
      <c r="P94">
        <f>IF($N94="","",N(INDEX('Cronograma Asistente Técnico'!$T$5:$T$1000,$N94)))</f>
        <v/>
      </c>
    </row>
    <row r="95">
      <c r="A95" s="62">
        <f>IF($N95="","",INDEX('Cronograma Asistente Técnico'!$A$5:$A$1000,$N95))</f>
        <v/>
      </c>
      <c r="B95" s="71">
        <f>IF($N95="","",IF($O95="Sub","      ↳  "&amp;INDEX('Cronograma Asistente Técnico'!$C$5:$C$1000,$N95),INDEX('Cronograma Asistente Técnico'!$C$5:$C$1000,$N95)&amp;""))</f>
        <v/>
      </c>
      <c r="C95" s="77">
        <f>IF($N95="","",IF(INDEX('Cronograma Asistente Técnico'!$D$5:$D$1000,$N95)="","",INDEX('Cronograma Asistente Técnico'!$D$5:$D$1000,$N95)))</f>
        <v/>
      </c>
      <c r="D95" s="77">
        <f>IF($N95="","",IF(INDEX('Cronograma Asistente Técnico'!$E$5:$E$1000,$N95)="","",INDEX('Cronograma Asistente Técnico'!$E$5:$E$1000,$N95)))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Asistente Técnico'!$Y$5:$Y$1000,$N95),""),IF(INDEX('Cronograma Asistente Técnico'!$G$5:$G$1000,$N95)="","",INDEX('Cronograma Asistente Técnico'!$G$5:$G$1000,$N95))))</f>
        <v/>
      </c>
      <c r="G95" s="68">
        <f>IF($N95="","",IF($P95&gt;0,IF(2&lt;=SemanaActual,INDEX('Cronograma Asistente Técnico'!$Z$5:$Z$1000,$N95),""),IF(INDEX('Cronograma Asistente Técnico'!$H$5:$H$1000,$N95)="","",INDEX('Cronograma Asistente Técnico'!$H$5:$H$1000,$N95))))</f>
        <v/>
      </c>
      <c r="H95" s="68">
        <f>IF($N95="","",IF($P95&gt;0,IF(3&lt;=SemanaActual,INDEX('Cronograma Asistente Técnico'!$AA$5:$AA$1000,$N95),""),IF(INDEX('Cronograma Asistente Técnico'!$I$5:$I$1000,$N95)="","",INDEX('Cronograma Asistente Técnico'!$I$5:$I$1000,$N95))))</f>
        <v/>
      </c>
      <c r="I95" s="68">
        <f>IF($N95="","",IF($P95&gt;0,IF(4&lt;=SemanaActual,INDEX('Cronograma Asistente Técnico'!$AB$5:$AB$1000,$N95),""),IF(INDEX('Cronograma Asistente Técnico'!$J$5:$J$1000,$N95)="","",INDEX('Cronograma Asistente Técnico'!$J$5:$J$1000,$N95))))</f>
        <v/>
      </c>
      <c r="J95" s="68">
        <f>IF($N95="","",INDEX('Cronograma Asistente Técnico'!$K$5:$K$1000,$N95))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Asistente Técnico'!$M$5:$M$1000,$N95)&amp;"")</f>
        <v/>
      </c>
      <c r="M95" s="71">
        <f>IF($N95="","",INDEX('Cronograma Asistente Técnico'!$N$5:$N$1000,$N95)&amp;"")</f>
        <v/>
      </c>
      <c r="N95">
        <f>IFERROR(MATCH(ROW()-4,rOrden_ATR,0),"")</f>
        <v/>
      </c>
      <c r="O95">
        <f>IF($N95="","",INDEX('Cronograma Asistente Técnico'!$S$5:$S$1000,$N95))</f>
        <v/>
      </c>
      <c r="P95">
        <f>IF($N95="","",N(INDEX('Cronograma Asistente Técnico'!$T$5:$T$1000,$N95)))</f>
        <v/>
      </c>
    </row>
    <row r="96">
      <c r="A96" s="62">
        <f>IF($N96="","",INDEX('Cronograma Asistente Técnico'!$A$5:$A$1000,$N96))</f>
        <v/>
      </c>
      <c r="B96" s="71">
        <f>IF($N96="","",IF($O96="Sub","      ↳  "&amp;INDEX('Cronograma Asistente Técnico'!$C$5:$C$1000,$N96),INDEX('Cronograma Asistente Técnico'!$C$5:$C$1000,$N96)&amp;""))</f>
        <v/>
      </c>
      <c r="C96" s="77">
        <f>IF($N96="","",IF(INDEX('Cronograma Asistente Técnico'!$D$5:$D$1000,$N96)="","",INDEX('Cronograma Asistente Técnico'!$D$5:$D$1000,$N96)))</f>
        <v/>
      </c>
      <c r="D96" s="77">
        <f>IF($N96="","",IF(INDEX('Cronograma Asistente Técnico'!$E$5:$E$1000,$N96)="","",INDEX('Cronograma Asistente Técnico'!$E$5:$E$1000,$N96)))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Asistente Técnico'!$Y$5:$Y$1000,$N96),""),IF(INDEX('Cronograma Asistente Técnico'!$G$5:$G$1000,$N96)="","",INDEX('Cronograma Asistente Técnico'!$G$5:$G$1000,$N96))))</f>
        <v/>
      </c>
      <c r="G96" s="68">
        <f>IF($N96="","",IF($P96&gt;0,IF(2&lt;=SemanaActual,INDEX('Cronograma Asistente Técnico'!$Z$5:$Z$1000,$N96),""),IF(INDEX('Cronograma Asistente Técnico'!$H$5:$H$1000,$N96)="","",INDEX('Cronograma Asistente Técnico'!$H$5:$H$1000,$N96))))</f>
        <v/>
      </c>
      <c r="H96" s="68">
        <f>IF($N96="","",IF($P96&gt;0,IF(3&lt;=SemanaActual,INDEX('Cronograma Asistente Técnico'!$AA$5:$AA$1000,$N96),""),IF(INDEX('Cronograma Asistente Técnico'!$I$5:$I$1000,$N96)="","",INDEX('Cronograma Asistente Técnico'!$I$5:$I$1000,$N96))))</f>
        <v/>
      </c>
      <c r="I96" s="68">
        <f>IF($N96="","",IF($P96&gt;0,IF(4&lt;=SemanaActual,INDEX('Cronograma Asistente Técnico'!$AB$5:$AB$1000,$N96),""),IF(INDEX('Cronograma Asistente Técnico'!$J$5:$J$1000,$N96)="","",INDEX('Cronograma Asistente Técnico'!$J$5:$J$1000,$N96))))</f>
        <v/>
      </c>
      <c r="J96" s="68">
        <f>IF($N96="","",INDEX('Cronograma Asistente Técnico'!$K$5:$K$1000,$N96))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Asistente Técnico'!$M$5:$M$1000,$N96)&amp;"")</f>
        <v/>
      </c>
      <c r="M96" s="71">
        <f>IF($N96="","",INDEX('Cronograma Asistente Técnico'!$N$5:$N$1000,$N96)&amp;"")</f>
        <v/>
      </c>
      <c r="N96">
        <f>IFERROR(MATCH(ROW()-4,rOrden_ATR,0),"")</f>
        <v/>
      </c>
      <c r="O96">
        <f>IF($N96="","",INDEX('Cronograma Asistente Técnico'!$S$5:$S$1000,$N96))</f>
        <v/>
      </c>
      <c r="P96">
        <f>IF($N96="","",N(INDEX('Cronograma Asistente Técnico'!$T$5:$T$1000,$N96)))</f>
        <v/>
      </c>
    </row>
    <row r="97">
      <c r="A97" s="62">
        <f>IF($N97="","",INDEX('Cronograma Asistente Técnico'!$A$5:$A$1000,$N97))</f>
        <v/>
      </c>
      <c r="B97" s="71">
        <f>IF($N97="","",IF($O97="Sub","      ↳  "&amp;INDEX('Cronograma Asistente Técnico'!$C$5:$C$1000,$N97),INDEX('Cronograma Asistente Técnico'!$C$5:$C$1000,$N97)&amp;""))</f>
        <v/>
      </c>
      <c r="C97" s="77">
        <f>IF($N97="","",IF(INDEX('Cronograma Asistente Técnico'!$D$5:$D$1000,$N97)="","",INDEX('Cronograma Asistente Técnico'!$D$5:$D$1000,$N97)))</f>
        <v/>
      </c>
      <c r="D97" s="77">
        <f>IF($N97="","",IF(INDEX('Cronograma Asistente Técnico'!$E$5:$E$1000,$N97)="","",INDEX('Cronograma Asistente Técnico'!$E$5:$E$1000,$N97)))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Asistente Técnico'!$Y$5:$Y$1000,$N97),""),IF(INDEX('Cronograma Asistente Técnico'!$G$5:$G$1000,$N97)="","",INDEX('Cronograma Asistente Técnico'!$G$5:$G$1000,$N97))))</f>
        <v/>
      </c>
      <c r="G97" s="68">
        <f>IF($N97="","",IF($P97&gt;0,IF(2&lt;=SemanaActual,INDEX('Cronograma Asistente Técnico'!$Z$5:$Z$1000,$N97),""),IF(INDEX('Cronograma Asistente Técnico'!$H$5:$H$1000,$N97)="","",INDEX('Cronograma Asistente Técnico'!$H$5:$H$1000,$N97))))</f>
        <v/>
      </c>
      <c r="H97" s="68">
        <f>IF($N97="","",IF($P97&gt;0,IF(3&lt;=SemanaActual,INDEX('Cronograma Asistente Técnico'!$AA$5:$AA$1000,$N97),""),IF(INDEX('Cronograma Asistente Técnico'!$I$5:$I$1000,$N97)="","",INDEX('Cronograma Asistente Técnico'!$I$5:$I$1000,$N97))))</f>
        <v/>
      </c>
      <c r="I97" s="68">
        <f>IF($N97="","",IF($P97&gt;0,IF(4&lt;=SemanaActual,INDEX('Cronograma Asistente Técnico'!$AB$5:$AB$1000,$N97),""),IF(INDEX('Cronograma Asistente Técnico'!$J$5:$J$1000,$N97)="","",INDEX('Cronograma Asistente Técnico'!$J$5:$J$1000,$N97))))</f>
        <v/>
      </c>
      <c r="J97" s="68">
        <f>IF($N97="","",INDEX('Cronograma Asistente Técnico'!$K$5:$K$1000,$N97))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Asistente Técnico'!$M$5:$M$1000,$N97)&amp;"")</f>
        <v/>
      </c>
      <c r="M97" s="71">
        <f>IF($N97="","",INDEX('Cronograma Asistente Técnico'!$N$5:$N$1000,$N97)&amp;"")</f>
        <v/>
      </c>
      <c r="N97">
        <f>IFERROR(MATCH(ROW()-4,rOrden_ATR,0),"")</f>
        <v/>
      </c>
      <c r="O97">
        <f>IF($N97="","",INDEX('Cronograma Asistente Técnico'!$S$5:$S$1000,$N97))</f>
        <v/>
      </c>
      <c r="P97">
        <f>IF($N97="","",N(INDEX('Cronograma Asistente Técnico'!$T$5:$T$1000,$N97)))</f>
        <v/>
      </c>
    </row>
    <row r="98">
      <c r="A98" s="62">
        <f>IF($N98="","",INDEX('Cronograma Asistente Técnico'!$A$5:$A$1000,$N98))</f>
        <v/>
      </c>
      <c r="B98" s="71">
        <f>IF($N98="","",IF($O98="Sub","      ↳  "&amp;INDEX('Cronograma Asistente Técnico'!$C$5:$C$1000,$N98),INDEX('Cronograma Asistente Técnico'!$C$5:$C$1000,$N98)&amp;""))</f>
        <v/>
      </c>
      <c r="C98" s="77">
        <f>IF($N98="","",IF(INDEX('Cronograma Asistente Técnico'!$D$5:$D$1000,$N98)="","",INDEX('Cronograma Asistente Técnico'!$D$5:$D$1000,$N98)))</f>
        <v/>
      </c>
      <c r="D98" s="77">
        <f>IF($N98="","",IF(INDEX('Cronograma Asistente Técnico'!$E$5:$E$1000,$N98)="","",INDEX('Cronograma Asistente Técnico'!$E$5:$E$1000,$N98)))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Asistente Técnico'!$Y$5:$Y$1000,$N98),""),IF(INDEX('Cronograma Asistente Técnico'!$G$5:$G$1000,$N98)="","",INDEX('Cronograma Asistente Técnico'!$G$5:$G$1000,$N98))))</f>
        <v/>
      </c>
      <c r="G98" s="68">
        <f>IF($N98="","",IF($P98&gt;0,IF(2&lt;=SemanaActual,INDEX('Cronograma Asistente Técnico'!$Z$5:$Z$1000,$N98),""),IF(INDEX('Cronograma Asistente Técnico'!$H$5:$H$1000,$N98)="","",INDEX('Cronograma Asistente Técnico'!$H$5:$H$1000,$N98))))</f>
        <v/>
      </c>
      <c r="H98" s="68">
        <f>IF($N98="","",IF($P98&gt;0,IF(3&lt;=SemanaActual,INDEX('Cronograma Asistente Técnico'!$AA$5:$AA$1000,$N98),""),IF(INDEX('Cronograma Asistente Técnico'!$I$5:$I$1000,$N98)="","",INDEX('Cronograma Asistente Técnico'!$I$5:$I$1000,$N98))))</f>
        <v/>
      </c>
      <c r="I98" s="68">
        <f>IF($N98="","",IF($P98&gt;0,IF(4&lt;=SemanaActual,INDEX('Cronograma Asistente Técnico'!$AB$5:$AB$1000,$N98),""),IF(INDEX('Cronograma Asistente Técnico'!$J$5:$J$1000,$N98)="","",INDEX('Cronograma Asistente Técnico'!$J$5:$J$1000,$N98))))</f>
        <v/>
      </c>
      <c r="J98" s="68">
        <f>IF($N98="","",INDEX('Cronograma Asistente Técnico'!$K$5:$K$1000,$N98))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Asistente Técnico'!$M$5:$M$1000,$N98)&amp;"")</f>
        <v/>
      </c>
      <c r="M98" s="71">
        <f>IF($N98="","",INDEX('Cronograma Asistente Técnico'!$N$5:$N$1000,$N98)&amp;"")</f>
        <v/>
      </c>
      <c r="N98">
        <f>IFERROR(MATCH(ROW()-4,rOrden_ATR,0),"")</f>
        <v/>
      </c>
      <c r="O98">
        <f>IF($N98="","",INDEX('Cronograma Asistente Técnico'!$S$5:$S$1000,$N98))</f>
        <v/>
      </c>
      <c r="P98">
        <f>IF($N98="","",N(INDEX('Cronograma Asistente Técnico'!$T$5:$T$1000,$N98)))</f>
        <v/>
      </c>
    </row>
    <row r="99">
      <c r="A99" s="62">
        <f>IF($N99="","",INDEX('Cronograma Asistente Técnico'!$A$5:$A$1000,$N99))</f>
        <v/>
      </c>
      <c r="B99" s="71">
        <f>IF($N99="","",IF($O99="Sub","      ↳  "&amp;INDEX('Cronograma Asistente Técnico'!$C$5:$C$1000,$N99),INDEX('Cronograma Asistente Técnico'!$C$5:$C$1000,$N99)&amp;""))</f>
        <v/>
      </c>
      <c r="C99" s="77">
        <f>IF($N99="","",IF(INDEX('Cronograma Asistente Técnico'!$D$5:$D$1000,$N99)="","",INDEX('Cronograma Asistente Técnico'!$D$5:$D$1000,$N99)))</f>
        <v/>
      </c>
      <c r="D99" s="77">
        <f>IF($N99="","",IF(INDEX('Cronograma Asistente Técnico'!$E$5:$E$1000,$N99)="","",INDEX('Cronograma Asistente Técnico'!$E$5:$E$1000,$N99)))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Asistente Técnico'!$Y$5:$Y$1000,$N99),""),IF(INDEX('Cronograma Asistente Técnico'!$G$5:$G$1000,$N99)="","",INDEX('Cronograma Asistente Técnico'!$G$5:$G$1000,$N99))))</f>
        <v/>
      </c>
      <c r="G99" s="68">
        <f>IF($N99="","",IF($P99&gt;0,IF(2&lt;=SemanaActual,INDEX('Cronograma Asistente Técnico'!$Z$5:$Z$1000,$N99),""),IF(INDEX('Cronograma Asistente Técnico'!$H$5:$H$1000,$N99)="","",INDEX('Cronograma Asistente Técnico'!$H$5:$H$1000,$N99))))</f>
        <v/>
      </c>
      <c r="H99" s="68">
        <f>IF($N99="","",IF($P99&gt;0,IF(3&lt;=SemanaActual,INDEX('Cronograma Asistente Técnico'!$AA$5:$AA$1000,$N99),""),IF(INDEX('Cronograma Asistente Técnico'!$I$5:$I$1000,$N99)="","",INDEX('Cronograma Asistente Técnico'!$I$5:$I$1000,$N99))))</f>
        <v/>
      </c>
      <c r="I99" s="68">
        <f>IF($N99="","",IF($P99&gt;0,IF(4&lt;=SemanaActual,INDEX('Cronograma Asistente Técnico'!$AB$5:$AB$1000,$N99),""),IF(INDEX('Cronograma Asistente Técnico'!$J$5:$J$1000,$N99)="","",INDEX('Cronograma Asistente Técnico'!$J$5:$J$1000,$N99))))</f>
        <v/>
      </c>
      <c r="J99" s="68">
        <f>IF($N99="","",INDEX('Cronograma Asistente Técnico'!$K$5:$K$1000,$N99))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Asistente Técnico'!$M$5:$M$1000,$N99)&amp;"")</f>
        <v/>
      </c>
      <c r="M99" s="71">
        <f>IF($N99="","",INDEX('Cronograma Asistente Técnico'!$N$5:$N$1000,$N99)&amp;"")</f>
        <v/>
      </c>
      <c r="N99">
        <f>IFERROR(MATCH(ROW()-4,rOrden_ATR,0),"")</f>
        <v/>
      </c>
      <c r="O99">
        <f>IF($N99="","",INDEX('Cronograma Asistente Técnico'!$S$5:$S$1000,$N99))</f>
        <v/>
      </c>
      <c r="P99">
        <f>IF($N99="","",N(INDEX('Cronograma Asistente Técnico'!$T$5:$T$1000,$N99)))</f>
        <v/>
      </c>
    </row>
    <row r="100">
      <c r="A100" s="62">
        <f>IF($N100="","",INDEX('Cronograma Asistente Técnico'!$A$5:$A$1000,$N100))</f>
        <v/>
      </c>
      <c r="B100" s="71">
        <f>IF($N100="","",IF($O100="Sub","      ↳  "&amp;INDEX('Cronograma Asistente Técnico'!$C$5:$C$1000,$N100),INDEX('Cronograma Asistente Técnico'!$C$5:$C$1000,$N100)&amp;""))</f>
        <v/>
      </c>
      <c r="C100" s="77">
        <f>IF($N100="","",IF(INDEX('Cronograma Asistente Técnico'!$D$5:$D$1000,$N100)="","",INDEX('Cronograma Asistente Técnico'!$D$5:$D$1000,$N100)))</f>
        <v/>
      </c>
      <c r="D100" s="77">
        <f>IF($N100="","",IF(INDEX('Cronograma Asistente Técnico'!$E$5:$E$1000,$N100)="","",INDEX('Cronograma Asistente Técnico'!$E$5:$E$1000,$N100)))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Asistente Técnico'!$Y$5:$Y$1000,$N100),""),IF(INDEX('Cronograma Asistente Técnico'!$G$5:$G$1000,$N100)="","",INDEX('Cronograma Asistente Técnico'!$G$5:$G$1000,$N100))))</f>
        <v/>
      </c>
      <c r="G100" s="68">
        <f>IF($N100="","",IF($P100&gt;0,IF(2&lt;=SemanaActual,INDEX('Cronograma Asistente Técnico'!$Z$5:$Z$1000,$N100),""),IF(INDEX('Cronograma Asistente Técnico'!$H$5:$H$1000,$N100)="","",INDEX('Cronograma Asistente Técnico'!$H$5:$H$1000,$N100))))</f>
        <v/>
      </c>
      <c r="H100" s="68">
        <f>IF($N100="","",IF($P100&gt;0,IF(3&lt;=SemanaActual,INDEX('Cronograma Asistente Técnico'!$AA$5:$AA$1000,$N100),""),IF(INDEX('Cronograma Asistente Técnico'!$I$5:$I$1000,$N100)="","",INDEX('Cronograma Asistente Técnico'!$I$5:$I$1000,$N100))))</f>
        <v/>
      </c>
      <c r="I100" s="68">
        <f>IF($N100="","",IF($P100&gt;0,IF(4&lt;=SemanaActual,INDEX('Cronograma Asistente Técnico'!$AB$5:$AB$1000,$N100),""),IF(INDEX('Cronograma Asistente Técnico'!$J$5:$J$1000,$N100)="","",INDEX('Cronograma Asistente Técnico'!$J$5:$J$1000,$N100))))</f>
        <v/>
      </c>
      <c r="J100" s="68">
        <f>IF($N100="","",INDEX('Cronograma Asistente Técnico'!$K$5:$K$1000,$N100))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Asistente Técnico'!$M$5:$M$1000,$N100)&amp;"")</f>
        <v/>
      </c>
      <c r="M100" s="71">
        <f>IF($N100="","",INDEX('Cronograma Asistente Técnico'!$N$5:$N$1000,$N100)&amp;"")</f>
        <v/>
      </c>
      <c r="N100">
        <f>IFERROR(MATCH(ROW()-4,rOrden_ATR,0),"")</f>
        <v/>
      </c>
      <c r="O100">
        <f>IF($N100="","",INDEX('Cronograma Asistente Técnico'!$S$5:$S$1000,$N100))</f>
        <v/>
      </c>
      <c r="P100">
        <f>IF($N100="","",N(INDEX('Cronograma Asistente Técnico'!$T$5:$T$1000,$N100)))</f>
        <v/>
      </c>
    </row>
    <row r="101">
      <c r="A101" s="62">
        <f>IF($N101="","",INDEX('Cronograma Asistente Técnico'!$A$5:$A$1000,$N101))</f>
        <v/>
      </c>
      <c r="B101" s="71">
        <f>IF($N101="","",IF($O101="Sub","      ↳  "&amp;INDEX('Cronograma Asistente Técnico'!$C$5:$C$1000,$N101),INDEX('Cronograma Asistente Técnico'!$C$5:$C$1000,$N101)&amp;""))</f>
        <v/>
      </c>
      <c r="C101" s="77">
        <f>IF($N101="","",IF(INDEX('Cronograma Asistente Técnico'!$D$5:$D$1000,$N101)="","",INDEX('Cronograma Asistente Técnico'!$D$5:$D$1000,$N101)))</f>
        <v/>
      </c>
      <c r="D101" s="77">
        <f>IF($N101="","",IF(INDEX('Cronograma Asistente Técnico'!$E$5:$E$1000,$N101)="","",INDEX('Cronograma Asistente Técnico'!$E$5:$E$1000,$N101)))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Asistente Técnico'!$Y$5:$Y$1000,$N101),""),IF(INDEX('Cronograma Asistente Técnico'!$G$5:$G$1000,$N101)="","",INDEX('Cronograma Asistente Técnico'!$G$5:$G$1000,$N101))))</f>
        <v/>
      </c>
      <c r="G101" s="68">
        <f>IF($N101="","",IF($P101&gt;0,IF(2&lt;=SemanaActual,INDEX('Cronograma Asistente Técnico'!$Z$5:$Z$1000,$N101),""),IF(INDEX('Cronograma Asistente Técnico'!$H$5:$H$1000,$N101)="","",INDEX('Cronograma Asistente Técnico'!$H$5:$H$1000,$N101))))</f>
        <v/>
      </c>
      <c r="H101" s="68">
        <f>IF($N101="","",IF($P101&gt;0,IF(3&lt;=SemanaActual,INDEX('Cronograma Asistente Técnico'!$AA$5:$AA$1000,$N101),""),IF(INDEX('Cronograma Asistente Técnico'!$I$5:$I$1000,$N101)="","",INDEX('Cronograma Asistente Técnico'!$I$5:$I$1000,$N101))))</f>
        <v/>
      </c>
      <c r="I101" s="68">
        <f>IF($N101="","",IF($P101&gt;0,IF(4&lt;=SemanaActual,INDEX('Cronograma Asistente Técnico'!$AB$5:$AB$1000,$N101),""),IF(INDEX('Cronograma Asistente Técnico'!$J$5:$J$1000,$N101)="","",INDEX('Cronograma Asistente Técnico'!$J$5:$J$1000,$N101))))</f>
        <v/>
      </c>
      <c r="J101" s="68">
        <f>IF($N101="","",INDEX('Cronograma Asistente Técnico'!$K$5:$K$1000,$N101))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Asistente Técnico'!$M$5:$M$1000,$N101)&amp;"")</f>
        <v/>
      </c>
      <c r="M101" s="71">
        <f>IF($N101="","",INDEX('Cronograma Asistente Técnico'!$N$5:$N$1000,$N101)&amp;"")</f>
        <v/>
      </c>
      <c r="N101">
        <f>IFERROR(MATCH(ROW()-4,rOrden_ATR,0),"")</f>
        <v/>
      </c>
      <c r="O101">
        <f>IF($N101="","",INDEX('Cronograma Asistente Técnico'!$S$5:$S$1000,$N101))</f>
        <v/>
      </c>
      <c r="P101">
        <f>IF($N101="","",N(INDEX('Cronograma Asistente Técnico'!$T$5:$T$1000,$N101)))</f>
        <v/>
      </c>
    </row>
    <row r="102">
      <c r="A102" s="62">
        <f>IF($N102="","",INDEX('Cronograma Asistente Técnico'!$A$5:$A$1000,$N102))</f>
        <v/>
      </c>
      <c r="B102" s="71">
        <f>IF($N102="","",IF($O102="Sub","      ↳  "&amp;INDEX('Cronograma Asistente Técnico'!$C$5:$C$1000,$N102),INDEX('Cronograma Asistente Técnico'!$C$5:$C$1000,$N102)&amp;""))</f>
        <v/>
      </c>
      <c r="C102" s="77">
        <f>IF($N102="","",IF(INDEX('Cronograma Asistente Técnico'!$D$5:$D$1000,$N102)="","",INDEX('Cronograma Asistente Técnico'!$D$5:$D$1000,$N102)))</f>
        <v/>
      </c>
      <c r="D102" s="77">
        <f>IF($N102="","",IF(INDEX('Cronograma Asistente Técnico'!$E$5:$E$1000,$N102)="","",INDEX('Cronograma Asistente Técnico'!$E$5:$E$1000,$N102)))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Asistente Técnico'!$Y$5:$Y$1000,$N102),""),IF(INDEX('Cronograma Asistente Técnico'!$G$5:$G$1000,$N102)="","",INDEX('Cronograma Asistente Técnico'!$G$5:$G$1000,$N102))))</f>
        <v/>
      </c>
      <c r="G102" s="68">
        <f>IF($N102="","",IF($P102&gt;0,IF(2&lt;=SemanaActual,INDEX('Cronograma Asistente Técnico'!$Z$5:$Z$1000,$N102),""),IF(INDEX('Cronograma Asistente Técnico'!$H$5:$H$1000,$N102)="","",INDEX('Cronograma Asistente Técnico'!$H$5:$H$1000,$N102))))</f>
        <v/>
      </c>
      <c r="H102" s="68">
        <f>IF($N102="","",IF($P102&gt;0,IF(3&lt;=SemanaActual,INDEX('Cronograma Asistente Técnico'!$AA$5:$AA$1000,$N102),""),IF(INDEX('Cronograma Asistente Técnico'!$I$5:$I$1000,$N102)="","",INDEX('Cronograma Asistente Técnico'!$I$5:$I$1000,$N102))))</f>
        <v/>
      </c>
      <c r="I102" s="68">
        <f>IF($N102="","",IF($P102&gt;0,IF(4&lt;=SemanaActual,INDEX('Cronograma Asistente Técnico'!$AB$5:$AB$1000,$N102),""),IF(INDEX('Cronograma Asistente Técnico'!$J$5:$J$1000,$N102)="","",INDEX('Cronograma Asistente Técnico'!$J$5:$J$1000,$N102))))</f>
        <v/>
      </c>
      <c r="J102" s="68">
        <f>IF($N102="","",INDEX('Cronograma Asistente Técnico'!$K$5:$K$1000,$N102))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Asistente Técnico'!$M$5:$M$1000,$N102)&amp;"")</f>
        <v/>
      </c>
      <c r="M102" s="71">
        <f>IF($N102="","",INDEX('Cronograma Asistente Técnico'!$N$5:$N$1000,$N102)&amp;"")</f>
        <v/>
      </c>
      <c r="N102">
        <f>IFERROR(MATCH(ROW()-4,rOrden_ATR,0),"")</f>
        <v/>
      </c>
      <c r="O102">
        <f>IF($N102="","",INDEX('Cronograma Asistente Técnico'!$S$5:$S$1000,$N102))</f>
        <v/>
      </c>
      <c r="P102">
        <f>IF($N102="","",N(INDEX('Cronograma Asistente Técnico'!$T$5:$T$1000,$N102)))</f>
        <v/>
      </c>
    </row>
    <row r="103">
      <c r="A103" s="62">
        <f>IF($N103="","",INDEX('Cronograma Asistente Técnico'!$A$5:$A$1000,$N103))</f>
        <v/>
      </c>
      <c r="B103" s="71">
        <f>IF($N103="","",IF($O103="Sub","      ↳  "&amp;INDEX('Cronograma Asistente Técnico'!$C$5:$C$1000,$N103),INDEX('Cronograma Asistente Técnico'!$C$5:$C$1000,$N103)&amp;""))</f>
        <v/>
      </c>
      <c r="C103" s="77">
        <f>IF($N103="","",IF(INDEX('Cronograma Asistente Técnico'!$D$5:$D$1000,$N103)="","",INDEX('Cronograma Asistente Técnico'!$D$5:$D$1000,$N103)))</f>
        <v/>
      </c>
      <c r="D103" s="77">
        <f>IF($N103="","",IF(INDEX('Cronograma Asistente Técnico'!$E$5:$E$1000,$N103)="","",INDEX('Cronograma Asistente Técnico'!$E$5:$E$1000,$N103)))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Asistente Técnico'!$Y$5:$Y$1000,$N103),""),IF(INDEX('Cronograma Asistente Técnico'!$G$5:$G$1000,$N103)="","",INDEX('Cronograma Asistente Técnico'!$G$5:$G$1000,$N103))))</f>
        <v/>
      </c>
      <c r="G103" s="68">
        <f>IF($N103="","",IF($P103&gt;0,IF(2&lt;=SemanaActual,INDEX('Cronograma Asistente Técnico'!$Z$5:$Z$1000,$N103),""),IF(INDEX('Cronograma Asistente Técnico'!$H$5:$H$1000,$N103)="","",INDEX('Cronograma Asistente Técnico'!$H$5:$H$1000,$N103))))</f>
        <v/>
      </c>
      <c r="H103" s="68">
        <f>IF($N103="","",IF($P103&gt;0,IF(3&lt;=SemanaActual,INDEX('Cronograma Asistente Técnico'!$AA$5:$AA$1000,$N103),""),IF(INDEX('Cronograma Asistente Técnico'!$I$5:$I$1000,$N103)="","",INDEX('Cronograma Asistente Técnico'!$I$5:$I$1000,$N103))))</f>
        <v/>
      </c>
      <c r="I103" s="68">
        <f>IF($N103="","",IF($P103&gt;0,IF(4&lt;=SemanaActual,INDEX('Cronograma Asistente Técnico'!$AB$5:$AB$1000,$N103),""),IF(INDEX('Cronograma Asistente Técnico'!$J$5:$J$1000,$N103)="","",INDEX('Cronograma Asistente Técnico'!$J$5:$J$1000,$N103))))</f>
        <v/>
      </c>
      <c r="J103" s="68">
        <f>IF($N103="","",INDEX('Cronograma Asistente Técnico'!$K$5:$K$1000,$N103))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Asistente Técnico'!$M$5:$M$1000,$N103)&amp;"")</f>
        <v/>
      </c>
      <c r="M103" s="71">
        <f>IF($N103="","",INDEX('Cronograma Asistente Técnico'!$N$5:$N$1000,$N103)&amp;"")</f>
        <v/>
      </c>
      <c r="N103">
        <f>IFERROR(MATCH(ROW()-4,rOrden_ATR,0),"")</f>
        <v/>
      </c>
      <c r="O103">
        <f>IF($N103="","",INDEX('Cronograma Asistente Técnico'!$S$5:$S$1000,$N103))</f>
        <v/>
      </c>
      <c r="P103">
        <f>IF($N103="","",N(INDEX('Cronograma Asistente Técnico'!$T$5:$T$1000,$N103)))</f>
        <v/>
      </c>
    </row>
    <row r="104">
      <c r="A104" s="62">
        <f>IF($N104="","",INDEX('Cronograma Asistente Técnico'!$A$5:$A$1000,$N104))</f>
        <v/>
      </c>
      <c r="B104" s="71">
        <f>IF($N104="","",IF($O104="Sub","      ↳  "&amp;INDEX('Cronograma Asistente Técnico'!$C$5:$C$1000,$N104),INDEX('Cronograma Asistente Técnico'!$C$5:$C$1000,$N104)&amp;""))</f>
        <v/>
      </c>
      <c r="C104" s="77">
        <f>IF($N104="","",IF(INDEX('Cronograma Asistente Técnico'!$D$5:$D$1000,$N104)="","",INDEX('Cronograma Asistente Técnico'!$D$5:$D$1000,$N104)))</f>
        <v/>
      </c>
      <c r="D104" s="77">
        <f>IF($N104="","",IF(INDEX('Cronograma Asistente Técnico'!$E$5:$E$1000,$N104)="","",INDEX('Cronograma Asistente Técnico'!$E$5:$E$1000,$N104)))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Asistente Técnico'!$Y$5:$Y$1000,$N104),""),IF(INDEX('Cronograma Asistente Técnico'!$G$5:$G$1000,$N104)="","",INDEX('Cronograma Asistente Técnico'!$G$5:$G$1000,$N104))))</f>
        <v/>
      </c>
      <c r="G104" s="68">
        <f>IF($N104="","",IF($P104&gt;0,IF(2&lt;=SemanaActual,INDEX('Cronograma Asistente Técnico'!$Z$5:$Z$1000,$N104),""),IF(INDEX('Cronograma Asistente Técnico'!$H$5:$H$1000,$N104)="","",INDEX('Cronograma Asistente Técnico'!$H$5:$H$1000,$N104))))</f>
        <v/>
      </c>
      <c r="H104" s="68">
        <f>IF($N104="","",IF($P104&gt;0,IF(3&lt;=SemanaActual,INDEX('Cronograma Asistente Técnico'!$AA$5:$AA$1000,$N104),""),IF(INDEX('Cronograma Asistente Técnico'!$I$5:$I$1000,$N104)="","",INDEX('Cronograma Asistente Técnico'!$I$5:$I$1000,$N104))))</f>
        <v/>
      </c>
      <c r="I104" s="68">
        <f>IF($N104="","",IF($P104&gt;0,IF(4&lt;=SemanaActual,INDEX('Cronograma Asistente Técnico'!$AB$5:$AB$1000,$N104),""),IF(INDEX('Cronograma Asistente Técnico'!$J$5:$J$1000,$N104)="","",INDEX('Cronograma Asistente Técnico'!$J$5:$J$1000,$N104))))</f>
        <v/>
      </c>
      <c r="J104" s="68">
        <f>IF($N104="","",INDEX('Cronograma Asistente Técnico'!$K$5:$K$1000,$N104))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Asistente Técnico'!$M$5:$M$1000,$N104)&amp;"")</f>
        <v/>
      </c>
      <c r="M104" s="71">
        <f>IF($N104="","",INDEX('Cronograma Asistente Técnico'!$N$5:$N$1000,$N104)&amp;"")</f>
        <v/>
      </c>
      <c r="N104">
        <f>IFERROR(MATCH(ROW()-4,rOrden_ATR,0),"")</f>
        <v/>
      </c>
      <c r="O104">
        <f>IF($N104="","",INDEX('Cronograma Asistente Técnico'!$S$5:$S$1000,$N104))</f>
        <v/>
      </c>
      <c r="P104">
        <f>IF($N104="","",N(INDEX('Cronograma Asistente Técnico'!$T$5:$T$1000,$N104)))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8">
      <formula>AND(ISNUMBER($C5),ISNUMBER($D5),$C5&lt;=InicioCiclo+7*(COLUMN(F5)-6)+6,$D5&gt;=InicioCiclo+7*(COLUMN(F5)-6))</formula>
    </cfRule>
  </conditionalFormatting>
  <conditionalFormatting sqref="A5:M104">
    <cfRule type="expression" priority="3" dxfId="26">
      <formula>$O5="Macro"</formula>
    </cfRule>
  </conditionalFormatting>
  <conditionalFormatting sqref="A5:B104">
    <cfRule type="expression" priority="4" dxfId="27">
      <formula>$O5="Macro"</formula>
    </cfRule>
  </conditionalFormatting>
  <conditionalFormatting sqref="K5:K104">
    <cfRule type="expression" priority="5" dxfId="0">
      <formula>$K5="Completado"</formula>
    </cfRule>
    <cfRule type="expression" priority="6" dxfId="6">
      <formula>$K5="Vencida"</formula>
    </cfRule>
    <cfRule type="expression" priority="7" dxfId="4">
      <formula>$K5="En curso"</formula>
    </cfRule>
    <cfRule type="expression" priority="8" dxfId="5">
      <formula>$K5="Pendiente"</formula>
    </cfRule>
  </conditionalFormatting>
  <conditionalFormatting sqref="L5:L104">
    <cfRule type="expression" priority="9" dxfId="8" stopIfTrue="1">
      <formula>LEFT($L5,7)="Vencida"</formula>
    </cfRule>
    <cfRule type="expression" priority="10" dxfId="9" stopIfTrue="1">
      <formula>LEFT($L5,5)="Vence"</formula>
    </cfRule>
    <cfRule type="expression" priority="11" dxfId="0" stopIfTrue="1">
      <formula>$L5="Cumplida"</formula>
    </cfRule>
    <cfRule type="expression" priority="12" dxfId="15" stopIfTrue="1">
      <formula>$L5="En plazo"</formula>
    </cfRule>
    <cfRule type="expression" priority="13" dxfId="5">
      <formula>$L5="Sin fecha límite"</formula>
    </cfRule>
  </conditionalFormatting>
  <conditionalFormatting sqref="E5:E104">
    <cfRule type="expression" priority="14" dxfId="1">
      <formula>$E5="Semana "&amp;SemanaActual</formula>
    </cfRule>
  </conditionalFormatting>
  <conditionalFormatting sqref="J5:J104">
    <cfRule type="dataBar" priority="15">
      <dataBar showValue="1">
        <cfvo type="num" val="0"/>
        <cfvo type="num" val="1"/>
        <color rgb="005B9BD5"/>
      </dataBar>
    </cfRule>
  </conditionalFormatting>
  <conditionalFormatting sqref="F4:I4">
    <cfRule type="expression" priority="16" dxfId="1">
      <formula>COLUMN(F4)-5=SemanaActual</formula>
    </cfRule>
  </conditionalFormatting>
  <conditionalFormatting sqref="F3:I3">
    <cfRule type="expression" priority="17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B85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46" t="inlineStr">
        <is>
          <t>Instrucciones – cómo usar este archivo</t>
        </is>
      </c>
    </row>
    <row r="3" ht="20" customHeight="1">
      <c r="B3" s="84" t="inlineStr">
        <is>
          <t>¿Para qué sirve este archivo?</t>
        </is>
      </c>
    </row>
    <row r="4" ht="45" customHeight="1">
      <c r="B4" s="85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4" t="inlineStr">
        <is>
          <t>Colores: qué se llena y qué no</t>
        </is>
      </c>
    </row>
    <row r="7" ht="15" customHeight="1">
      <c r="B7" s="85" t="inlineStr">
        <is>
          <t>• GRIS SUAVE = celda que usted llena (desbloqueada).</t>
        </is>
      </c>
    </row>
    <row r="8" ht="15" customHeight="1">
      <c r="B8" s="85" t="inlineStr">
        <is>
          <t>• AZUL MUY CLARO = celda automática (bloqueada: no se puede escribir en ella).</t>
        </is>
      </c>
    </row>
    <row r="9" ht="30" customHeight="1">
      <c r="B9" s="85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5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4" t="inlineStr">
        <is>
          <t>Las hojas del archivo</t>
        </is>
      </c>
    </row>
    <row r="13" ht="30" customHeight="1">
      <c r="B13" s="85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5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5" t="inlineStr">
        <is>
          <t>• Cronograma (una por puesto): la ÚNICA hoja donde cada responsable escribe sus actividades, pesos, avances y observaciones.</t>
        </is>
      </c>
    </row>
    <row r="16" ht="30" customHeight="1">
      <c r="B16" s="85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5" t="inlineStr">
        <is>
          <t>• Configuración: mes, semana y fecha de corte. Todo se calcula solo con la fecha de hoy.</t>
        </is>
      </c>
    </row>
    <row r="19" ht="20" customHeight="1">
      <c r="B19" s="84" t="inlineStr">
        <is>
          <t>Cómo llenar su hoja «Cronograma» (paso a paso)</t>
        </is>
      </c>
    </row>
    <row r="20" ht="15" customHeight="1">
      <c r="B20" s="85" t="inlineStr">
        <is>
          <t>1) Abra la pestaña «Cronograma» de SU puesto y escriba en la primera fila vacía (celdas gris suave).</t>
        </is>
      </c>
    </row>
    <row r="21" ht="15" customHeight="1">
      <c r="B21" s="85" t="inlineStr">
        <is>
          <t>2) En «Tipo» elija «Macroactividad» (si lo deja vacío, también cuenta como macroactividad).</t>
        </is>
      </c>
    </row>
    <row r="22" ht="30" customHeight="1">
      <c r="B22" s="85" t="inlineStr">
        <is>
          <t>3) Escriba el nombre en «Actividad», la Fecha de inicio, la Fecha límite y el Peso. El N° (1, 2, 3… por mes) y el Mes se llenan solos.</t>
        </is>
      </c>
    </row>
    <row r="23" ht="30" customHeight="1">
      <c r="B23" s="85" t="inlineStr">
        <is>
          <t>4) Peso (%): qué tanto vale esa macroactividad dentro de su puesto EN ESE MES. Las macroactividades del mes deben sumar 100% (ej. 40% + 35% + 25%). Arriba de la tabla verá si ya suman 100%.</t>
        </is>
      </c>
    </row>
    <row r="24" ht="30" customHeight="1">
      <c r="B24" s="85" t="inlineStr">
        <is>
          <t>5) Si la macroactividad NO tiene subactividades: cada viernes escriba en la columna de esa semana el avance TOTAL logrado hasta ese día (ej. Semana 1 = 20%, Semana 2 = 45%, Semana 3 = 75%, Semana 4 = 100%).</t>
        </is>
      </c>
    </row>
    <row r="25" ht="15" customHeight="1">
      <c r="B25" s="85" t="inlineStr">
        <is>
          <t>6) El «% de Avance Total Actual», el «Estado» y la «Alerta de plazo» se calculan solos.</t>
        </is>
      </c>
    </row>
    <row r="26" ht="15" customHeight="1">
      <c r="B26" s="85" t="inlineStr">
        <is>
          <t>7) Observaciones: si una actividad se atrasa o no se cumplió, escriba aquí el motivo y la nueva fecha.</t>
        </is>
      </c>
    </row>
    <row r="28" ht="20" customHeight="1">
      <c r="B28" s="84" t="inlineStr">
        <is>
          <t>Subactividades (puede agregar todas las que necesite)</t>
        </is>
      </c>
    </row>
    <row r="29" ht="30" customHeight="1">
      <c r="B29" s="85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0" ht="15" customHeight="1">
      <c r="B30" s="85" t="inlineStr">
        <is>
          <t>2) El N° NO se escribe: sale solo 1.1, 1.2, 1.3… (la columna está bloqueada).</t>
        </is>
      </c>
    </row>
    <row r="31" ht="45" customHeight="1">
      <c r="B31" s="85" t="inlineStr">
        <is>
          <t>3) Peso de la subactividad: qué parte del peso de su macroactividad le corresponde. Los pesos de las subactividades deben SUMAR el peso de la macroactividad. Ejemplo: macroactividad 60% → subactividades 20% + 25% + 15% = 60%. Si deja los pesos de las subactividades vacíos, todas valen lo mismo.</t>
        </is>
      </c>
    </row>
    <row r="32" ht="30" customHeight="1">
      <c r="B32" s="85" t="inlineStr">
        <is>
          <t>4) Cada viernes escriba el avance de CADA SUBACTIVIDAD en la columna de esa semana (ej. 100% si ya terminó, 50% si va a la mitad).</t>
        </is>
      </c>
    </row>
    <row r="33" ht="60" customHeight="1">
      <c r="B33" s="85" t="inlineStr">
        <is>
          <t>5) El avance de la macroactividad se calcula SOLO, semana por semana, con sus subactividades según su peso. Ejemplo: subactividades de 20%, 25% y 15% (total 60%); si en la Semana 1 la primera llega al 100% y las otras están en 0%, la macroactividad va en 20/60 = 33%. Por eso, en la fila de la macroactividad deje VACÍAS las semanas (se ven en azul claro).</t>
        </is>
      </c>
    </row>
    <row r="34" ht="30" customHeight="1">
      <c r="B34" s="85" t="inlineStr">
        <is>
          <t>6) Para agregar otra subactividad más adelante, escríbala debajo de las demás subactividades de su macroactividad: siempre pertenece a la macroactividad que esté más arriba.</t>
        </is>
      </c>
    </row>
    <row r="36" ht="20" customHeight="1">
      <c r="B36" s="84" t="inlineStr">
        <is>
          <t>Alerta de plazo (vencidas y por vencer)</t>
        </is>
      </c>
    </row>
    <row r="37" ht="15" customHeight="1">
      <c r="B37" s="85" t="inlineStr">
        <is>
          <t>La columna «Alerta de plazo» (en el Cronograma y en la hoja Actividades) dice en cada actividad y subactividad:</t>
        </is>
      </c>
    </row>
    <row r="38" ht="30" customHeight="1">
      <c r="B38" s="85" t="inlineStr">
        <is>
          <t>• «Vencida hace X días» (rojo): pasó la fecha límite y no llegó al 100%. Escriba en Observaciones por qué no se cumplió.</t>
        </is>
      </c>
    </row>
    <row r="39" ht="30" customHeight="1">
      <c r="B39" s="85" t="inlineStr">
        <is>
          <t>• «Vence hoy» o «Vence en X días» (amarillo): la fecha límite está cerca (el número de días se cambia en Configuración).</t>
        </is>
      </c>
    </row>
    <row r="40" ht="15" customHeight="1">
      <c r="B40" s="85" t="inlineStr">
        <is>
          <t>• «En plazo» (verde claro) · «Cumplida» (verde): llegó al 100%.</t>
        </is>
      </c>
    </row>
    <row r="41" ht="30" customHeight="1">
      <c r="B41" s="85" t="inlineStr">
        <is>
          <t>Arriba de cada Cronograma aparece el total del mes («X vencida(s) · Y por vencer») y el Dashboard muestra lo mismo por puesto.</t>
        </is>
      </c>
    </row>
    <row r="43" ht="20" customHeight="1">
      <c r="B43" s="84" t="inlineStr">
        <is>
          <t>¿Qué es la columna «Revisión automática (alertas)»?</t>
        </is>
      </c>
    </row>
    <row r="44" ht="45" customHeight="1">
      <c r="B44" s="85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45" ht="15" customHeight="1">
      <c r="B45" s="85" t="inlineStr">
        <is>
          <t>No hay que escribir nada en esa columna. Corrija lo que indica y el aviso desaparece.</t>
        </is>
      </c>
    </row>
    <row r="47" ht="20" customHeight="1">
      <c r="B47" s="84" t="inlineStr">
        <is>
          <t>La hoja «Actividades» (automática y bloqueada)</t>
        </is>
      </c>
    </row>
    <row r="48" ht="30" customHeight="1">
      <c r="B48" s="85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49" ht="15" customHeight="1">
      <c r="B49" s="85" t="inlineStr">
        <is>
          <t>2) «Semana de entrega» indica en qué semana del mes cae la fecha límite (la semana actual se resalta en amarillo).</t>
        </is>
      </c>
    </row>
    <row r="50" ht="45" customHeight="1">
      <c r="B50" s="85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51" ht="15" customHeight="1">
      <c r="B51" s="85" t="inlineStr">
        <is>
          <t>4) Para cambiar algo, corríjalo en el Cronograma: esta hoja se actualiza al instante.</t>
        </is>
      </c>
    </row>
    <row r="53" ht="20" customHeight="1">
      <c r="B53" s="84" t="inlineStr">
        <is>
          <t>Cada mes nuevo: NO se borra nada</t>
        </is>
      </c>
    </row>
    <row r="54" ht="30" customHeight="1">
      <c r="B54" s="85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55" ht="30" customHeight="1">
      <c r="B55" s="85" t="inlineStr">
        <is>
          <t>2) El mes de cada actividad se asigna solo según su fecha de inicio. El Dashboard y las hojas Actividades muestran automáticamente el mes actual, con su Semana 1 a 4.</t>
        </is>
      </c>
    </row>
    <row r="56" ht="30" customHeight="1">
      <c r="B56" s="85" t="inlineStr">
        <is>
          <t>3) Si una actividad se repite cada mes, cópiela en una fila nueva y cambie sus fechas al nuevo mes (y borre los avances de la copia).</t>
        </is>
      </c>
    </row>
    <row r="57" ht="45" customHeight="1">
      <c r="B57" s="85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58" ht="15" customHeight="1">
      <c r="B58" s="85" t="inlineStr">
        <is>
          <t>5) La hoja «Historial mensual» muestra el avance de cada puesto mes a mes, desde octubre 2026 (24 meses).</t>
        </is>
      </c>
    </row>
    <row r="59" ht="30" customHeight="1">
      <c r="B59" s="85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61" ht="20" customHeight="1">
      <c r="B61" s="84" t="inlineStr">
        <is>
          <t>El Dashboard (resumen automático del mes)</t>
        </is>
      </c>
    </row>
    <row r="62" ht="30" customHeight="1">
      <c r="B62" s="85" t="inlineStr">
        <is>
          <t>• Muestra el avance de cada puesto y el general, cuántas actividades están completadas, en curso, pendientes o vencidas, y el avance de cada semana del mes.</t>
        </is>
      </c>
    </row>
    <row r="63" ht="30" customHeight="1">
      <c r="B63" s="85" t="inlineStr">
        <is>
          <t>• Avance del puesto = suma de (peso × avance) de sus actividades del mes. Avance general = promedio de los 4 puestos (todos valen igual).</t>
        </is>
      </c>
    </row>
    <row r="64" ht="30" customHeight="1">
      <c r="B64" s="85" t="inlineStr">
        <is>
          <t>• Si un puesto llega al 100% antes de la Semana 4 aparece «¡Enhorabuena, completado anticipadamente!». Si llega en la Semana 4: «Completado».</t>
        </is>
      </c>
    </row>
    <row r="65" ht="30" customHeight="1">
      <c r="B65" s="85" t="inlineStr">
        <is>
          <t>• Si un puesto no tiene actividades en el mes o sus pesos no suman 100%, el avance general aparece como «No definitivo» hasta que se corrija.</t>
        </is>
      </c>
    </row>
    <row r="66" ht="15" customHeight="1">
      <c r="B66" s="85" t="inlineStr">
        <is>
          <t>• Haga clic en el nombre de un puesto para ir a su hoja.</t>
        </is>
      </c>
    </row>
    <row r="68" ht="20" customHeight="1">
      <c r="B68" s="84" t="inlineStr">
        <is>
          <t>Compartir el archivo con el equipo</t>
        </is>
      </c>
    </row>
    <row r="69" ht="15" customHeight="1">
      <c r="B69" s="85" t="inlineStr">
        <is>
          <t>1) Suba el archivo a OneDrive o SharePoint del área.</t>
        </is>
      </c>
    </row>
    <row r="70" ht="30" customHeight="1">
      <c r="B70" s="85" t="inlineStr">
        <is>
          <t>2) Botón Compartir &gt; invite a los cuatro responsables con permiso de edición, y a la jefatura con permiso de solo lectura.</t>
        </is>
      </c>
    </row>
    <row r="71" ht="30" customHeight="1">
      <c r="B71" s="85" t="inlineStr">
        <is>
          <t>3) Todos pueden trabajar al mismo tiempo, cada quien en su Cronograma (Excel en la Web o Microsoft 365, con Autoguardado activado).</t>
        </is>
      </c>
    </row>
    <row r="72" ht="30" customHeight="1">
      <c r="B72" s="85" t="inlineStr">
        <is>
          <t>4) Si alguien borra algo por error: Archivo &gt; Información &gt; Historial de versiones permite recuperar una versión anterior y ver quién cambió qué.</t>
        </is>
      </c>
    </row>
    <row r="74" ht="20" customHeight="1">
      <c r="B74" s="84" t="inlineStr">
        <is>
          <t>Protección</t>
        </is>
      </c>
    </row>
    <row r="75" ht="45" customHeight="1">
      <c r="B75" s="85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76" ht="30" customHeight="1">
      <c r="B76" s="85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77" ht="60" customHeight="1">
      <c r="B77" s="85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79" ht="20" customHeight="1">
      <c r="B79" s="84" t="inlineStr">
        <is>
          <t>Necesito más filas</t>
        </is>
      </c>
    </row>
    <row r="80" ht="30" customHeight="1">
      <c r="B80" s="85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82" ht="20" customHeight="1">
      <c r="B82" s="84" t="inlineStr">
        <is>
          <t>Notas técnicas</t>
        </is>
      </c>
    </row>
    <row r="83" ht="30" customHeight="1">
      <c r="B83" s="85" t="inlineStr">
        <is>
          <t>• Archivo .xlsx sin macros, para Microsoft 365 en español (escritorio y Web). Las fórmulas se ven en español (BUSCAR, SI.ERROR, SUMAPRODUCTO, HOY…).</t>
        </is>
      </c>
    </row>
    <row r="84" ht="15" customHeight="1">
      <c r="B84" s="85" t="inlineStr">
        <is>
          <t>• Fórmula del avance actual: =SI.ERROR(BUSCAR(2;1/(G5:J5&lt;&gt;"");G5:J5);0) → toma el último avance semanal escrito.</t>
        </is>
      </c>
    </row>
    <row r="85" ht="30" customHeight="1">
      <c r="B85" s="85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46" t="inlineStr">
        <is>
          <t>Configuración del ciclo mensual</t>
        </is>
      </c>
      <c r="C1" s="46" t="n"/>
      <c r="D1" s="46" t="n"/>
    </row>
    <row r="2">
      <c r="B2" s="86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7" t="inlineStr">
        <is>
          <t>Mes que se muestra</t>
        </is>
      </c>
      <c r="C4" s="88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7" t="inlineStr">
        <is>
          <t>Fecha de inicio del ciclo (lunes de la Semana 1)</t>
        </is>
      </c>
      <c r="C5" s="89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7" t="inlineStr">
        <is>
          <t>Fecha de corte</t>
        </is>
      </c>
      <c r="C6" s="89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7" t="inlineStr">
        <is>
          <t>Semana actual del ciclo (1 a 4)</t>
        </is>
      </c>
      <c r="C7" s="90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7" t="inlineStr">
        <is>
          <t>Semana manual (opcional)</t>
        </is>
      </c>
      <c r="C8" s="91" t="n"/>
      <c r="D8" s="44" t="inlineStr">
        <is>
          <t>Déjela VACÍA para usar la semana automática. Escriba 1–4 solo si necesita forzar otra semana.</t>
        </is>
      </c>
    </row>
    <row r="9" ht="30" customHeight="1">
      <c r="B9" s="87" t="inlineStr">
        <is>
          <t>Días de anticipación para alerta «próxima a vencer»</t>
        </is>
      </c>
      <c r="C9" s="91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7" t="inlineStr">
        <is>
          <t>¿Observación obligatoria si una actividad vence sin cumplirse?</t>
        </is>
      </c>
      <c r="C10" s="92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7" t="inlineStr">
        <is>
          <t>Meta mensual</t>
        </is>
      </c>
      <c r="C11" s="93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7" t="inlineStr">
        <is>
          <t>Primer mes del historial</t>
        </is>
      </c>
      <c r="C12" s="88" t="n">
        <v>46296</v>
      </c>
      <c r="D12" s="44" t="inlineStr">
        <is>
          <t>El Historial mensual empieza en este mes (octubre 2026) y muestra 24 meses seguidos.</t>
        </is>
      </c>
    </row>
    <row r="14">
      <c r="B14" s="94" t="inlineStr">
        <is>
          <t>Plan de referencia (avance esperado acumulado por semana) – supuesto editable</t>
        </is>
      </c>
      <c r="C14" s="94" t="n"/>
      <c r="D14" s="94" t="n"/>
    </row>
    <row r="15">
      <c r="B15" s="95" t="inlineStr">
        <is>
          <t>Semana 1</t>
        </is>
      </c>
      <c r="C15" s="96" t="n">
        <v>0.25</v>
      </c>
      <c r="D15" s="97" t="inlineStr">
        <is>
          <t>Referencia lineal solo para comparación visual; no afecta el cálculo del avance real.</t>
        </is>
      </c>
    </row>
    <row r="16">
      <c r="B16" s="95" t="inlineStr">
        <is>
          <t>Semana 2</t>
        </is>
      </c>
      <c r="C16" s="96" t="n">
        <v>0.5</v>
      </c>
      <c r="D16" s="97" t="inlineStr">
        <is>
          <t>Referencia lineal solo para comparación visual; no afecta el cálculo del avance real.</t>
        </is>
      </c>
    </row>
    <row r="17">
      <c r="B17" s="95" t="inlineStr">
        <is>
          <t>Semana 3</t>
        </is>
      </c>
      <c r="C17" s="96" t="n">
        <v>0.75</v>
      </c>
      <c r="D17" s="97" t="inlineStr">
        <is>
          <t>Referencia lineal solo para comparación visual; no afecta el cálculo del avance real.</t>
        </is>
      </c>
    </row>
    <row r="18">
      <c r="B18" s="95" t="inlineStr">
        <is>
          <t>Semana 4</t>
        </is>
      </c>
      <c r="C18" s="96" t="n">
        <v>1</v>
      </c>
      <c r="D18" s="97" t="inlineStr">
        <is>
          <t>Referencia lineal solo para comparación visual; no afecta el cálculo del avance real.</t>
        </is>
      </c>
    </row>
    <row r="20">
      <c r="B20" s="98" t="inlineStr">
        <is>
          <t>Listas desplegables (no editar sin actualizar las fórmulas)</t>
        </is>
      </c>
      <c r="C20" s="98" t="n"/>
      <c r="D20" s="98" t="n"/>
    </row>
    <row r="21">
      <c r="B21" s="99" t="inlineStr">
        <is>
          <t>Áreas / Puestos</t>
        </is>
      </c>
    </row>
    <row r="22">
      <c r="B22" s="100" t="inlineStr">
        <is>
          <t>Riesgo Operacional</t>
        </is>
      </c>
    </row>
    <row r="23">
      <c r="B23" s="100" t="inlineStr">
        <is>
          <t>Riesgo Normativo</t>
        </is>
      </c>
    </row>
    <row r="24">
      <c r="B24" s="100" t="inlineStr">
        <is>
          <t>Riesgo Financiero</t>
        </is>
      </c>
    </row>
    <row r="25">
      <c r="B25" s="100" t="inlineStr">
        <is>
          <t>Asistente Técnico de Riesgo</t>
        </is>
      </c>
    </row>
    <row r="27">
      <c r="B27" s="99" t="inlineStr">
        <is>
          <t>Estados</t>
        </is>
      </c>
    </row>
    <row r="28">
      <c r="B28" s="100" t="inlineStr">
        <is>
          <t>Pendiente</t>
        </is>
      </c>
    </row>
    <row r="29">
      <c r="B29" s="100" t="inlineStr">
        <is>
          <t>En curso</t>
        </is>
      </c>
    </row>
    <row r="30">
      <c r="B30" s="100" t="inlineStr">
        <is>
          <t>Completado</t>
        </is>
      </c>
    </row>
    <row r="32">
      <c r="B32" s="99" t="inlineStr">
        <is>
          <t>Semanas</t>
        </is>
      </c>
    </row>
    <row r="33">
      <c r="B33" s="100" t="inlineStr">
        <is>
          <t>Semana 1</t>
        </is>
      </c>
    </row>
    <row r="34">
      <c r="B34" s="100" t="inlineStr">
        <is>
          <t>Semana 2</t>
        </is>
      </c>
    </row>
    <row r="35">
      <c r="B35" s="100" t="inlineStr">
        <is>
          <t>Semana 3</t>
        </is>
      </c>
    </row>
    <row r="36">
      <c r="B36" s="100" t="inlineStr">
        <is>
          <t>Semana 4</t>
        </is>
      </c>
    </row>
    <row r="38">
      <c r="B38" s="99" t="inlineStr">
        <is>
          <t>Sí / No</t>
        </is>
      </c>
    </row>
    <row r="39">
      <c r="B39" s="100" t="inlineStr">
        <is>
          <t>Sí</t>
        </is>
      </c>
    </row>
    <row r="40">
      <c r="B40" s="100" t="inlineStr">
        <is>
          <t>No</t>
        </is>
      </c>
    </row>
    <row r="43">
      <c r="B43" s="98" t="inlineStr">
        <is>
          <t>Metodología de cálculo (documentación)</t>
        </is>
      </c>
      <c r="C43" s="98" t="n"/>
      <c r="D43" s="98" t="n"/>
    </row>
    <row r="44" ht="30" customHeight="1">
      <c r="B44" s="101" t="inlineStr">
        <is>
          <t>1. Avance de una actividad = último avance semanal acumulado registrado (Semana 4 → 1), ignorando semanas vacías. Los avances semanales NO se suman.</t>
        </is>
      </c>
      <c r="C44" s="101" t="n"/>
      <c r="D44" s="101" t="n"/>
    </row>
    <row r="45" ht="30" customHeight="1">
      <c r="B45" s="101" t="inlineStr">
        <is>
          <t>2. Estado automático: 0% = Pendiente; &gt;0% y &lt;100% = En curso; 100% = Completado.</t>
        </is>
      </c>
      <c r="C45" s="101" t="n"/>
      <c r="D45" s="101" t="n"/>
    </row>
    <row r="46" ht="30" customHeight="1">
      <c r="B46" s="101" t="inlineStr">
        <is>
          <t>3. Avance ponderado del puesto = Σ (peso de la actividad × avance actual) de las actividades del mes. Solo es válido si el puesto tiene ≥1 actividad en el mes, ningún peso vacío o fuera de 0–100% y los pesos del mes suman 100% (tolerancia ±0,01%).</t>
        </is>
      </c>
      <c r="C46" s="101" t="n"/>
      <c r="D46" s="101" t="n"/>
    </row>
    <row r="47" ht="30" customHeight="1">
      <c r="B47" s="101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1" t="n"/>
      <c r="D47" s="101" t="n"/>
    </row>
    <row r="48" ht="30" customHeight="1">
      <c r="B48" s="101" t="inlineStr">
        <is>
          <t>0b. Subactividades: filas con Tipo «Subactividad» pertenecen a la macroactividad más cercana hacia arriba. Avance semanal de la macroactividad = Σ(peso de la subactividad × su avance) / Σ pesos de sus subactividades (si no tienen peso: promedio simple). Los pesos de las subactividades deben sumar el peso de la macroactividad. Solo las macroactividades se cuentan en los indicadores del Dashboard y el Historial; las alertas de plazo incluyen subactividades.</t>
        </is>
      </c>
      <c r="C48" s="101" t="n"/>
      <c r="D48" s="101" t="n"/>
    </row>
    <row r="49" ht="30" customHeight="1">
      <c r="B49" s="101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1" t="n"/>
      <c r="D49" s="101" t="n"/>
    </row>
    <row r="50" ht="30" customHeight="1">
      <c r="B50" s="101" t="inlineStr">
        <is>
          <t>5. Avance semanal acumulado (Semana n) = Σ peso × último avance registrado hasta la Semana n. Incremento semanal = acumulado Semana n − acumulado Semana n−1.</t>
        </is>
      </c>
      <c r="C50" s="101" t="n"/>
      <c r="D50" s="101" t="n"/>
    </row>
    <row r="51" ht="30" customHeight="1">
      <c r="B51" s="101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1" t="n"/>
      <c r="D51" s="101" t="n"/>
    </row>
    <row r="52" ht="30" customHeight="1">
      <c r="B52" s="101" t="inlineStr">
        <is>
          <t>7. Una semana se muestra en el seguimiento si es ≤ Semana actual o si ya tiene algún avance registrado.</t>
        </is>
      </c>
      <c r="C52" s="101" t="n"/>
      <c r="D52" s="101" t="n"/>
    </row>
    <row r="53" ht="30" customHeight="1">
      <c r="B53" s="101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1" t="n"/>
      <c r="D53" s="101" t="n"/>
    </row>
    <row r="54" ht="30" customHeight="1">
      <c r="B54" s="101" t="inlineStr">
        <is>
          <t>9. Semana actual = ENTERO((fecha de corte − fecha de inicio) / 7) + 1, limitada entre 1 y 4, salvo que se escriba una semana manual.</t>
        </is>
      </c>
      <c r="C54" s="101" t="n"/>
      <c r="D54" s="101" t="n"/>
    </row>
    <row r="55" ht="30" customHeight="1">
      <c r="B55" s="101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1" t="n"/>
      <c r="D55" s="10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2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3" t="inlineStr">
        <is>
          <t>Puesto</t>
        </is>
      </c>
      <c r="B3" s="103" t="inlineStr">
        <is>
          <t>N° actividades</t>
        </is>
      </c>
      <c r="C3" s="103" t="inlineStr">
        <is>
          <t>Suma de pesos</t>
        </is>
      </c>
      <c r="D3" s="103" t="inlineStr">
        <is>
          <t>Pesos vacíos o inválidos</t>
        </is>
      </c>
      <c r="E3" s="103" t="inlineStr">
        <is>
          <t>Configuración válida</t>
        </is>
      </c>
      <c r="F3" s="103" t="inlineStr">
        <is>
          <t>Avance ponderado actual</t>
        </is>
      </c>
      <c r="G3" s="103" t="inlineStr">
        <is>
          <t>Acum. Semana 1</t>
        </is>
      </c>
      <c r="H3" s="103" t="inlineStr">
        <is>
          <t>Acum. Semana 2</t>
        </is>
      </c>
      <c r="I3" s="103" t="inlineStr">
        <is>
          <t>Acum. Semana 3</t>
        </is>
      </c>
      <c r="J3" s="103" t="inlineStr">
        <is>
          <t>Acum. Semana 4</t>
        </is>
      </c>
      <c r="K3" s="103" t="inlineStr">
        <is>
          <t>Primera semana con 100%</t>
        </is>
      </c>
      <c r="L3" s="103" t="inlineStr">
        <is>
          <t>Completado (100%)</t>
        </is>
      </c>
      <c r="M3" s="103" t="inlineStr">
        <is>
          <t>Completado anticipadamente</t>
        </is>
      </c>
      <c r="N3" s="103" t="inlineStr">
        <is>
          <t>Completadas</t>
        </is>
      </c>
      <c r="O3" s="103" t="inlineStr">
        <is>
          <t>En curso</t>
        </is>
      </c>
      <c r="P3" s="103" t="inlineStr">
        <is>
          <t>Pendientes</t>
        </is>
      </c>
      <c r="Q3" s="103" t="inlineStr">
        <is>
          <t>Vencidas</t>
        </is>
      </c>
      <c r="R3" s="103" t="inlineStr">
        <is>
          <t>Con alertas</t>
        </is>
      </c>
      <c r="S3" s="103" t="inlineStr">
        <is>
          <t>Próximas a vencer</t>
        </is>
      </c>
      <c r="T3" s="103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4">
        <f>SUMIFS(rPeso_RO,rMes_RO,MesCiclo,rTipo_RO,"Macro")</f>
        <v/>
      </c>
      <c r="D4" s="104">
        <f>COUNTIFS(rValid_RO,"?*",rPeso_RO,"",rMes_RO,MesCiclo,rTipo_RO,"Macro")+COUNTIFS(rPeso_RO,"&lt;=0",rMes_RO,MesCiclo,rTipo_RO,"Macro")+COUNTIFS(rPeso_RO,"&gt;1",rMes_RO,MesCiclo,rTipo_RO,"Macro")</f>
        <v/>
      </c>
      <c r="E4">
        <f>AND(B4&gt;0,D4=0,ABS(C4-1)&lt;=0.0001)</f>
        <v/>
      </c>
      <c r="F4" s="104">
        <f>IFERROR(SUMPRODUCT(--((rMes_RO=MesCiclo)*(rTipo_RO="Macro")),rPeso_RO,rAvance_RO),0)</f>
        <v/>
      </c>
      <c r="G4" s="104">
        <f>IFERROR(SUMPRODUCT(--((rMes_RO=MesCiclo)*(rTipo_RO="Macro")),rPeso_RO,rEf1_RO),0)</f>
        <v/>
      </c>
      <c r="H4" s="104">
        <f>IFERROR(SUMPRODUCT(--((rMes_RO=MesCiclo)*(rTipo_RO="Macro")),rPeso_RO,rEf2_RO),0)</f>
        <v/>
      </c>
      <c r="I4" s="104">
        <f>IFERROR(SUMPRODUCT(--((rMes_RO=MesCiclo)*(rTipo_RO="Macro")),rPeso_RO,rEf3_RO),0)</f>
        <v/>
      </c>
      <c r="J4" s="104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4">
        <f>SUMIFS(rPeso_RN,rMes_RN,MesCiclo,rTipo_RN,"Macro")</f>
        <v/>
      </c>
      <c r="D5" s="104">
        <f>COUNTIFS(rValid_RN,"?*",rPeso_RN,"",rMes_RN,MesCiclo,rTipo_RN,"Macro")+COUNTIFS(rPeso_RN,"&lt;=0",rMes_RN,MesCiclo,rTipo_RN,"Macro")+COUNTIFS(rPeso_RN,"&gt;1",rMes_RN,MesCiclo,rTipo_RN,"Macro")</f>
        <v/>
      </c>
      <c r="E5">
        <f>AND(B5&gt;0,D5=0,ABS(C5-1)&lt;=0.0001)</f>
        <v/>
      </c>
      <c r="F5" s="104">
        <f>IFERROR(SUMPRODUCT(--((rMes_RN=MesCiclo)*(rTipo_RN="Macro")),rPeso_RN,rAvance_RN),0)</f>
        <v/>
      </c>
      <c r="G5" s="104">
        <f>IFERROR(SUMPRODUCT(--((rMes_RN=MesCiclo)*(rTipo_RN="Macro")),rPeso_RN,rEf1_RN),0)</f>
        <v/>
      </c>
      <c r="H5" s="104">
        <f>IFERROR(SUMPRODUCT(--((rMes_RN=MesCiclo)*(rTipo_RN="Macro")),rPeso_RN,rEf2_RN),0)</f>
        <v/>
      </c>
      <c r="I5" s="104">
        <f>IFERROR(SUMPRODUCT(--((rMes_RN=MesCiclo)*(rTipo_RN="Macro")),rPeso_RN,rEf3_RN),0)</f>
        <v/>
      </c>
      <c r="J5" s="104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4">
        <f>SUMIFS(rPeso_RF,rMes_RF,MesCiclo,rTipo_RF,"Macro")</f>
        <v/>
      </c>
      <c r="D6" s="104">
        <f>COUNTIFS(rValid_RF,"?*",rPeso_RF,"",rMes_RF,MesCiclo,rTipo_RF,"Macro")+COUNTIFS(rPeso_RF,"&lt;=0",rMes_RF,MesCiclo,rTipo_RF,"Macro")+COUNTIFS(rPeso_RF,"&gt;1",rMes_RF,MesCiclo,rTipo_RF,"Macro")</f>
        <v/>
      </c>
      <c r="E6">
        <f>AND(B6&gt;0,D6=0,ABS(C6-1)&lt;=0.0001)</f>
        <v/>
      </c>
      <c r="F6" s="104">
        <f>IFERROR(SUMPRODUCT(--((rMes_RF=MesCiclo)*(rTipo_RF="Macro")),rPeso_RF,rAvance_RF),0)</f>
        <v/>
      </c>
      <c r="G6" s="104">
        <f>IFERROR(SUMPRODUCT(--((rMes_RF=MesCiclo)*(rTipo_RF="Macro")),rPeso_RF,rEf1_RF),0)</f>
        <v/>
      </c>
      <c r="H6" s="104">
        <f>IFERROR(SUMPRODUCT(--((rMes_RF=MesCiclo)*(rTipo_RF="Macro")),rPeso_RF,rEf2_RF),0)</f>
        <v/>
      </c>
      <c r="I6" s="104">
        <f>IFERROR(SUMPRODUCT(--((rMes_RF=MesCiclo)*(rTipo_RF="Macro")),rPeso_RF,rEf3_RF),0)</f>
        <v/>
      </c>
      <c r="J6" s="104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4">
        <f>SUMIFS(rPeso_ATR,rMes_ATR,MesCiclo,rTipo_ATR,"Macro")</f>
        <v/>
      </c>
      <c r="D7" s="104">
        <f>COUNTIFS(rValid_ATR,"?*",rPeso_ATR,"",rMes_ATR,MesCiclo,rTipo_ATR,"Macro")+COUNTIFS(rPeso_ATR,"&lt;=0",rMes_ATR,MesCiclo,rTipo_ATR,"Macro")+COUNTIFS(rPeso_ATR,"&gt;1",rMes_ATR,MesCiclo,rTipo_ATR,"Macro")</f>
        <v/>
      </c>
      <c r="E7">
        <f>AND(B7&gt;0,D7=0,ABS(C7-1)&lt;=0.0001)</f>
        <v/>
      </c>
      <c r="F7" s="104">
        <f>IFERROR(SUMPRODUCT(--((rMes_ATR=MesCiclo)*(rTipo_ATR="Macro")),rPeso_ATR,rAvance_ATR),0)</f>
        <v/>
      </c>
      <c r="G7" s="104">
        <f>IFERROR(SUMPRODUCT(--((rMes_ATR=MesCiclo)*(rTipo_ATR="Macro")),rPeso_ATR,rEf1_ATR),0)</f>
        <v/>
      </c>
      <c r="H7" s="104">
        <f>IFERROR(SUMPRODUCT(--((rMes_ATR=MesCiclo)*(rTipo_ATR="Macro")),rPeso_ATR,rEf2_ATR),0)</f>
        <v/>
      </c>
      <c r="I7" s="104">
        <f>IFERROR(SUMPRODUCT(--((rMes_ATR=MesCiclo)*(rTipo_ATR="Macro")),rPeso_ATR,rEf3_ATR),0)</f>
        <v/>
      </c>
      <c r="J7" s="104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5">
        <f>COUNTIF(E4:E7,TRUE)</f>
        <v/>
      </c>
      <c r="D8" s="104">
        <f>IF(C8&gt;0,SUMPRODUCT(F4:F7*(E4:E7=TRUE))/C8,"")</f>
        <v/>
      </c>
      <c r="E8">
        <f>AND(E4,E5,E6,E7)</f>
        <v/>
      </c>
      <c r="F8" s="104">
        <f>IF(E8,AVERAGE(F4:F7),"")</f>
        <v/>
      </c>
      <c r="G8" s="104">
        <f>IF($E$8,AVERAGE(G4:G7),"")</f>
        <v/>
      </c>
      <c r="H8" s="104">
        <f>IF($E$8,AVERAGE(H4:H7),"")</f>
        <v/>
      </c>
      <c r="I8" s="104">
        <f>IF($E$8,AVERAGE(I4:I7),"")</f>
        <v/>
      </c>
      <c r="J8" s="104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6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7">
        <f>DATE(YEAR(MesEntrada),MONTH(MesEntrada),1)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2026-10-09T20:48:33Z</dcterms:created>
  <dcterms:modified xmlns:dcterms="http://purl.org/dc/terms/" xmlns:xsi="http://www.w3.org/2001/XMLSchema-instance" xsi:type="dcterms:W3CDTF">2026-10-09T20:48:37Z</dcterms:modified>
</cp:coreProperties>
</file>